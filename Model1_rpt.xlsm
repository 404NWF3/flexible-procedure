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C6898FBA-01E1-42BD-8132-D044F0294FF3}" xr6:coauthVersionLast="47" xr6:coauthVersionMax="47" xr10:uidLastSave="{00000000-0000-0000-0000-000000000000}"/>
  <bookViews>
    <workbookView xWindow="-98" yWindow="-98" windowWidth="21795" windowHeight="12975" tabRatio="790" firstSheet="1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ContinuousTimeStatsByRep!$A$1:$L$261</definedName>
    <definedName name="ExternalData_1" localSheetId="4" hidden="1">CounterStatsByRep!$A$1:$G$21</definedName>
    <definedName name="ExternalData_1" localSheetId="2" hidden="1">DiscreteTimeStatsByRep!$A$1:$K$171</definedName>
    <definedName name="ExternalData_1" localSheetId="6" hidden="1">FrequencyStatsByRep!$A$1:$K$2</definedName>
    <definedName name="ExternalData_1" localSheetId="5" hidden="1">OutputStatsByRep!$A$1:$H$131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K119" i="20" s="1" a="1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J2" i="20" a="1"/>
  <c r="J3" i="20" a="1"/>
  <c r="J4" i="20" a="1"/>
  <c r="J5" i="20" a="1"/>
  <c r="J6" i="20" a="1"/>
  <c r="J7" i="20" a="1"/>
  <c r="J8" i="20" a="1"/>
  <c r="J9" i="20" a="1"/>
  <c r="J10" i="20" a="1"/>
  <c r="J11" i="20" a="1"/>
  <c r="J12" i="20" a="1"/>
  <c r="J13" i="20" a="1"/>
  <c r="J14" i="20" a="1"/>
  <c r="J15" i="20" a="1"/>
  <c r="J16" i="20" a="1"/>
  <c r="J17" i="20" a="1"/>
  <c r="J18" i="20" a="1"/>
  <c r="J19" i="20" a="1"/>
  <c r="J20" i="20" a="1"/>
  <c r="J21" i="20" a="1"/>
  <c r="J22" i="20" a="1"/>
  <c r="J23" i="20" a="1"/>
  <c r="J24" i="20" a="1"/>
  <c r="J25" i="20" a="1"/>
  <c r="J26" i="20" a="1"/>
  <c r="J27" i="20" a="1"/>
  <c r="J28" i="20" a="1"/>
  <c r="J29" i="20" a="1"/>
  <c r="J30" i="20" a="1"/>
  <c r="J31" i="20" a="1"/>
  <c r="J32" i="20" a="1"/>
  <c r="J33" i="20" a="1"/>
  <c r="J34" i="20" a="1"/>
  <c r="J35" i="20" a="1"/>
  <c r="J36" i="20" a="1"/>
  <c r="J37" i="20" a="1"/>
  <c r="J38" i="20" a="1"/>
  <c r="J39" i="20" a="1"/>
  <c r="J40" i="20" a="1"/>
  <c r="J41" i="20" a="1"/>
  <c r="J42" i="20" a="1"/>
  <c r="J43" i="20" a="1"/>
  <c r="J44" i="20" a="1"/>
  <c r="J45" i="20" a="1"/>
  <c r="J46" i="20" a="1"/>
  <c r="J47" i="20" a="1"/>
  <c r="J48" i="20" a="1"/>
  <c r="J49" i="20" a="1"/>
  <c r="J50" i="20" a="1"/>
  <c r="J51" i="20" a="1"/>
  <c r="J52" i="20" a="1"/>
  <c r="J53" i="20" a="1"/>
  <c r="J54" i="20" a="1"/>
  <c r="J55" i="20" a="1"/>
  <c r="J56" i="20" a="1"/>
  <c r="J57" i="20" a="1"/>
  <c r="J58" i="20" a="1"/>
  <c r="J59" i="20" a="1"/>
  <c r="J60" i="20" a="1"/>
  <c r="J61" i="20" a="1"/>
  <c r="J62" i="20" a="1"/>
  <c r="J63" i="20" a="1"/>
  <c r="J64" i="20" a="1"/>
  <c r="J65" i="20" a="1"/>
  <c r="J66" i="20" a="1"/>
  <c r="J67" i="20" a="1"/>
  <c r="J68" i="20" a="1"/>
  <c r="J69" i="20" a="1"/>
  <c r="J70" i="20" a="1"/>
  <c r="J71" i="20" a="1"/>
  <c r="J72" i="20" a="1"/>
  <c r="J73" i="20" a="1"/>
  <c r="J74" i="20" a="1"/>
  <c r="J75" i="20" a="1"/>
  <c r="J76" i="20" a="1"/>
  <c r="J77" i="20" a="1"/>
  <c r="J78" i="20" a="1"/>
  <c r="J79" i="20" a="1"/>
  <c r="J80" i="20" a="1"/>
  <c r="J81" i="20" a="1"/>
  <c r="J82" i="20" a="1"/>
  <c r="J83" i="20" a="1"/>
  <c r="J84" i="20" a="1"/>
  <c r="J85" i="20" a="1"/>
  <c r="J86" i="20" a="1"/>
  <c r="J87" i="20" a="1"/>
  <c r="J88" i="20" a="1"/>
  <c r="J89" i="20" a="1"/>
  <c r="J90" i="20" a="1"/>
  <c r="J91" i="20" a="1"/>
  <c r="J92" i="20" a="1"/>
  <c r="J93" i="20" a="1"/>
  <c r="J94" i="20" a="1"/>
  <c r="J95" i="20" a="1"/>
  <c r="J96" i="20" a="1"/>
  <c r="J97" i="20" a="1"/>
  <c r="J98" i="20" a="1"/>
  <c r="J99" i="20" a="1"/>
  <c r="J100" i="20" a="1"/>
  <c r="J101" i="20" a="1"/>
  <c r="J102" i="20" a="1"/>
  <c r="J103" i="20" a="1"/>
  <c r="J104" i="20" a="1"/>
  <c r="J105" i="20" a="1"/>
  <c r="J106" i="20" a="1"/>
  <c r="J107" i="20" a="1"/>
  <c r="J108" i="20" a="1"/>
  <c r="J109" i="20" a="1"/>
  <c r="J110" i="20" a="1"/>
  <c r="J111" i="20" a="1"/>
  <c r="J112" i="20" a="1"/>
  <c r="J113" i="20" a="1"/>
  <c r="J114" i="20" a="1"/>
  <c r="J115" i="20" a="1"/>
  <c r="J116" i="20" a="1"/>
  <c r="J117" i="20" a="1"/>
  <c r="J118" i="20" a="1"/>
  <c r="J119" i="20" a="1"/>
  <c r="J120" i="20" a="1"/>
  <c r="J121" i="20" a="1"/>
  <c r="J122" i="20" a="1"/>
  <c r="J123" i="20" a="1"/>
  <c r="J124" i="20" a="1"/>
  <c r="J125" i="20" a="1"/>
  <c r="J126" i="20" a="1"/>
  <c r="J127" i="20" a="1"/>
  <c r="J128" i="20" a="1"/>
  <c r="J129" i="20" a="1"/>
  <c r="J130" i="20" a="1"/>
  <c r="J131" i="20" a="1"/>
  <c r="M2" i="20" a="1"/>
  <c r="M3" i="20" a="1"/>
  <c r="M4" i="20" a="1"/>
  <c r="M5" i="20" a="1"/>
  <c r="M6" i="20" a="1"/>
  <c r="M7" i="20" a="1"/>
  <c r="M8" i="20" a="1"/>
  <c r="M9" i="20" a="1"/>
  <c r="M10" i="20" a="1"/>
  <c r="M11" i="20" a="1"/>
  <c r="M12" i="20" a="1"/>
  <c r="M13" i="20" a="1"/>
  <c r="M14" i="20" a="1"/>
  <c r="M15" i="20" a="1"/>
  <c r="M16" i="20" a="1"/>
  <c r="M17" i="20" a="1"/>
  <c r="M18" i="20" a="1"/>
  <c r="M19" i="20" a="1"/>
  <c r="M20" i="20" a="1"/>
  <c r="M21" i="20" a="1"/>
  <c r="M22" i="20" a="1"/>
  <c r="M23" i="20" a="1"/>
  <c r="M24" i="20" a="1"/>
  <c r="M25" i="20" a="1"/>
  <c r="M26" i="20" a="1"/>
  <c r="M27" i="20" a="1"/>
  <c r="M28" i="20" a="1"/>
  <c r="M29" i="20" a="1"/>
  <c r="M30" i="20" a="1"/>
  <c r="M31" i="20" a="1"/>
  <c r="M32" i="20" a="1"/>
  <c r="M33" i="20" a="1"/>
  <c r="M34" i="20" a="1"/>
  <c r="M35" i="20" a="1"/>
  <c r="M36" i="20" a="1"/>
  <c r="M37" i="20" a="1"/>
  <c r="M38" i="20" a="1"/>
  <c r="M39" i="20" a="1"/>
  <c r="M40" i="20" a="1"/>
  <c r="M41" i="20" a="1"/>
  <c r="M42" i="20" a="1"/>
  <c r="M43" i="20" a="1"/>
  <c r="M44" i="20" a="1"/>
  <c r="M45" i="20" a="1"/>
  <c r="M46" i="20" a="1"/>
  <c r="M47" i="20" a="1"/>
  <c r="M48" i="20" a="1"/>
  <c r="M49" i="20" a="1"/>
  <c r="M50" i="20" a="1"/>
  <c r="M51" i="20" a="1"/>
  <c r="M52" i="20" a="1"/>
  <c r="M53" i="20" a="1"/>
  <c r="M54" i="20" a="1"/>
  <c r="M55" i="20" a="1"/>
  <c r="M56" i="20" a="1"/>
  <c r="M57" i="20" a="1"/>
  <c r="M58" i="20" a="1"/>
  <c r="M59" i="20" a="1"/>
  <c r="M60" i="20" a="1"/>
  <c r="M61" i="20" a="1"/>
  <c r="M62" i="20" a="1"/>
  <c r="M63" i="20" a="1"/>
  <c r="M64" i="20" a="1"/>
  <c r="M65" i="20" a="1"/>
  <c r="M66" i="20" a="1"/>
  <c r="M67" i="20" a="1"/>
  <c r="M68" i="20" a="1"/>
  <c r="M69" i="20" a="1"/>
  <c r="M70" i="20" a="1"/>
  <c r="M71" i="20" a="1"/>
  <c r="M72" i="20" a="1"/>
  <c r="M73" i="20" a="1"/>
  <c r="M74" i="20" a="1"/>
  <c r="M75" i="20" a="1"/>
  <c r="M76" i="20" a="1"/>
  <c r="M77" i="20" a="1"/>
  <c r="M78" i="20" a="1"/>
  <c r="M79" i="20" a="1"/>
  <c r="M80" i="20" a="1"/>
  <c r="M81" i="20" a="1"/>
  <c r="M82" i="20" a="1"/>
  <c r="M83" i="20" a="1"/>
  <c r="M84" i="20" a="1"/>
  <c r="M85" i="20" a="1"/>
  <c r="M86" i="20" a="1"/>
  <c r="M87" i="20" a="1"/>
  <c r="M88" i="20" a="1"/>
  <c r="M89" i="20" a="1"/>
  <c r="M90" i="20" a="1"/>
  <c r="M91" i="20" a="1"/>
  <c r="M92" i="20" a="1"/>
  <c r="M93" i="20" a="1"/>
  <c r="M94" i="20" a="1"/>
  <c r="M95" i="20" a="1"/>
  <c r="M96" i="20" a="1"/>
  <c r="M97" i="20" a="1"/>
  <c r="M98" i="20" a="1"/>
  <c r="M99" i="20" a="1"/>
  <c r="M100" i="20" a="1"/>
  <c r="M101" i="20" a="1"/>
  <c r="M102" i="20" a="1"/>
  <c r="M103" i="20" a="1"/>
  <c r="M104" i="20" a="1"/>
  <c r="M105" i="20" a="1"/>
  <c r="M106" i="20" a="1"/>
  <c r="M107" i="20" a="1"/>
  <c r="M108" i="20" a="1"/>
  <c r="M109" i="20" a="1"/>
  <c r="M110" i="20" a="1"/>
  <c r="M111" i="20" a="1"/>
  <c r="M112" i="20" a="1"/>
  <c r="M113" i="20" a="1"/>
  <c r="M114" i="20" a="1"/>
  <c r="M115" i="20" a="1"/>
  <c r="M116" i="20" a="1"/>
  <c r="M117" i="20" a="1"/>
  <c r="M118" i="20" a="1"/>
  <c r="M119" i="20" a="1"/>
  <c r="M120" i="20" a="1"/>
  <c r="M121" i="20" a="1"/>
  <c r="M122" i="20" a="1"/>
  <c r="M123" i="20" a="1"/>
  <c r="M124" i="20" a="1"/>
  <c r="M125" i="20" a="1"/>
  <c r="M126" i="20" a="1"/>
  <c r="M127" i="20" a="1"/>
  <c r="M128" i="20" a="1"/>
  <c r="M129" i="20" a="1"/>
  <c r="M130" i="20" a="1"/>
  <c r="M131" i="20" a="1"/>
  <c r="H2" i="19"/>
  <c r="H3" i="19"/>
  <c r="H4" i="19"/>
  <c r="H5" i="19"/>
  <c r="H6" i="19"/>
  <c r="H7" i="19"/>
  <c r="H8" i="19"/>
  <c r="H9" i="19"/>
  <c r="H10" i="19"/>
  <c r="H11" i="19"/>
  <c r="H12" i="19"/>
  <c r="H13" i="19"/>
  <c r="H14" i="19"/>
  <c r="H15" i="19"/>
  <c r="H16" i="19"/>
  <c r="H17" i="19"/>
  <c r="H18" i="19"/>
  <c r="H19" i="19"/>
  <c r="H20" i="19"/>
  <c r="H21" i="19"/>
  <c r="I2" i="19" a="1"/>
  <c r="I3" i="19" a="1"/>
  <c r="I4" i="19" a="1"/>
  <c r="I5" i="19" a="1"/>
  <c r="I6" i="19" a="1"/>
  <c r="I7" i="19" a="1"/>
  <c r="I8" i="19" a="1"/>
  <c r="I9" i="19" a="1"/>
  <c r="I10" i="19" a="1"/>
  <c r="I11" i="19" a="1"/>
  <c r="I12" i="19" a="1"/>
  <c r="I13" i="19" a="1"/>
  <c r="I14" i="19" a="1"/>
  <c r="I15" i="19" a="1"/>
  <c r="I16" i="19" a="1"/>
  <c r="I17" i="19" a="1"/>
  <c r="I18" i="19" a="1"/>
  <c r="I19" i="19" a="1"/>
  <c r="I20" i="19" a="1"/>
  <c r="I21" i="19" a="1"/>
  <c r="L2" i="19" a="1"/>
  <c r="L3" i="19" a="1"/>
  <c r="L4" i="19" a="1"/>
  <c r="L5" i="19" a="1"/>
  <c r="L6" i="19" a="1"/>
  <c r="L7" i="19" a="1"/>
  <c r="L8" i="19" a="1"/>
  <c r="L9" i="19" a="1"/>
  <c r="L10" i="19" a="1"/>
  <c r="L11" i="19" a="1"/>
  <c r="L12" i="19" a="1"/>
  <c r="L13" i="19" a="1"/>
  <c r="L14" i="19" a="1"/>
  <c r="L15" i="19" a="1"/>
  <c r="L16" i="19" a="1"/>
  <c r="L17" i="19" a="1"/>
  <c r="L18" i="19" a="1"/>
  <c r="L19" i="19" a="1"/>
  <c r="L20" i="19" a="1"/>
  <c r="L21" i="19" a="1"/>
  <c r="M2" i="18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M49" i="18"/>
  <c r="M50" i="18"/>
  <c r="M51" i="18"/>
  <c r="M52" i="18"/>
  <c r="M53" i="18"/>
  <c r="M54" i="18"/>
  <c r="M55" i="18"/>
  <c r="M56" i="18"/>
  <c r="M57" i="18"/>
  <c r="M58" i="18"/>
  <c r="M59" i="18"/>
  <c r="M60" i="18"/>
  <c r="M61" i="18"/>
  <c r="M62" i="18"/>
  <c r="M63" i="18"/>
  <c r="M64" i="18"/>
  <c r="M65" i="18"/>
  <c r="M66" i="18"/>
  <c r="M67" i="18"/>
  <c r="M68" i="18"/>
  <c r="M69" i="18"/>
  <c r="M70" i="18"/>
  <c r="M71" i="18"/>
  <c r="M72" i="18"/>
  <c r="M73" i="18"/>
  <c r="M74" i="18"/>
  <c r="M75" i="18"/>
  <c r="M76" i="18"/>
  <c r="M77" i="18"/>
  <c r="M78" i="18"/>
  <c r="M79" i="18"/>
  <c r="M80" i="18"/>
  <c r="M81" i="18"/>
  <c r="M82" i="18"/>
  <c r="M83" i="18"/>
  <c r="M84" i="18"/>
  <c r="M85" i="18"/>
  <c r="M86" i="18"/>
  <c r="M87" i="18"/>
  <c r="M88" i="18"/>
  <c r="M89" i="18"/>
  <c r="M90" i="18"/>
  <c r="M91" i="18"/>
  <c r="M92" i="18"/>
  <c r="M93" i="18"/>
  <c r="M94" i="18"/>
  <c r="M95" i="18"/>
  <c r="M96" i="18"/>
  <c r="M97" i="18"/>
  <c r="M98" i="18"/>
  <c r="M99" i="18"/>
  <c r="M100" i="18"/>
  <c r="M101" i="18"/>
  <c r="M102" i="18"/>
  <c r="M103" i="18"/>
  <c r="M104" i="18"/>
  <c r="M105" i="18"/>
  <c r="M106" i="18"/>
  <c r="M107" i="18"/>
  <c r="M108" i="18"/>
  <c r="M109" i="18"/>
  <c r="M110" i="18"/>
  <c r="M111" i="18"/>
  <c r="M112" i="18"/>
  <c r="M113" i="18"/>
  <c r="M114" i="18"/>
  <c r="M115" i="18"/>
  <c r="M116" i="18"/>
  <c r="M117" i="18"/>
  <c r="M118" i="18"/>
  <c r="M119" i="18"/>
  <c r="M120" i="18"/>
  <c r="M121" i="18"/>
  <c r="M122" i="18"/>
  <c r="M123" i="18"/>
  <c r="M124" i="18"/>
  <c r="M125" i="18"/>
  <c r="M126" i="18"/>
  <c r="M127" i="18"/>
  <c r="M128" i="18"/>
  <c r="M129" i="18"/>
  <c r="M130" i="18"/>
  <c r="M131" i="18"/>
  <c r="M132" i="18"/>
  <c r="M133" i="18"/>
  <c r="M134" i="18"/>
  <c r="M135" i="18"/>
  <c r="M136" i="18"/>
  <c r="M137" i="18"/>
  <c r="M138" i="18"/>
  <c r="M139" i="18"/>
  <c r="M140" i="18"/>
  <c r="M141" i="18"/>
  <c r="M142" i="18"/>
  <c r="M143" i="18"/>
  <c r="M144" i="18"/>
  <c r="M145" i="18"/>
  <c r="M146" i="18"/>
  <c r="M147" i="18"/>
  <c r="M148" i="18"/>
  <c r="M149" i="18"/>
  <c r="M150" i="18"/>
  <c r="M151" i="18"/>
  <c r="M152" i="18"/>
  <c r="M153" i="18"/>
  <c r="M154" i="18"/>
  <c r="M155" i="18"/>
  <c r="M156" i="18"/>
  <c r="M157" i="18"/>
  <c r="M158" i="18"/>
  <c r="M159" i="18"/>
  <c r="M160" i="18"/>
  <c r="M161" i="18"/>
  <c r="M162" i="18"/>
  <c r="M163" i="18"/>
  <c r="M164" i="18"/>
  <c r="M165" i="18"/>
  <c r="M166" i="18"/>
  <c r="M167" i="18"/>
  <c r="M168" i="18"/>
  <c r="M169" i="18"/>
  <c r="M170" i="18"/>
  <c r="M171" i="18"/>
  <c r="M172" i="18"/>
  <c r="M173" i="18"/>
  <c r="M174" i="18"/>
  <c r="M175" i="18"/>
  <c r="M176" i="18"/>
  <c r="M177" i="18"/>
  <c r="M178" i="18"/>
  <c r="M179" i="18"/>
  <c r="M180" i="18"/>
  <c r="M181" i="18"/>
  <c r="M182" i="18"/>
  <c r="M183" i="18"/>
  <c r="M184" i="18"/>
  <c r="M185" i="18"/>
  <c r="M186" i="18"/>
  <c r="M187" i="18"/>
  <c r="M188" i="18"/>
  <c r="M189" i="18"/>
  <c r="M190" i="18"/>
  <c r="M191" i="18"/>
  <c r="M192" i="18"/>
  <c r="M193" i="18"/>
  <c r="M194" i="18"/>
  <c r="M195" i="18"/>
  <c r="M196" i="18"/>
  <c r="M197" i="18"/>
  <c r="M198" i="18"/>
  <c r="M199" i="18"/>
  <c r="M200" i="18"/>
  <c r="M201" i="18"/>
  <c r="M202" i="18"/>
  <c r="M203" i="18"/>
  <c r="M204" i="18"/>
  <c r="M205" i="18"/>
  <c r="M206" i="18"/>
  <c r="M207" i="18"/>
  <c r="M208" i="18"/>
  <c r="M209" i="18"/>
  <c r="M210" i="18"/>
  <c r="M211" i="18"/>
  <c r="M212" i="18"/>
  <c r="M213" i="18"/>
  <c r="M214" i="18"/>
  <c r="M215" i="18"/>
  <c r="M216" i="18"/>
  <c r="M217" i="18"/>
  <c r="M218" i="18"/>
  <c r="M219" i="18"/>
  <c r="M220" i="18"/>
  <c r="M221" i="18"/>
  <c r="M222" i="18"/>
  <c r="M223" i="18"/>
  <c r="M224" i="18"/>
  <c r="M225" i="18"/>
  <c r="M226" i="18"/>
  <c r="M227" i="18"/>
  <c r="M228" i="18"/>
  <c r="M229" i="18"/>
  <c r="M230" i="18"/>
  <c r="M231" i="18"/>
  <c r="M232" i="18"/>
  <c r="M233" i="18"/>
  <c r="M234" i="18"/>
  <c r="M235" i="18"/>
  <c r="M236" i="18"/>
  <c r="M237" i="18"/>
  <c r="M238" i="18"/>
  <c r="M239" i="18"/>
  <c r="M240" i="18"/>
  <c r="M241" i="18"/>
  <c r="M242" i="18"/>
  <c r="M243" i="18"/>
  <c r="M244" i="18"/>
  <c r="M245" i="18"/>
  <c r="M246" i="18"/>
  <c r="M247" i="18"/>
  <c r="M248" i="18"/>
  <c r="M249" i="18"/>
  <c r="M250" i="18"/>
  <c r="M251" i="18"/>
  <c r="M252" i="18"/>
  <c r="M253" i="18"/>
  <c r="M254" i="18"/>
  <c r="M255" i="18"/>
  <c r="M256" i="18"/>
  <c r="M257" i="18"/>
  <c r="M258" i="18"/>
  <c r="M259" i="18"/>
  <c r="M260" i="18"/>
  <c r="M261" i="18"/>
  <c r="N2" i="18" a="1"/>
  <c r="R2" i="18" s="1"/>
  <c r="U2" i="18" s="1"/>
  <c r="N3" i="18" a="1"/>
  <c r="R3" i="18" s="1"/>
  <c r="U3" i="18" s="1"/>
  <c r="N4" i="18" a="1"/>
  <c r="R4" i="18" s="1"/>
  <c r="U4" i="18" s="1"/>
  <c r="N5" i="18" a="1"/>
  <c r="R5" i="18" s="1"/>
  <c r="U5" i="18" s="1"/>
  <c r="N6" i="18" a="1"/>
  <c r="R6" i="18" s="1"/>
  <c r="U6" i="18" s="1"/>
  <c r="N7" i="18" a="1"/>
  <c r="R7" i="18" s="1"/>
  <c r="U7" i="18" s="1"/>
  <c r="N8" i="18" a="1"/>
  <c r="R8" i="18" s="1"/>
  <c r="U8" i="18" s="1"/>
  <c r="N9" i="18" a="1"/>
  <c r="R9" i="18" s="1"/>
  <c r="U9" i="18" s="1"/>
  <c r="N10" i="18" a="1"/>
  <c r="R10" i="18" s="1"/>
  <c r="U10" i="18" s="1"/>
  <c r="N11" i="18" a="1"/>
  <c r="R11" i="18" s="1"/>
  <c r="U11" i="18" s="1"/>
  <c r="N12" i="18" a="1"/>
  <c r="R12" i="18" s="1"/>
  <c r="U12" i="18" s="1"/>
  <c r="N13" i="18" a="1"/>
  <c r="R13" i="18" s="1"/>
  <c r="U13" i="18" s="1"/>
  <c r="N14" i="18" a="1"/>
  <c r="R14" i="18" s="1"/>
  <c r="U14" i="18" s="1"/>
  <c r="N15" i="18" a="1"/>
  <c r="R15" i="18" s="1"/>
  <c r="U15" i="18" s="1"/>
  <c r="N16" i="18" a="1"/>
  <c r="N17" i="18" a="1"/>
  <c r="N18" i="18" a="1"/>
  <c r="N19" i="18" a="1"/>
  <c r="N20" i="18" a="1"/>
  <c r="N21" i="18" a="1"/>
  <c r="N22" i="18" a="1"/>
  <c r="N23" i="18" a="1"/>
  <c r="N24" i="18" a="1"/>
  <c r="N25" i="18" a="1"/>
  <c r="N26" i="18" a="1"/>
  <c r="N27" i="18" a="1"/>
  <c r="N28" i="18" a="1"/>
  <c r="N29" i="18" a="1"/>
  <c r="N30" i="18" a="1"/>
  <c r="N31" i="18" a="1"/>
  <c r="N32" i="18" a="1"/>
  <c r="N33" i="18" a="1"/>
  <c r="N34" i="18" a="1"/>
  <c r="N35" i="18" a="1"/>
  <c r="N36" i="18" a="1"/>
  <c r="N37" i="18" a="1"/>
  <c r="N38" i="18" a="1"/>
  <c r="N39" i="18" a="1"/>
  <c r="N40" i="18" a="1"/>
  <c r="N41" i="18" a="1"/>
  <c r="N42" i="18" a="1"/>
  <c r="N43" i="18" a="1"/>
  <c r="N44" i="18" a="1"/>
  <c r="N45" i="18" a="1"/>
  <c r="N46" i="18" a="1"/>
  <c r="N47" i="18" a="1"/>
  <c r="N48" i="18" a="1"/>
  <c r="N49" i="18" a="1"/>
  <c r="N50" i="18" a="1"/>
  <c r="N51" i="18" a="1"/>
  <c r="N52" i="18" a="1"/>
  <c r="N53" i="18" a="1"/>
  <c r="N54" i="18" a="1"/>
  <c r="N55" i="18" a="1"/>
  <c r="N56" i="18" a="1"/>
  <c r="N57" i="18" a="1"/>
  <c r="N58" i="18" a="1"/>
  <c r="N59" i="18" a="1"/>
  <c r="N60" i="18" a="1"/>
  <c r="N61" i="18" a="1"/>
  <c r="N62" i="18" a="1"/>
  <c r="N63" i="18" a="1"/>
  <c r="N64" i="18" a="1"/>
  <c r="N65" i="18" a="1"/>
  <c r="N66" i="18" a="1"/>
  <c r="N67" i="18" a="1"/>
  <c r="N68" i="18" a="1"/>
  <c r="N69" i="18" a="1"/>
  <c r="N70" i="18" a="1"/>
  <c r="N71" i="18" a="1"/>
  <c r="N72" i="18" a="1"/>
  <c r="N73" i="18" a="1"/>
  <c r="N74" i="18" a="1"/>
  <c r="N75" i="18" a="1"/>
  <c r="N76" i="18" a="1"/>
  <c r="N77" i="18" a="1"/>
  <c r="N78" i="18" a="1"/>
  <c r="N79" i="18" a="1"/>
  <c r="N80" i="18" a="1"/>
  <c r="N81" i="18" a="1"/>
  <c r="N82" i="18" a="1"/>
  <c r="N83" i="18" a="1"/>
  <c r="N84" i="18" a="1"/>
  <c r="N85" i="18" a="1"/>
  <c r="N86" i="18" a="1"/>
  <c r="N87" i="18" a="1"/>
  <c r="N88" i="18" a="1"/>
  <c r="N89" i="18" a="1"/>
  <c r="N90" i="18" a="1"/>
  <c r="N91" i="18" a="1"/>
  <c r="N92" i="18" a="1"/>
  <c r="N93" i="18" a="1"/>
  <c r="N94" i="18" a="1"/>
  <c r="N95" i="18" a="1"/>
  <c r="N96" i="18" a="1"/>
  <c r="N97" i="18" a="1"/>
  <c r="N98" i="18" a="1"/>
  <c r="N99" i="18" a="1"/>
  <c r="N100" i="18" a="1"/>
  <c r="N101" i="18" a="1"/>
  <c r="N102" i="18" a="1"/>
  <c r="N103" i="18" a="1"/>
  <c r="N104" i="18" a="1"/>
  <c r="N105" i="18" a="1"/>
  <c r="N106" i="18" a="1"/>
  <c r="N107" i="18" a="1"/>
  <c r="N108" i="18" a="1"/>
  <c r="N109" i="18" a="1"/>
  <c r="N110" i="18" a="1"/>
  <c r="N111" i="18" a="1"/>
  <c r="N112" i="18" a="1"/>
  <c r="N113" i="18" a="1"/>
  <c r="N114" i="18" a="1"/>
  <c r="N115" i="18" a="1"/>
  <c r="N116" i="18" a="1"/>
  <c r="N117" i="18" a="1"/>
  <c r="N118" i="18" a="1"/>
  <c r="N119" i="18" a="1"/>
  <c r="N120" i="18" a="1"/>
  <c r="N121" i="18" a="1"/>
  <c r="N122" i="18" a="1"/>
  <c r="N123" i="18" a="1"/>
  <c r="N124" i="18" a="1"/>
  <c r="N125" i="18" a="1"/>
  <c r="N126" i="18" a="1"/>
  <c r="N127" i="18" a="1"/>
  <c r="N128" i="18" a="1"/>
  <c r="N129" i="18" a="1"/>
  <c r="N130" i="18" a="1"/>
  <c r="N131" i="18" a="1"/>
  <c r="N132" i="18" a="1"/>
  <c r="N133" i="18" a="1"/>
  <c r="N134" i="18" a="1"/>
  <c r="N135" i="18" a="1"/>
  <c r="N136" i="18" a="1"/>
  <c r="N137" i="18" a="1"/>
  <c r="N138" i="18" a="1"/>
  <c r="N139" i="18" a="1"/>
  <c r="N140" i="18" a="1"/>
  <c r="N141" i="18" a="1"/>
  <c r="N142" i="18" a="1"/>
  <c r="N143" i="18" a="1"/>
  <c r="N144" i="18" a="1"/>
  <c r="N145" i="18" a="1"/>
  <c r="N146" i="18" a="1"/>
  <c r="N147" i="18" a="1"/>
  <c r="N148" i="18" a="1"/>
  <c r="N149" i="18" a="1"/>
  <c r="N150" i="18" a="1"/>
  <c r="N151" i="18" a="1"/>
  <c r="N152" i="18" a="1"/>
  <c r="N153" i="18" a="1"/>
  <c r="N154" i="18" a="1"/>
  <c r="N155" i="18" a="1"/>
  <c r="N156" i="18" a="1"/>
  <c r="N157" i="18" a="1"/>
  <c r="N158" i="18" a="1"/>
  <c r="N159" i="18" a="1"/>
  <c r="N160" i="18" a="1"/>
  <c r="N161" i="18" a="1"/>
  <c r="N162" i="18" a="1"/>
  <c r="N163" i="18" a="1"/>
  <c r="N164" i="18" a="1"/>
  <c r="N165" i="18" a="1"/>
  <c r="N166" i="18" a="1"/>
  <c r="N167" i="18" a="1"/>
  <c r="N168" i="18" a="1"/>
  <c r="N169" i="18" a="1"/>
  <c r="N170" i="18" a="1"/>
  <c r="N171" i="18" a="1"/>
  <c r="N172" i="18" a="1"/>
  <c r="N173" i="18" a="1"/>
  <c r="N174" i="18" a="1"/>
  <c r="N175" i="18" a="1"/>
  <c r="N176" i="18" a="1"/>
  <c r="N177" i="18" a="1"/>
  <c r="N178" i="18" a="1"/>
  <c r="N179" i="18" a="1"/>
  <c r="N180" i="18" a="1"/>
  <c r="N181" i="18" a="1"/>
  <c r="N182" i="18" a="1"/>
  <c r="N183" i="18" a="1"/>
  <c r="N184" i="18" a="1"/>
  <c r="N185" i="18" a="1"/>
  <c r="N186" i="18" a="1"/>
  <c r="N187" i="18" a="1"/>
  <c r="N188" i="18" a="1"/>
  <c r="N189" i="18" a="1"/>
  <c r="N190" i="18" a="1"/>
  <c r="N191" i="18" a="1"/>
  <c r="N192" i="18" a="1"/>
  <c r="N193" i="18" a="1"/>
  <c r="N194" i="18" a="1"/>
  <c r="N195" i="18" a="1"/>
  <c r="N196" i="18" a="1"/>
  <c r="N197" i="18" a="1"/>
  <c r="N198" i="18" a="1"/>
  <c r="N199" i="18" a="1"/>
  <c r="N200" i="18" a="1"/>
  <c r="N201" i="18" a="1"/>
  <c r="N202" i="18" a="1"/>
  <c r="N203" i="18" a="1"/>
  <c r="N204" i="18" a="1"/>
  <c r="N205" i="18" a="1"/>
  <c r="N206" i="18" a="1"/>
  <c r="N207" i="18" a="1"/>
  <c r="N208" i="18" a="1"/>
  <c r="N209" i="18" a="1"/>
  <c r="N210" i="18" a="1"/>
  <c r="N211" i="18" a="1"/>
  <c r="N212" i="18" a="1"/>
  <c r="N213" i="18" a="1"/>
  <c r="N214" i="18" a="1"/>
  <c r="N215" i="18" a="1"/>
  <c r="N216" i="18" a="1"/>
  <c r="N217" i="18" a="1"/>
  <c r="N218" i="18" a="1"/>
  <c r="N219" i="18" a="1"/>
  <c r="N220" i="18" a="1"/>
  <c r="N221" i="18" a="1"/>
  <c r="N222" i="18" a="1"/>
  <c r="N223" i="18" a="1"/>
  <c r="N224" i="18" a="1"/>
  <c r="N225" i="18" a="1"/>
  <c r="N226" i="18" a="1"/>
  <c r="N227" i="18" a="1"/>
  <c r="N228" i="18" a="1"/>
  <c r="N229" i="18" a="1"/>
  <c r="N230" i="18" a="1"/>
  <c r="N231" i="18" a="1"/>
  <c r="N232" i="18" a="1"/>
  <c r="N233" i="18" a="1"/>
  <c r="N234" i="18" a="1"/>
  <c r="N235" i="18" a="1"/>
  <c r="N236" i="18" a="1"/>
  <c r="N237" i="18" a="1"/>
  <c r="N238" i="18" a="1"/>
  <c r="N239" i="18" a="1"/>
  <c r="N240" i="18" a="1"/>
  <c r="N241" i="18" a="1"/>
  <c r="N242" i="18" a="1"/>
  <c r="N243" i="18" a="1"/>
  <c r="N244" i="18" a="1"/>
  <c r="N245" i="18" a="1"/>
  <c r="N246" i="18" a="1"/>
  <c r="N247" i="18" a="1"/>
  <c r="N248" i="18" a="1"/>
  <c r="N249" i="18" a="1"/>
  <c r="N250" i="18" a="1"/>
  <c r="N251" i="18" a="1"/>
  <c r="N252" i="18" a="1"/>
  <c r="N253" i="18" a="1"/>
  <c r="N254" i="18" a="1"/>
  <c r="N255" i="18" a="1"/>
  <c r="N256" i="18" a="1"/>
  <c r="N257" i="18" a="1"/>
  <c r="N258" i="18" a="1"/>
  <c r="N259" i="18" a="1"/>
  <c r="N260" i="18" a="1"/>
  <c r="N261" i="18" a="1"/>
  <c r="O2" i="18" a="1"/>
  <c r="O3" i="18" a="1"/>
  <c r="O4" i="18" a="1"/>
  <c r="O5" i="18" a="1"/>
  <c r="O6" i="18" a="1"/>
  <c r="O7" i="18" a="1"/>
  <c r="O8" i="18" a="1"/>
  <c r="O9" i="18" a="1"/>
  <c r="O10" i="18" a="1"/>
  <c r="O11" i="18" a="1"/>
  <c r="O12" i="18" a="1"/>
  <c r="O13" i="18" a="1"/>
  <c r="O14" i="18" a="1"/>
  <c r="O15" i="18" a="1"/>
  <c r="O16" i="18" a="1"/>
  <c r="O17" i="18" a="1"/>
  <c r="O18" i="18" a="1"/>
  <c r="O19" i="18" a="1"/>
  <c r="O20" i="18" a="1"/>
  <c r="O21" i="18" a="1"/>
  <c r="O22" i="18" a="1"/>
  <c r="O23" i="18" a="1"/>
  <c r="O24" i="18" a="1"/>
  <c r="O25" i="18" a="1"/>
  <c r="O26" i="18" a="1"/>
  <c r="O27" i="18" a="1"/>
  <c r="O28" i="18" a="1"/>
  <c r="O29" i="18" a="1"/>
  <c r="O30" i="18" a="1"/>
  <c r="O31" i="18" a="1"/>
  <c r="O32" i="18" a="1"/>
  <c r="O33" i="18" a="1"/>
  <c r="O34" i="18" a="1"/>
  <c r="O35" i="18" a="1"/>
  <c r="O36" i="18" a="1"/>
  <c r="O37" i="18" a="1"/>
  <c r="O38" i="18" a="1"/>
  <c r="O39" i="18" a="1"/>
  <c r="O40" i="18" a="1"/>
  <c r="O41" i="18" a="1"/>
  <c r="O42" i="18" a="1"/>
  <c r="O43" i="18" a="1"/>
  <c r="O44" i="18" a="1"/>
  <c r="O45" i="18" a="1"/>
  <c r="O46" i="18" a="1"/>
  <c r="O47" i="18" a="1"/>
  <c r="O48" i="18" a="1"/>
  <c r="O49" i="18" a="1"/>
  <c r="O50" i="18" a="1"/>
  <c r="O51" i="18" a="1"/>
  <c r="O52" i="18" a="1"/>
  <c r="O53" i="18" a="1"/>
  <c r="O54" i="18" a="1"/>
  <c r="O55" i="18" a="1"/>
  <c r="O56" i="18" a="1"/>
  <c r="O57" i="18" a="1"/>
  <c r="O58" i="18" a="1"/>
  <c r="O59" i="18" a="1"/>
  <c r="O60" i="18" a="1"/>
  <c r="O61" i="18" a="1"/>
  <c r="O62" i="18" a="1"/>
  <c r="O63" i="18" a="1"/>
  <c r="O64" i="18" a="1"/>
  <c r="O65" i="18" a="1"/>
  <c r="O66" i="18" a="1"/>
  <c r="O67" i="18" a="1"/>
  <c r="O68" i="18" a="1"/>
  <c r="O69" i="18" a="1"/>
  <c r="O70" i="18" a="1"/>
  <c r="O71" i="18" a="1"/>
  <c r="O72" i="18" a="1"/>
  <c r="O73" i="18" a="1"/>
  <c r="O74" i="18" a="1"/>
  <c r="O75" i="18" a="1"/>
  <c r="O76" i="18" a="1"/>
  <c r="O77" i="18" a="1"/>
  <c r="O78" i="18" a="1"/>
  <c r="O79" i="18" a="1"/>
  <c r="O80" i="18" a="1"/>
  <c r="O81" i="18" a="1"/>
  <c r="O82" i="18" a="1"/>
  <c r="O83" i="18" a="1"/>
  <c r="O84" i="18" a="1"/>
  <c r="O85" i="18" a="1"/>
  <c r="O86" i="18" a="1"/>
  <c r="O87" i="18" a="1"/>
  <c r="O88" i="18" a="1"/>
  <c r="O89" i="18" a="1"/>
  <c r="O90" i="18" a="1"/>
  <c r="O91" i="18" a="1"/>
  <c r="O92" i="18" a="1"/>
  <c r="O93" i="18" a="1"/>
  <c r="O94" i="18" a="1"/>
  <c r="O95" i="18" a="1"/>
  <c r="O96" i="18" a="1"/>
  <c r="O97" i="18" a="1"/>
  <c r="O98" i="18" a="1"/>
  <c r="O99" i="18" a="1"/>
  <c r="O100" i="18" a="1"/>
  <c r="O101" i="18" a="1"/>
  <c r="O102" i="18" a="1"/>
  <c r="O103" i="18" a="1"/>
  <c r="O104" i="18" a="1"/>
  <c r="O105" i="18" a="1"/>
  <c r="O106" i="18" a="1"/>
  <c r="O107" i="18" a="1"/>
  <c r="O108" i="18" a="1"/>
  <c r="O109" i="18" a="1"/>
  <c r="O110" i="18" a="1"/>
  <c r="O111" i="18" a="1"/>
  <c r="O112" i="18" a="1"/>
  <c r="O113" i="18" a="1"/>
  <c r="O114" i="18" a="1"/>
  <c r="O115" i="18" a="1"/>
  <c r="O116" i="18" a="1"/>
  <c r="O117" i="18" a="1"/>
  <c r="O118" i="18" a="1"/>
  <c r="O119" i="18" a="1"/>
  <c r="O120" i="18" a="1"/>
  <c r="O121" i="18" a="1"/>
  <c r="O122" i="18" a="1"/>
  <c r="O123" i="18" a="1"/>
  <c r="O124" i="18" a="1"/>
  <c r="O125" i="18" a="1"/>
  <c r="O126" i="18" a="1"/>
  <c r="O127" i="18" a="1"/>
  <c r="O128" i="18" a="1"/>
  <c r="O129" i="18" a="1"/>
  <c r="O130" i="18" a="1"/>
  <c r="O131" i="18" a="1"/>
  <c r="O132" i="18" a="1"/>
  <c r="O133" i="18" a="1"/>
  <c r="O134" i="18" a="1"/>
  <c r="O135" i="18" a="1"/>
  <c r="O136" i="18" a="1"/>
  <c r="O137" i="18" a="1"/>
  <c r="O138" i="18" a="1"/>
  <c r="O139" i="18" a="1"/>
  <c r="O140" i="18" a="1"/>
  <c r="O141" i="18" a="1"/>
  <c r="O142" i="18" a="1"/>
  <c r="O143" i="18" a="1"/>
  <c r="O144" i="18" a="1"/>
  <c r="O146" i="18" a="1"/>
  <c r="O147" i="18" a="1"/>
  <c r="O148" i="18" a="1"/>
  <c r="O149" i="18" a="1"/>
  <c r="O150" i="18" a="1"/>
  <c r="O151" i="18" a="1"/>
  <c r="O152" i="18" a="1"/>
  <c r="O153" i="18" a="1"/>
  <c r="O154" i="18" a="1"/>
  <c r="O155" i="18" a="1"/>
  <c r="O156" i="18" a="1"/>
  <c r="O157" i="18" a="1"/>
  <c r="O158" i="18" a="1"/>
  <c r="O159" i="18" a="1"/>
  <c r="O160" i="18" a="1"/>
  <c r="O161" i="18" a="1"/>
  <c r="O162" i="18" a="1"/>
  <c r="O163" i="18" a="1"/>
  <c r="O164" i="18" a="1"/>
  <c r="O165" i="18" a="1"/>
  <c r="O166" i="18" a="1"/>
  <c r="O167" i="18" a="1"/>
  <c r="O168" i="18" a="1"/>
  <c r="O169" i="18" a="1"/>
  <c r="O170" i="18" a="1"/>
  <c r="O171" i="18" a="1"/>
  <c r="O172" i="18" a="1"/>
  <c r="O173" i="18" a="1"/>
  <c r="O174" i="18" a="1"/>
  <c r="O175" i="18" a="1"/>
  <c r="O176" i="18" a="1"/>
  <c r="O177" i="18" a="1"/>
  <c r="O178" i="18" a="1"/>
  <c r="O179" i="18" a="1"/>
  <c r="O180" i="18" a="1"/>
  <c r="O181" i="18" a="1"/>
  <c r="O182" i="18" a="1"/>
  <c r="O183" i="18" a="1"/>
  <c r="O184" i="18" a="1"/>
  <c r="O185" i="18" a="1"/>
  <c r="O186" i="18" a="1"/>
  <c r="O187" i="18" a="1"/>
  <c r="O188" i="18" a="1"/>
  <c r="O189" i="18" a="1"/>
  <c r="O190" i="18" a="1"/>
  <c r="O191" i="18" a="1"/>
  <c r="O192" i="18" a="1"/>
  <c r="O193" i="18" a="1"/>
  <c r="O194" i="18" a="1"/>
  <c r="O195" i="18" a="1"/>
  <c r="O196" i="18" a="1"/>
  <c r="O197" i="18" a="1"/>
  <c r="O198" i="18" a="1"/>
  <c r="O199" i="18" a="1"/>
  <c r="O200" i="18" a="1"/>
  <c r="O201" i="18" a="1"/>
  <c r="O202" i="18" a="1"/>
  <c r="O203" i="18" a="1"/>
  <c r="O204" i="18" a="1"/>
  <c r="O205" i="18" a="1"/>
  <c r="O206" i="18" a="1"/>
  <c r="O207" i="18" a="1"/>
  <c r="O208" i="18" a="1"/>
  <c r="O209" i="18" a="1"/>
  <c r="O210" i="18" a="1"/>
  <c r="O211" i="18" a="1"/>
  <c r="O212" i="18" a="1"/>
  <c r="O213" i="18" a="1"/>
  <c r="O214" i="18" a="1"/>
  <c r="O215" i="18" a="1"/>
  <c r="O216" i="18" a="1"/>
  <c r="O217" i="18" a="1"/>
  <c r="O218" i="18" a="1"/>
  <c r="O219" i="18" a="1"/>
  <c r="O220" i="18" a="1"/>
  <c r="O221" i="18" a="1"/>
  <c r="O222" i="18" a="1"/>
  <c r="O223" i="18" a="1"/>
  <c r="O224" i="18" a="1"/>
  <c r="O225" i="18" a="1"/>
  <c r="O226" i="18" a="1"/>
  <c r="O227" i="18" a="1"/>
  <c r="O228" i="18" a="1"/>
  <c r="O229" i="18" a="1"/>
  <c r="O230" i="18" a="1"/>
  <c r="O231" i="18" a="1"/>
  <c r="O232" i="18" a="1"/>
  <c r="O233" i="18" a="1"/>
  <c r="O234" i="18" a="1"/>
  <c r="O235" i="18" a="1"/>
  <c r="O236" i="18" a="1"/>
  <c r="O237" i="18" a="1"/>
  <c r="O238" i="18" a="1"/>
  <c r="O239" i="18" a="1"/>
  <c r="O240" i="18" a="1"/>
  <c r="O241" i="18" a="1"/>
  <c r="O242" i="18" a="1"/>
  <c r="O243" i="18" a="1"/>
  <c r="O244" i="18" a="1"/>
  <c r="O245" i="18" a="1"/>
  <c r="O246" i="18" a="1"/>
  <c r="O247" i="18" a="1"/>
  <c r="O248" i="18" a="1"/>
  <c r="O249" i="18" a="1"/>
  <c r="O250" i="18" a="1"/>
  <c r="O251" i="18" a="1"/>
  <c r="O252" i="18" a="1"/>
  <c r="O253" i="18" a="1"/>
  <c r="O254" i="18" a="1"/>
  <c r="O255" i="18" a="1"/>
  <c r="O256" i="18" a="1"/>
  <c r="O257" i="18" a="1"/>
  <c r="O258" i="18" a="1"/>
  <c r="O259" i="18" a="1"/>
  <c r="O260" i="18" a="1"/>
  <c r="O261" i="18" a="1"/>
  <c r="P2" i="18" a="1"/>
  <c r="P3" i="18" a="1"/>
  <c r="P4" i="18" a="1"/>
  <c r="P5" i="18" a="1"/>
  <c r="P6" i="18" a="1"/>
  <c r="P7" i="18" a="1"/>
  <c r="P8" i="18" a="1"/>
  <c r="P9" i="18" a="1"/>
  <c r="P10" i="18" a="1"/>
  <c r="P11" i="18" a="1"/>
  <c r="P12" i="18" a="1"/>
  <c r="P13" i="18" a="1"/>
  <c r="P14" i="18" a="1"/>
  <c r="P15" i="18" a="1"/>
  <c r="P16" i="18" a="1"/>
  <c r="P17" i="18" a="1"/>
  <c r="P18" i="18" a="1"/>
  <c r="P19" i="18" a="1"/>
  <c r="P20" i="18" a="1"/>
  <c r="P21" i="18" a="1"/>
  <c r="P22" i="18" a="1"/>
  <c r="P23" i="18" a="1"/>
  <c r="P24" i="18" a="1"/>
  <c r="P25" i="18" a="1"/>
  <c r="P26" i="18" a="1"/>
  <c r="P27" i="18" a="1"/>
  <c r="P28" i="18" a="1"/>
  <c r="P29" i="18" a="1"/>
  <c r="P30" i="18" a="1"/>
  <c r="P31" i="18" a="1"/>
  <c r="P32" i="18" a="1"/>
  <c r="P33" i="18" a="1"/>
  <c r="P34" i="18" a="1"/>
  <c r="P35" i="18" a="1"/>
  <c r="P36" i="18" a="1"/>
  <c r="P37" i="18" a="1"/>
  <c r="P38" i="18" a="1"/>
  <c r="P39" i="18" a="1"/>
  <c r="P40" i="18" a="1"/>
  <c r="P41" i="18" a="1"/>
  <c r="P42" i="18" a="1"/>
  <c r="P43" i="18" a="1"/>
  <c r="P44" i="18" a="1"/>
  <c r="P45" i="18" a="1"/>
  <c r="P46" i="18" a="1"/>
  <c r="P47" i="18" a="1"/>
  <c r="P48" i="18" a="1"/>
  <c r="P49" i="18" a="1"/>
  <c r="P50" i="18" a="1"/>
  <c r="P51" i="18" a="1"/>
  <c r="P52" i="18" a="1"/>
  <c r="P53" i="18" a="1"/>
  <c r="P54" i="18" a="1"/>
  <c r="P55" i="18" a="1"/>
  <c r="P56" i="18" a="1"/>
  <c r="P57" i="18" a="1"/>
  <c r="P58" i="18" a="1"/>
  <c r="P59" i="18" a="1"/>
  <c r="P60" i="18" a="1"/>
  <c r="P61" i="18" a="1"/>
  <c r="P62" i="18" a="1"/>
  <c r="P63" i="18" a="1"/>
  <c r="P64" i="18" a="1"/>
  <c r="P65" i="18" a="1"/>
  <c r="P66" i="18" a="1"/>
  <c r="P67" i="18" a="1"/>
  <c r="P68" i="18" a="1"/>
  <c r="P69" i="18" a="1"/>
  <c r="P70" i="18" a="1"/>
  <c r="P71" i="18" a="1"/>
  <c r="P72" i="18" a="1"/>
  <c r="P73" i="18" a="1"/>
  <c r="P74" i="18" a="1"/>
  <c r="P75" i="18" a="1"/>
  <c r="P76" i="18" a="1"/>
  <c r="P77" i="18" a="1"/>
  <c r="P78" i="18" a="1"/>
  <c r="P79" i="18" a="1"/>
  <c r="P80" i="18" a="1"/>
  <c r="P81" i="18" a="1"/>
  <c r="P82" i="18" a="1"/>
  <c r="P83" i="18" a="1"/>
  <c r="P84" i="18" a="1"/>
  <c r="P85" i="18" a="1"/>
  <c r="P86" i="18" a="1"/>
  <c r="P87" i="18" a="1"/>
  <c r="P88" i="18" a="1"/>
  <c r="P89" i="18" a="1"/>
  <c r="P90" i="18" a="1"/>
  <c r="P91" i="18" a="1"/>
  <c r="P92" i="18" a="1"/>
  <c r="P93" i="18" a="1"/>
  <c r="P94" i="18" a="1"/>
  <c r="P95" i="18" a="1"/>
  <c r="P96" i="18" a="1"/>
  <c r="P97" i="18" a="1"/>
  <c r="P98" i="18" a="1"/>
  <c r="P99" i="18" a="1"/>
  <c r="P100" i="18" a="1"/>
  <c r="P101" i="18" a="1"/>
  <c r="P102" i="18" a="1"/>
  <c r="P103" i="18" a="1"/>
  <c r="P104" i="18" a="1"/>
  <c r="P105" i="18" a="1"/>
  <c r="P106" i="18" a="1"/>
  <c r="P107" i="18" a="1"/>
  <c r="P108" i="18" a="1"/>
  <c r="P109" i="18" a="1"/>
  <c r="P110" i="18" a="1"/>
  <c r="P111" i="18" a="1"/>
  <c r="P112" i="18" a="1"/>
  <c r="P113" i="18" a="1"/>
  <c r="P114" i="18" a="1"/>
  <c r="P115" i="18" a="1"/>
  <c r="P116" i="18" a="1"/>
  <c r="P117" i="18" a="1"/>
  <c r="P118" i="18" a="1"/>
  <c r="P119" i="18" a="1"/>
  <c r="P120" i="18" a="1"/>
  <c r="P121" i="18" a="1"/>
  <c r="P122" i="18" a="1"/>
  <c r="P123" i="18" a="1"/>
  <c r="P124" i="18" a="1"/>
  <c r="P125" i="18" a="1"/>
  <c r="P126" i="18" a="1"/>
  <c r="P127" i="18" a="1"/>
  <c r="P128" i="18" a="1"/>
  <c r="P129" i="18" a="1"/>
  <c r="P130" i="18" a="1"/>
  <c r="P131" i="18" a="1"/>
  <c r="P132" i="18" a="1"/>
  <c r="P133" i="18" a="1"/>
  <c r="P134" i="18" a="1"/>
  <c r="P135" i="18" a="1"/>
  <c r="P136" i="18" a="1"/>
  <c r="P137" i="18" a="1"/>
  <c r="P138" i="18" a="1"/>
  <c r="P139" i="18" a="1"/>
  <c r="P140" i="18" a="1"/>
  <c r="P141" i="18" a="1"/>
  <c r="P142" i="18" a="1"/>
  <c r="P143" i="18" a="1"/>
  <c r="P144" i="18" a="1"/>
  <c r="P145" i="18" a="1"/>
  <c r="P146" i="18" a="1"/>
  <c r="P147" i="18" a="1"/>
  <c r="P148" i="18" a="1"/>
  <c r="P149" i="18" a="1"/>
  <c r="P150" i="18" a="1"/>
  <c r="P151" i="18" a="1"/>
  <c r="P152" i="18" a="1"/>
  <c r="P153" i="18" a="1"/>
  <c r="P154" i="18" a="1"/>
  <c r="P155" i="18" a="1"/>
  <c r="P156" i="18" a="1"/>
  <c r="P157" i="18" a="1"/>
  <c r="P158" i="18" a="1"/>
  <c r="P159" i="18" a="1"/>
  <c r="P160" i="18" a="1"/>
  <c r="P161" i="18" a="1"/>
  <c r="P162" i="18" a="1"/>
  <c r="P163" i="18" a="1"/>
  <c r="P164" i="18" a="1"/>
  <c r="P165" i="18" a="1"/>
  <c r="P166" i="18" a="1"/>
  <c r="P167" i="18" a="1"/>
  <c r="P168" i="18" a="1"/>
  <c r="P169" i="18" a="1"/>
  <c r="P170" i="18" a="1"/>
  <c r="P171" i="18" a="1"/>
  <c r="P172" i="18" a="1"/>
  <c r="P173" i="18" a="1"/>
  <c r="P174" i="18" a="1"/>
  <c r="P175" i="18" a="1"/>
  <c r="P176" i="18" a="1"/>
  <c r="P177" i="18" a="1"/>
  <c r="P178" i="18" a="1"/>
  <c r="P179" i="18" a="1"/>
  <c r="P180" i="18" a="1"/>
  <c r="P181" i="18" a="1"/>
  <c r="P182" i="18" a="1"/>
  <c r="P183" i="18" a="1"/>
  <c r="P184" i="18" a="1"/>
  <c r="P185" i="18" a="1"/>
  <c r="P186" i="18" a="1"/>
  <c r="P187" i="18" a="1"/>
  <c r="P188" i="18" a="1"/>
  <c r="P189" i="18" a="1"/>
  <c r="P190" i="18" a="1"/>
  <c r="P191" i="18" a="1"/>
  <c r="P192" i="18" a="1"/>
  <c r="P193" i="18" a="1"/>
  <c r="P194" i="18" a="1"/>
  <c r="P195" i="18" a="1"/>
  <c r="P196" i="18" a="1"/>
  <c r="P197" i="18" a="1"/>
  <c r="P198" i="18" a="1"/>
  <c r="P199" i="18" a="1"/>
  <c r="P200" i="18" a="1"/>
  <c r="P201" i="18" a="1"/>
  <c r="P202" i="18" a="1"/>
  <c r="P203" i="18" a="1"/>
  <c r="P204" i="18" a="1"/>
  <c r="P205" i="18" a="1"/>
  <c r="P206" i="18" a="1"/>
  <c r="P207" i="18" a="1"/>
  <c r="P208" i="18" a="1"/>
  <c r="P209" i="18" a="1"/>
  <c r="P210" i="18" a="1"/>
  <c r="P211" i="18" a="1"/>
  <c r="P212" i="18" a="1"/>
  <c r="P213" i="18" a="1"/>
  <c r="P214" i="18" a="1"/>
  <c r="P225" i="18" a="1"/>
  <c r="P226" i="18" a="1"/>
  <c r="P227" i="18" a="1"/>
  <c r="P228" i="18" a="1"/>
  <c r="P229" i="18" a="1"/>
  <c r="P230" i="18" a="1"/>
  <c r="P231" i="18" a="1"/>
  <c r="P232" i="18" a="1"/>
  <c r="P233" i="18" a="1"/>
  <c r="P234" i="18" a="1"/>
  <c r="P235" i="18" a="1"/>
  <c r="P236" i="18" a="1"/>
  <c r="P237" i="18" a="1"/>
  <c r="P238" i="18" a="1"/>
  <c r="P239" i="18" a="1"/>
  <c r="P240" i="18" a="1"/>
  <c r="P241" i="18" a="1"/>
  <c r="P242" i="18" a="1"/>
  <c r="P243" i="18" a="1"/>
  <c r="P244" i="18" a="1"/>
  <c r="P245" i="18" a="1"/>
  <c r="P246" i="18" a="1"/>
  <c r="P247" i="18" a="1"/>
  <c r="P248" i="18" a="1"/>
  <c r="P249" i="18" a="1"/>
  <c r="P250" i="18" a="1"/>
  <c r="P251" i="18" a="1"/>
  <c r="P252" i="18" a="1"/>
  <c r="P253" i="18" a="1"/>
  <c r="P254" i="18" a="1"/>
  <c r="P255" i="18" a="1"/>
  <c r="P256" i="18" a="1"/>
  <c r="P257" i="18" a="1"/>
  <c r="P258" i="18" a="1"/>
  <c r="P259" i="18" a="1"/>
  <c r="P260" i="18" a="1"/>
  <c r="P261" i="18" a="1"/>
  <c r="Q2" i="18" a="1"/>
  <c r="Q3" i="18" a="1"/>
  <c r="Q4" i="18" a="1"/>
  <c r="Q5" i="18" a="1"/>
  <c r="Q6" i="18" a="1"/>
  <c r="Q7" i="18" a="1"/>
  <c r="Q8" i="18" a="1"/>
  <c r="Q9" i="18" a="1"/>
  <c r="Q10" i="18" a="1"/>
  <c r="Q11" i="18" a="1"/>
  <c r="Q12" i="18" a="1"/>
  <c r="Q13" i="18" a="1"/>
  <c r="Q14" i="18" a="1"/>
  <c r="Q15" i="18" a="1"/>
  <c r="Q16" i="18" a="1"/>
  <c r="Q17" i="18" a="1"/>
  <c r="Q18" i="18" a="1"/>
  <c r="Q19" i="18" a="1"/>
  <c r="Q20" i="18" a="1"/>
  <c r="Q21" i="18" a="1"/>
  <c r="Q22" i="18" a="1"/>
  <c r="Q23" i="18" a="1"/>
  <c r="Q24" i="18" a="1"/>
  <c r="Q25" i="18" a="1"/>
  <c r="Q26" i="18" a="1"/>
  <c r="Q27" i="18" a="1"/>
  <c r="Q28" i="18" a="1"/>
  <c r="Q29" i="18" a="1"/>
  <c r="Q30" i="18" a="1"/>
  <c r="Q31" i="18" a="1"/>
  <c r="Q32" i="18" a="1"/>
  <c r="Q33" i="18" a="1"/>
  <c r="Q34" i="18" a="1"/>
  <c r="Q35" i="18" a="1"/>
  <c r="Q36" i="18" a="1"/>
  <c r="Q37" i="18" a="1"/>
  <c r="Q38" i="18" a="1"/>
  <c r="Q39" i="18" a="1"/>
  <c r="Q40" i="18" a="1"/>
  <c r="Q41" i="18" a="1"/>
  <c r="Q42" i="18" a="1"/>
  <c r="Q43" i="18" a="1"/>
  <c r="Q44" i="18" a="1"/>
  <c r="Q45" i="18" a="1"/>
  <c r="Q46" i="18" a="1"/>
  <c r="Q47" i="18" a="1"/>
  <c r="Q48" i="18" a="1"/>
  <c r="Q49" i="18" a="1"/>
  <c r="Q50" i="18" a="1"/>
  <c r="Q51" i="18" a="1"/>
  <c r="Q52" i="18" a="1"/>
  <c r="Q53" i="18" a="1"/>
  <c r="Q54" i="18" a="1"/>
  <c r="Q55" i="18" a="1"/>
  <c r="Q56" i="18" a="1"/>
  <c r="Q57" i="18" a="1"/>
  <c r="Q58" i="18" a="1"/>
  <c r="Q59" i="18" a="1"/>
  <c r="Q60" i="18" a="1"/>
  <c r="Q61" i="18" a="1"/>
  <c r="Q62" i="18" a="1"/>
  <c r="Q63" i="18" a="1"/>
  <c r="Q64" i="18" a="1"/>
  <c r="Q65" i="18" a="1"/>
  <c r="Q66" i="18" a="1"/>
  <c r="Q67" i="18" a="1"/>
  <c r="Q68" i="18" a="1"/>
  <c r="Q69" i="18" a="1"/>
  <c r="Q70" i="18" a="1"/>
  <c r="Q71" i="18" a="1"/>
  <c r="Q72" i="18" a="1"/>
  <c r="Q73" i="18" a="1"/>
  <c r="R73" i="18" s="1"/>
  <c r="U73" i="18" s="1"/>
  <c r="Q74" i="18" a="1"/>
  <c r="R74" i="18" s="1"/>
  <c r="U74" i="18" s="1"/>
  <c r="Q75" i="18" a="1"/>
  <c r="R75" i="18" s="1"/>
  <c r="U75" i="18" s="1"/>
  <c r="Q76" i="18" a="1"/>
  <c r="R76" i="18" s="1"/>
  <c r="U76" i="18" s="1"/>
  <c r="Q77" i="18" a="1"/>
  <c r="R77" i="18" s="1"/>
  <c r="U77" i="18" s="1"/>
  <c r="Q78" i="18" a="1"/>
  <c r="R78" i="18" s="1"/>
  <c r="U78" i="18" s="1"/>
  <c r="Q79" i="18" a="1"/>
  <c r="R79" i="18" s="1"/>
  <c r="U79" i="18" s="1"/>
  <c r="Q80" i="18" a="1"/>
  <c r="R80" i="18" s="1"/>
  <c r="U80" i="18" s="1"/>
  <c r="Q81" i="18" a="1"/>
  <c r="R81" i="18" s="1"/>
  <c r="U81" i="18" s="1"/>
  <c r="Q82" i="18" a="1"/>
  <c r="R82" i="18" s="1"/>
  <c r="U82" i="18" s="1"/>
  <c r="Q83" i="18" a="1"/>
  <c r="R83" i="18" s="1"/>
  <c r="U83" i="18" s="1"/>
  <c r="Q84" i="18" a="1"/>
  <c r="R84" i="18" s="1"/>
  <c r="U84" i="18" s="1"/>
  <c r="Q85" i="18" a="1"/>
  <c r="R85" i="18" s="1"/>
  <c r="U85" i="18" s="1"/>
  <c r="Q86" i="18" a="1"/>
  <c r="R86" i="18" s="1"/>
  <c r="U86" i="18" s="1"/>
  <c r="Q87" i="18" a="1"/>
  <c r="R87" i="18" s="1"/>
  <c r="U87" i="18" s="1"/>
  <c r="Q88" i="18" a="1"/>
  <c r="R88" i="18" s="1"/>
  <c r="U88" i="18" s="1"/>
  <c r="Q89" i="18" a="1"/>
  <c r="R89" i="18" s="1"/>
  <c r="U89" i="18" s="1"/>
  <c r="Q90" i="18" a="1"/>
  <c r="Q91" i="18" a="1"/>
  <c r="Q92" i="18" a="1"/>
  <c r="Q93" i="18" a="1"/>
  <c r="Q94" i="18" a="1"/>
  <c r="Q95" i="18" a="1"/>
  <c r="Q96" i="18" a="1"/>
  <c r="Q97" i="18" a="1"/>
  <c r="Q98" i="18" a="1"/>
  <c r="Q99" i="18" a="1"/>
  <c r="Q100" i="18" a="1"/>
  <c r="Q101" i="18" a="1"/>
  <c r="Q102" i="18" a="1"/>
  <c r="Q103" i="18" a="1"/>
  <c r="Q104" i="18" a="1"/>
  <c r="Q105" i="18" a="1"/>
  <c r="Q106" i="18" a="1"/>
  <c r="Q107" i="18" a="1"/>
  <c r="Q108" i="18" a="1"/>
  <c r="Q109" i="18" a="1"/>
  <c r="Q110" i="18" a="1"/>
  <c r="Q111" i="18" a="1"/>
  <c r="Q112" i="18" a="1"/>
  <c r="Q113" i="18" a="1"/>
  <c r="Q114" i="18" a="1"/>
  <c r="Q115" i="18" a="1"/>
  <c r="Q116" i="18" a="1"/>
  <c r="Q117" i="18" a="1"/>
  <c r="Q118" i="18" a="1"/>
  <c r="Q119" i="18" a="1"/>
  <c r="Q120" i="18" a="1"/>
  <c r="Q121" i="18" a="1"/>
  <c r="Q122" i="18" a="1"/>
  <c r="Q123" i="18" a="1"/>
  <c r="Q124" i="18" a="1"/>
  <c r="Q125" i="18" a="1"/>
  <c r="Q126" i="18" a="1"/>
  <c r="Q127" i="18" a="1"/>
  <c r="Q128" i="18" a="1"/>
  <c r="Q129" i="18" a="1"/>
  <c r="Q130" i="18" a="1"/>
  <c r="Q131" i="18" a="1"/>
  <c r="Q132" i="18" a="1"/>
  <c r="Q133" i="18" a="1"/>
  <c r="Q134" i="18" a="1"/>
  <c r="Q135" i="18" a="1"/>
  <c r="Q136" i="18" a="1"/>
  <c r="Q137" i="18" a="1"/>
  <c r="Q138" i="18" a="1"/>
  <c r="Q139" i="18" a="1"/>
  <c r="Q140" i="18" a="1"/>
  <c r="Q141" i="18" a="1"/>
  <c r="Q142" i="18" a="1"/>
  <c r="Q143" i="18" a="1"/>
  <c r="Q144" i="18" a="1"/>
  <c r="Q145" i="18" a="1"/>
  <c r="Q146" i="18" a="1"/>
  <c r="Q147" i="18" a="1"/>
  <c r="Q148" i="18" a="1"/>
  <c r="Q149" i="18" a="1"/>
  <c r="Q150" i="18" a="1"/>
  <c r="Q151" i="18" a="1"/>
  <c r="Q152" i="18" a="1"/>
  <c r="Q153" i="18" a="1"/>
  <c r="Q154" i="18" a="1"/>
  <c r="Q155" i="18" a="1"/>
  <c r="Q156" i="18" a="1"/>
  <c r="Q157" i="18" a="1"/>
  <c r="Q158" i="18" a="1"/>
  <c r="Q159" i="18" a="1"/>
  <c r="Q160" i="18" a="1"/>
  <c r="Q161" i="18" a="1"/>
  <c r="Q162" i="18" a="1"/>
  <c r="Q163" i="18" a="1"/>
  <c r="Q164" i="18" a="1"/>
  <c r="Q165" i="18" a="1"/>
  <c r="Q166" i="18" a="1"/>
  <c r="Q167" i="18" a="1"/>
  <c r="Q168" i="18" a="1"/>
  <c r="Q169" i="18" a="1"/>
  <c r="Q170" i="18" a="1"/>
  <c r="Q171" i="18" a="1"/>
  <c r="Q172" i="18" a="1"/>
  <c r="Q173" i="18" a="1"/>
  <c r="Q174" i="18" a="1"/>
  <c r="Q175" i="18" a="1"/>
  <c r="Q176" i="18" a="1"/>
  <c r="Q177" i="18" a="1"/>
  <c r="Q178" i="18" a="1"/>
  <c r="Q179" i="18" a="1"/>
  <c r="Q180" i="18" a="1"/>
  <c r="Q181" i="18" a="1"/>
  <c r="Q182" i="18" a="1"/>
  <c r="Q183" i="18" a="1"/>
  <c r="Q184" i="18" a="1"/>
  <c r="Q185" i="18" a="1"/>
  <c r="Q186" i="18" a="1"/>
  <c r="Q187" i="18" a="1"/>
  <c r="Q188" i="18" a="1"/>
  <c r="Q189" i="18" a="1"/>
  <c r="Q190" i="18" a="1"/>
  <c r="Q191" i="18" a="1"/>
  <c r="Q192" i="18" a="1"/>
  <c r="Q193" i="18" a="1"/>
  <c r="Q194" i="18" a="1"/>
  <c r="R194" i="18" s="1"/>
  <c r="U194" i="18" s="1"/>
  <c r="Q195" i="18" a="1"/>
  <c r="R195" i="18" s="1"/>
  <c r="U195" i="18" s="1"/>
  <c r="Q196" i="18" a="1"/>
  <c r="R196" i="18" s="1"/>
  <c r="U196" i="18" s="1"/>
  <c r="Q197" i="18" a="1"/>
  <c r="R197" i="18" s="1"/>
  <c r="U197" i="18" s="1"/>
  <c r="Q198" i="18" a="1"/>
  <c r="R198" i="18" s="1"/>
  <c r="U198" i="18" s="1"/>
  <c r="Q199" i="18" a="1"/>
  <c r="R199" i="18" s="1"/>
  <c r="U199" i="18" s="1"/>
  <c r="Q200" i="18" a="1"/>
  <c r="R200" i="18" s="1"/>
  <c r="U200" i="18" s="1"/>
  <c r="Q201" i="18" a="1"/>
  <c r="R201" i="18" s="1"/>
  <c r="U201" i="18" s="1"/>
  <c r="Q202" i="18" a="1"/>
  <c r="R202" i="18" s="1"/>
  <c r="U202" i="18" s="1"/>
  <c r="Q203" i="18" a="1"/>
  <c r="R203" i="18" s="1"/>
  <c r="U203" i="18" s="1"/>
  <c r="Q204" i="18" a="1"/>
  <c r="R204" i="18" s="1"/>
  <c r="U204" i="18" s="1"/>
  <c r="Q205" i="18" a="1"/>
  <c r="R205" i="18" s="1"/>
  <c r="U205" i="18" s="1"/>
  <c r="Q206" i="18" a="1"/>
  <c r="R206" i="18" s="1"/>
  <c r="U206" i="18" s="1"/>
  <c r="Q207" i="18" a="1"/>
  <c r="R207" i="18" s="1"/>
  <c r="U207" i="18" s="1"/>
  <c r="Q208" i="18" a="1"/>
  <c r="R208" i="18" s="1"/>
  <c r="U208" i="18" s="1"/>
  <c r="Q209" i="18" a="1"/>
  <c r="R209" i="18" s="1"/>
  <c r="U209" i="18" s="1"/>
  <c r="Q210" i="18" a="1"/>
  <c r="R210" i="18" s="1"/>
  <c r="U210" i="18" s="1"/>
  <c r="Q211" i="18" a="1"/>
  <c r="R211" i="18" s="1"/>
  <c r="U211" i="18" s="1"/>
  <c r="Q212" i="18" a="1"/>
  <c r="Q213" i="18" a="1"/>
  <c r="R213" i="18" s="1"/>
  <c r="U213" i="18" s="1"/>
  <c r="Q214" i="18" a="1"/>
  <c r="Q215" i="18" a="1"/>
  <c r="Q216" i="18" a="1"/>
  <c r="Q217" i="18" a="1"/>
  <c r="Q218" i="18" a="1"/>
  <c r="Q219" i="18" a="1"/>
  <c r="Q220" i="18" a="1"/>
  <c r="Q221" i="18" a="1"/>
  <c r="Q222" i="18" a="1"/>
  <c r="Q223" i="18" a="1"/>
  <c r="Q224" i="18" a="1"/>
  <c r="Q225" i="18" a="1"/>
  <c r="Q226" i="18" a="1"/>
  <c r="Q227" i="18" a="1"/>
  <c r="Q228" i="18" a="1"/>
  <c r="Q229" i="18" a="1"/>
  <c r="Q230" i="18" a="1"/>
  <c r="Q231" i="18" a="1"/>
  <c r="Q232" i="18" a="1"/>
  <c r="Q233" i="18" a="1"/>
  <c r="Q234" i="18" a="1"/>
  <c r="Q235" i="18" a="1"/>
  <c r="Q236" i="18" a="1"/>
  <c r="Q237" i="18" a="1"/>
  <c r="Q238" i="18" a="1"/>
  <c r="Q239" i="18" a="1"/>
  <c r="Q240" i="18" a="1"/>
  <c r="Q241" i="18" a="1"/>
  <c r="Q242" i="18" a="1"/>
  <c r="Q243" i="18" a="1"/>
  <c r="Q244" i="18" a="1"/>
  <c r="Q245" i="18" a="1"/>
  <c r="Q246" i="18" a="1"/>
  <c r="Q247" i="18" a="1"/>
  <c r="Q248" i="18" a="1"/>
  <c r="Q249" i="18" a="1"/>
  <c r="Q250" i="18" a="1"/>
  <c r="Q251" i="18" a="1"/>
  <c r="Q252" i="18" a="1"/>
  <c r="Q253" i="18" a="1"/>
  <c r="Q254" i="18" a="1"/>
  <c r="Q255" i="18" a="1"/>
  <c r="Q256" i="18" a="1"/>
  <c r="Q257" i="18" a="1"/>
  <c r="Q258" i="18" a="1"/>
  <c r="Q259" i="18" a="1"/>
  <c r="Q260" i="18" a="1"/>
  <c r="Q261" i="18" a="1"/>
  <c r="S3" i="18" a="1"/>
  <c r="S4" i="18" a="1"/>
  <c r="S5" i="18" a="1"/>
  <c r="S6" i="18" a="1"/>
  <c r="S7" i="18" a="1"/>
  <c r="S8" i="18" a="1"/>
  <c r="S9" i="18" a="1"/>
  <c r="S10" i="18" a="1"/>
  <c r="S11" i="18" a="1"/>
  <c r="S12" i="18" a="1"/>
  <c r="S13" i="18" a="1"/>
  <c r="S14" i="18" a="1"/>
  <c r="S15" i="18" a="1"/>
  <c r="S16" i="18" a="1"/>
  <c r="S17" i="18" a="1"/>
  <c r="S18" i="18" a="1"/>
  <c r="S19" i="18" a="1"/>
  <c r="S20" i="18" a="1"/>
  <c r="S21" i="18" a="1"/>
  <c r="S22" i="18" a="1"/>
  <c r="S23" i="18" a="1"/>
  <c r="S24" i="18" a="1"/>
  <c r="S25" i="18" a="1"/>
  <c r="S26" i="18" a="1"/>
  <c r="S27" i="18" a="1"/>
  <c r="S28" i="18" a="1"/>
  <c r="S29" i="18" a="1"/>
  <c r="S30" i="18" a="1"/>
  <c r="S31" i="18" a="1"/>
  <c r="S32" i="18" a="1"/>
  <c r="S33" i="18" a="1"/>
  <c r="S34" i="18" a="1"/>
  <c r="S35" i="18" a="1"/>
  <c r="S36" i="18" a="1"/>
  <c r="S37" i="18" a="1"/>
  <c r="S38" i="18" a="1"/>
  <c r="S39" i="18" a="1"/>
  <c r="S40" i="18" a="1"/>
  <c r="S41" i="18" a="1"/>
  <c r="S42" i="18" a="1"/>
  <c r="S43" i="18" a="1"/>
  <c r="S44" i="18" a="1"/>
  <c r="S45" i="18" a="1"/>
  <c r="S46" i="18" a="1"/>
  <c r="S47" i="18" a="1"/>
  <c r="S48" i="18" a="1"/>
  <c r="S49" i="18" a="1"/>
  <c r="S50" i="18" a="1"/>
  <c r="S51" i="18" a="1"/>
  <c r="S52" i="18" a="1"/>
  <c r="S53" i="18" a="1"/>
  <c r="S54" i="18" a="1"/>
  <c r="S55" i="18" a="1"/>
  <c r="S56" i="18" a="1"/>
  <c r="S57" i="18" a="1"/>
  <c r="S58" i="18" a="1"/>
  <c r="S59" i="18" a="1"/>
  <c r="S60" i="18" a="1"/>
  <c r="S61" i="18" a="1"/>
  <c r="S62" i="18" a="1"/>
  <c r="S63" i="18" a="1"/>
  <c r="S64" i="18" a="1"/>
  <c r="S65" i="18" a="1"/>
  <c r="S66" i="18" a="1"/>
  <c r="S67" i="18" a="1"/>
  <c r="S68" i="18" a="1"/>
  <c r="S69" i="18" a="1"/>
  <c r="S70" i="18" a="1"/>
  <c r="S71" i="18" a="1"/>
  <c r="S72" i="18" a="1"/>
  <c r="S73" i="18" a="1"/>
  <c r="S74" i="18" a="1"/>
  <c r="S75" i="18" a="1"/>
  <c r="S76" i="18" a="1"/>
  <c r="S77" i="18" a="1"/>
  <c r="S78" i="18" a="1"/>
  <c r="S79" i="18" a="1"/>
  <c r="S80" i="18" a="1"/>
  <c r="S81" i="18" a="1"/>
  <c r="S82" i="18" a="1"/>
  <c r="S83" i="18" a="1"/>
  <c r="S84" i="18" a="1"/>
  <c r="S85" i="18" a="1"/>
  <c r="S86" i="18" a="1"/>
  <c r="S87" i="18" a="1"/>
  <c r="S88" i="18" a="1"/>
  <c r="S89" i="18" a="1"/>
  <c r="S90" i="18" a="1"/>
  <c r="S91" i="18" a="1"/>
  <c r="S92" i="18" a="1"/>
  <c r="S93" i="18" a="1"/>
  <c r="S94" i="18" a="1"/>
  <c r="S95" i="18" a="1"/>
  <c r="S96" i="18" a="1"/>
  <c r="S97" i="18" a="1"/>
  <c r="S98" i="18" a="1"/>
  <c r="S100" i="18" a="1"/>
  <c r="S101" i="18" a="1"/>
  <c r="S102" i="18" a="1"/>
  <c r="S103" i="18" a="1"/>
  <c r="S104" i="18" a="1"/>
  <c r="S105" i="18" a="1"/>
  <c r="S106" i="18" a="1"/>
  <c r="S107" i="18" a="1"/>
  <c r="S108" i="18" a="1"/>
  <c r="S109" i="18" a="1"/>
  <c r="S110" i="18" a="1"/>
  <c r="S111" i="18" a="1"/>
  <c r="S112" i="18" a="1"/>
  <c r="S113" i="18" a="1"/>
  <c r="S114" i="18" a="1"/>
  <c r="S115" i="18" a="1"/>
  <c r="S116" i="18" a="1"/>
  <c r="S117" i="18" a="1"/>
  <c r="S118" i="18" a="1"/>
  <c r="S119" i="18" a="1"/>
  <c r="S120" i="18" a="1"/>
  <c r="S121" i="18" a="1"/>
  <c r="S122" i="18" a="1"/>
  <c r="S123" i="18" a="1"/>
  <c r="S124" i="18" a="1"/>
  <c r="S125" i="18" a="1"/>
  <c r="S126" i="18" a="1"/>
  <c r="S127" i="18" a="1"/>
  <c r="S128" i="18" a="1"/>
  <c r="S129" i="18" a="1"/>
  <c r="S130" i="18" a="1"/>
  <c r="S131" i="18" a="1"/>
  <c r="S132" i="18" a="1"/>
  <c r="S133" i="18" a="1"/>
  <c r="S134" i="18" a="1"/>
  <c r="S135" i="18" a="1"/>
  <c r="S136" i="18" a="1"/>
  <c r="S137" i="18" a="1"/>
  <c r="S138" i="18" a="1"/>
  <c r="S139" i="18" a="1"/>
  <c r="S140" i="18" a="1"/>
  <c r="S141" i="18" a="1"/>
  <c r="S142" i="18" a="1"/>
  <c r="S143" i="18" a="1"/>
  <c r="S144" i="18" a="1"/>
  <c r="S145" i="18" a="1"/>
  <c r="S146" i="18" a="1"/>
  <c r="S147" i="18" a="1"/>
  <c r="S148" i="18" a="1"/>
  <c r="S149" i="18" a="1"/>
  <c r="S150" i="18" a="1"/>
  <c r="S151" i="18" a="1"/>
  <c r="S152" i="18" a="1"/>
  <c r="S153" i="18" a="1"/>
  <c r="S154" i="18" a="1"/>
  <c r="S155" i="18" a="1"/>
  <c r="S156" i="18" a="1"/>
  <c r="S157" i="18" a="1"/>
  <c r="S158" i="18" a="1"/>
  <c r="S159" i="18" a="1"/>
  <c r="S160" i="18" a="1"/>
  <c r="S161" i="18" a="1"/>
  <c r="S162" i="18" a="1"/>
  <c r="S163" i="18" a="1"/>
  <c r="S164" i="18" a="1"/>
  <c r="S165" i="18" a="1"/>
  <c r="S166" i="18" a="1"/>
  <c r="S167" i="18" a="1"/>
  <c r="S168" i="18" a="1"/>
  <c r="S169" i="18" a="1"/>
  <c r="S170" i="18" a="1"/>
  <c r="S171" i="18" a="1"/>
  <c r="S172" i="18" a="1"/>
  <c r="S173" i="18" a="1"/>
  <c r="S174" i="18" a="1"/>
  <c r="S175" i="18" a="1"/>
  <c r="S176" i="18" a="1"/>
  <c r="S177" i="18" a="1"/>
  <c r="S178" i="18" a="1"/>
  <c r="S179" i="18" a="1"/>
  <c r="S180" i="18" a="1"/>
  <c r="S181" i="18" a="1"/>
  <c r="S182" i="18" a="1"/>
  <c r="S183" i="18" a="1"/>
  <c r="S184" i="18" a="1"/>
  <c r="S185" i="18" a="1"/>
  <c r="S186" i="18" a="1"/>
  <c r="S187" i="18" a="1"/>
  <c r="S188" i="18" a="1"/>
  <c r="S189" i="18" a="1"/>
  <c r="S190" i="18" a="1"/>
  <c r="S191" i="18" a="1"/>
  <c r="S192" i="18" a="1"/>
  <c r="S193" i="18" a="1"/>
  <c r="S194" i="18" a="1"/>
  <c r="S195" i="18" a="1"/>
  <c r="S196" i="18" a="1"/>
  <c r="S197" i="18" a="1"/>
  <c r="S198" i="18" a="1"/>
  <c r="S199" i="18" a="1"/>
  <c r="S200" i="18" a="1"/>
  <c r="S201" i="18" a="1"/>
  <c r="S202" i="18" a="1"/>
  <c r="S203" i="18" a="1"/>
  <c r="S204" i="18" a="1"/>
  <c r="S206" i="18" a="1"/>
  <c r="S207" i="18" a="1"/>
  <c r="S208" i="18" a="1"/>
  <c r="S209" i="18" a="1"/>
  <c r="S210" i="18" a="1"/>
  <c r="S211" i="18" a="1"/>
  <c r="S212" i="18" a="1"/>
  <c r="S213" i="18" a="1"/>
  <c r="S214" i="18" a="1"/>
  <c r="S215" i="18" a="1"/>
  <c r="S216" i="18" a="1"/>
  <c r="S217" i="18" a="1"/>
  <c r="S218" i="18" a="1"/>
  <c r="S219" i="18" a="1"/>
  <c r="S220" i="18" a="1"/>
  <c r="S221" i="18" a="1"/>
  <c r="S222" i="18" a="1"/>
  <c r="S223" i="18" a="1"/>
  <c r="S224" i="18" a="1"/>
  <c r="S225" i="18" a="1"/>
  <c r="S226" i="18" a="1"/>
  <c r="S227" i="18" a="1"/>
  <c r="S228" i="18" a="1"/>
  <c r="S229" i="18" a="1"/>
  <c r="S230" i="18" a="1"/>
  <c r="S231" i="18" a="1"/>
  <c r="S232" i="18" a="1"/>
  <c r="S233" i="18" a="1"/>
  <c r="S234" i="18" a="1"/>
  <c r="S235" i="18" a="1"/>
  <c r="S236" i="18" a="1"/>
  <c r="S237" i="18" a="1"/>
  <c r="S238" i="18" a="1"/>
  <c r="S239" i="18" a="1"/>
  <c r="S240" i="18" a="1"/>
  <c r="S241" i="18" a="1"/>
  <c r="S242" i="18" a="1"/>
  <c r="S243" i="18" a="1"/>
  <c r="S244" i="18" a="1"/>
  <c r="S245" i="18" a="1"/>
  <c r="S246" i="18" a="1"/>
  <c r="S247" i="18" a="1"/>
  <c r="S248" i="18" a="1"/>
  <c r="S249" i="18" a="1"/>
  <c r="S250" i="18" a="1"/>
  <c r="S251" i="18" a="1"/>
  <c r="S252" i="18" a="1"/>
  <c r="S253" i="18" a="1"/>
  <c r="S254" i="18" a="1"/>
  <c r="S255" i="18" a="1"/>
  <c r="S256" i="18" a="1"/>
  <c r="S257" i="18" a="1"/>
  <c r="S258" i="18" a="1"/>
  <c r="S259" i="18" a="1"/>
  <c r="S260" i="18" a="1"/>
  <c r="S261" i="18" a="1"/>
  <c r="T2" i="18" a="1"/>
  <c r="T3" i="18" a="1"/>
  <c r="T4" i="18" a="1"/>
  <c r="T5" i="18" a="1"/>
  <c r="T6" i="18" a="1"/>
  <c r="T7" i="18" a="1"/>
  <c r="T8" i="18" a="1"/>
  <c r="T9" i="18" a="1"/>
  <c r="T10" i="18" a="1"/>
  <c r="T11" i="18" a="1"/>
  <c r="T12" i="18" a="1"/>
  <c r="T13" i="18" a="1"/>
  <c r="T14" i="18" a="1"/>
  <c r="T15" i="18" a="1"/>
  <c r="T16" i="18" a="1"/>
  <c r="T17" i="18" a="1"/>
  <c r="T18" i="18" a="1"/>
  <c r="T19" i="18" a="1"/>
  <c r="T20" i="18" a="1"/>
  <c r="T21" i="18" a="1"/>
  <c r="T22" i="18" a="1"/>
  <c r="T23" i="18" a="1"/>
  <c r="T24" i="18" a="1"/>
  <c r="T25" i="18" a="1"/>
  <c r="T26" i="18" a="1"/>
  <c r="T27" i="18" a="1"/>
  <c r="T28" i="18" a="1"/>
  <c r="T29" i="18" a="1"/>
  <c r="T30" i="18" a="1"/>
  <c r="T31" i="18" a="1"/>
  <c r="T32" i="18" a="1"/>
  <c r="T33" i="18" a="1"/>
  <c r="T34" i="18" a="1"/>
  <c r="T35" i="18" a="1"/>
  <c r="T36" i="18" a="1"/>
  <c r="T37" i="18" a="1"/>
  <c r="T38" i="18" a="1"/>
  <c r="T39" i="18" a="1"/>
  <c r="T40" i="18" a="1"/>
  <c r="T41" i="18" a="1"/>
  <c r="T42" i="18" a="1"/>
  <c r="T43" i="18" a="1"/>
  <c r="T44" i="18" a="1"/>
  <c r="T45" i="18" a="1"/>
  <c r="T46" i="18" a="1"/>
  <c r="T47" i="18" a="1"/>
  <c r="T48" i="18" a="1"/>
  <c r="T49" i="18" a="1"/>
  <c r="T50" i="18" a="1"/>
  <c r="T51" i="18" a="1"/>
  <c r="T52" i="18" a="1"/>
  <c r="T53" i="18" a="1"/>
  <c r="T54" i="18" a="1"/>
  <c r="T55" i="18" a="1"/>
  <c r="T56" i="18" a="1"/>
  <c r="T57" i="18" a="1"/>
  <c r="T58" i="18" a="1"/>
  <c r="T59" i="18" a="1"/>
  <c r="T60" i="18" a="1"/>
  <c r="T61" i="18" a="1"/>
  <c r="T62" i="18" a="1"/>
  <c r="T63" i="18" a="1"/>
  <c r="T64" i="18" a="1"/>
  <c r="T65" i="18" a="1"/>
  <c r="T66" i="18" a="1"/>
  <c r="T67" i="18" a="1"/>
  <c r="T68" i="18" a="1"/>
  <c r="T69" i="18" a="1"/>
  <c r="T70" i="18" a="1"/>
  <c r="T71" i="18" a="1"/>
  <c r="T72" i="18" a="1"/>
  <c r="T73" i="18" a="1"/>
  <c r="T74" i="18" a="1"/>
  <c r="T75" i="18" a="1"/>
  <c r="T76" i="18" a="1"/>
  <c r="T77" i="18" a="1"/>
  <c r="T78" i="18" a="1"/>
  <c r="T79" i="18" a="1"/>
  <c r="T80" i="18" a="1"/>
  <c r="T81" i="18" a="1"/>
  <c r="T82" i="18" a="1"/>
  <c r="T83" i="18" a="1"/>
  <c r="T84" i="18" a="1"/>
  <c r="T85" i="18" a="1"/>
  <c r="T86" i="18" a="1"/>
  <c r="T87" i="18" a="1"/>
  <c r="T88" i="18" a="1"/>
  <c r="T89" i="18" a="1"/>
  <c r="T90" i="18" a="1"/>
  <c r="T91" i="18" a="1"/>
  <c r="T92" i="18" a="1"/>
  <c r="T93" i="18" a="1"/>
  <c r="T94" i="18" a="1"/>
  <c r="T95" i="18" a="1"/>
  <c r="T96" i="18" a="1"/>
  <c r="T97" i="18" a="1"/>
  <c r="T98" i="18" a="1"/>
  <c r="T99" i="18" a="1"/>
  <c r="T100" i="18" a="1"/>
  <c r="T101" i="18" a="1"/>
  <c r="T102" i="18" a="1"/>
  <c r="T103" i="18" a="1"/>
  <c r="T104" i="18" a="1"/>
  <c r="T105" i="18" a="1"/>
  <c r="T106" i="18" a="1"/>
  <c r="T107" i="18" a="1"/>
  <c r="T108" i="18" a="1"/>
  <c r="T109" i="18" a="1"/>
  <c r="T110" i="18" a="1"/>
  <c r="T111" i="18" a="1"/>
  <c r="T112" i="18" a="1"/>
  <c r="T113" i="18" a="1"/>
  <c r="T114" i="18" a="1"/>
  <c r="T115" i="18" a="1"/>
  <c r="T116" i="18" a="1"/>
  <c r="T117" i="18" a="1"/>
  <c r="T118" i="18" a="1"/>
  <c r="T119" i="18" a="1"/>
  <c r="T120" i="18" a="1"/>
  <c r="T121" i="18" a="1"/>
  <c r="T122" i="18" a="1"/>
  <c r="T123" i="18" a="1"/>
  <c r="T124" i="18" a="1"/>
  <c r="T125" i="18" a="1"/>
  <c r="T126" i="18" a="1"/>
  <c r="T127" i="18" a="1"/>
  <c r="T128" i="18" a="1"/>
  <c r="T129" i="18" a="1"/>
  <c r="T130" i="18" a="1"/>
  <c r="T131" i="18" a="1"/>
  <c r="T132" i="18" a="1"/>
  <c r="T133" i="18" a="1"/>
  <c r="T134" i="18" a="1"/>
  <c r="T135" i="18" a="1"/>
  <c r="T136" i="18" a="1"/>
  <c r="T137" i="18" a="1"/>
  <c r="T138" i="18" a="1"/>
  <c r="T139" i="18" a="1"/>
  <c r="T140" i="18" a="1"/>
  <c r="T141" i="18" a="1"/>
  <c r="T142" i="18" a="1"/>
  <c r="T143" i="18" a="1"/>
  <c r="T144" i="18" a="1"/>
  <c r="T145" i="18" a="1"/>
  <c r="T146" i="18" a="1"/>
  <c r="T147" i="18" a="1"/>
  <c r="T148" i="18" a="1"/>
  <c r="T149" i="18" a="1"/>
  <c r="T150" i="18" a="1"/>
  <c r="T151" i="18" a="1"/>
  <c r="T152" i="18" a="1"/>
  <c r="T153" i="18" a="1"/>
  <c r="T154" i="18" a="1"/>
  <c r="T155" i="18" a="1"/>
  <c r="T156" i="18" a="1"/>
  <c r="T157" i="18" a="1"/>
  <c r="T158" i="18" a="1"/>
  <c r="T159" i="18" a="1"/>
  <c r="T160" i="18" a="1"/>
  <c r="T161" i="18" a="1"/>
  <c r="T162" i="18" a="1"/>
  <c r="T163" i="18" a="1"/>
  <c r="T164" i="18" a="1"/>
  <c r="T165" i="18" a="1"/>
  <c r="T166" i="18" a="1"/>
  <c r="T167" i="18" a="1"/>
  <c r="T168" i="18" a="1"/>
  <c r="T169" i="18" a="1"/>
  <c r="T170" i="18" a="1"/>
  <c r="T172" i="18" a="1"/>
  <c r="T173" i="18" a="1"/>
  <c r="T174" i="18" a="1"/>
  <c r="T175" i="18" a="1"/>
  <c r="T176" i="18" a="1"/>
  <c r="T177" i="18" a="1"/>
  <c r="T178" i="18" a="1"/>
  <c r="T179" i="18" a="1"/>
  <c r="T180" i="18" a="1"/>
  <c r="T181" i="18" a="1"/>
  <c r="T182" i="18" a="1"/>
  <c r="T183" i="18" a="1"/>
  <c r="T184" i="18" a="1"/>
  <c r="T185" i="18" a="1"/>
  <c r="T186" i="18" a="1"/>
  <c r="T187" i="18" a="1"/>
  <c r="T188" i="18" a="1"/>
  <c r="T189" i="18" a="1"/>
  <c r="T190" i="18" a="1"/>
  <c r="T191" i="18" a="1"/>
  <c r="T192" i="18" a="1"/>
  <c r="T193" i="18" a="1"/>
  <c r="T194" i="18" a="1"/>
  <c r="T195" i="18" a="1"/>
  <c r="T196" i="18" a="1"/>
  <c r="T197" i="18" a="1"/>
  <c r="T198" i="18" a="1"/>
  <c r="T199" i="18" a="1"/>
  <c r="T200" i="18" a="1"/>
  <c r="T201" i="18" a="1"/>
  <c r="T202" i="18" a="1"/>
  <c r="T203" i="18" a="1"/>
  <c r="T204" i="18" a="1"/>
  <c r="T205" i="18" a="1"/>
  <c r="T206" i="18" a="1"/>
  <c r="T207" i="18" a="1"/>
  <c r="T208" i="18" a="1"/>
  <c r="T209" i="18" a="1"/>
  <c r="T210" i="18" a="1"/>
  <c r="T211" i="18" a="1"/>
  <c r="T212" i="18" a="1"/>
  <c r="T213" i="18" a="1"/>
  <c r="T214" i="18" a="1"/>
  <c r="T215" i="18" a="1"/>
  <c r="T216" i="18" a="1"/>
  <c r="T217" i="18" a="1"/>
  <c r="T218" i="18" a="1"/>
  <c r="T219" i="18" a="1"/>
  <c r="T220" i="18" a="1"/>
  <c r="T221" i="18" a="1"/>
  <c r="T222" i="18" a="1"/>
  <c r="T223" i="18" a="1"/>
  <c r="T224" i="18" a="1"/>
  <c r="T225" i="18" a="1"/>
  <c r="T226" i="18" a="1"/>
  <c r="T227" i="18" a="1"/>
  <c r="T228" i="18" a="1"/>
  <c r="T229" i="18" a="1"/>
  <c r="T230" i="18" a="1"/>
  <c r="T231" i="18" a="1"/>
  <c r="T232" i="18" a="1"/>
  <c r="T233" i="18" a="1"/>
  <c r="T234" i="18" a="1"/>
  <c r="T235" i="18" a="1"/>
  <c r="T236" i="18" a="1"/>
  <c r="T237" i="18" a="1"/>
  <c r="T238" i="18" a="1"/>
  <c r="T239" i="18" a="1"/>
  <c r="T240" i="18" a="1"/>
  <c r="T241" i="18" a="1"/>
  <c r="T242" i="18" a="1"/>
  <c r="T243" i="18" a="1"/>
  <c r="T244" i="18" a="1"/>
  <c r="T245" i="18" a="1"/>
  <c r="T246" i="18" a="1"/>
  <c r="T247" i="18" a="1"/>
  <c r="T248" i="18" a="1"/>
  <c r="T249" i="18" a="1"/>
  <c r="T250" i="18" a="1"/>
  <c r="T251" i="18" a="1"/>
  <c r="T252" i="18" a="1"/>
  <c r="T253" i="18" a="1"/>
  <c r="T254" i="18" a="1"/>
  <c r="T255" i="18" a="1"/>
  <c r="T256" i="18" a="1"/>
  <c r="T257" i="18" a="1"/>
  <c r="T258" i="18" a="1"/>
  <c r="T259" i="18" a="1"/>
  <c r="T260" i="18" a="1"/>
  <c r="T261" i="18" a="1"/>
  <c r="L2" i="17"/>
  <c r="L3" i="17"/>
  <c r="L4" i="17"/>
  <c r="L5" i="17"/>
  <c r="L6" i="17"/>
  <c r="L7" i="17"/>
  <c r="L62" i="17"/>
  <c r="L72" i="17"/>
  <c r="L82" i="17"/>
  <c r="L92" i="17"/>
  <c r="L102" i="17"/>
  <c r="L112" i="17"/>
  <c r="L122" i="17"/>
  <c r="L132" i="17"/>
  <c r="L142" i="17"/>
  <c r="L152" i="17"/>
  <c r="L162" i="17"/>
  <c r="L8" i="17"/>
  <c r="L9" i="17"/>
  <c r="L10" i="17"/>
  <c r="L11" i="17"/>
  <c r="L12" i="17"/>
  <c r="L13" i="17"/>
  <c r="L63" i="17"/>
  <c r="L73" i="17"/>
  <c r="L83" i="17"/>
  <c r="L93" i="17"/>
  <c r="L103" i="17"/>
  <c r="L113" i="17"/>
  <c r="L123" i="17"/>
  <c r="L133" i="17"/>
  <c r="L143" i="17"/>
  <c r="L153" i="17"/>
  <c r="L163" i="17"/>
  <c r="L14" i="17"/>
  <c r="L15" i="17"/>
  <c r="L16" i="17"/>
  <c r="L17" i="17"/>
  <c r="L18" i="17"/>
  <c r="L19" i="17"/>
  <c r="L64" i="17"/>
  <c r="L74" i="17"/>
  <c r="L84" i="17"/>
  <c r="L94" i="17"/>
  <c r="L104" i="17"/>
  <c r="L114" i="17"/>
  <c r="L124" i="17"/>
  <c r="L134" i="17"/>
  <c r="L144" i="17"/>
  <c r="L154" i="17"/>
  <c r="L164" i="17"/>
  <c r="L20" i="17"/>
  <c r="U102" i="17" s="1" a="1"/>
  <c r="L21" i="17"/>
  <c r="L22" i="17"/>
  <c r="L23" i="17"/>
  <c r="L24" i="17"/>
  <c r="L25" i="17"/>
  <c r="L65" i="17"/>
  <c r="L75" i="17"/>
  <c r="L85" i="17"/>
  <c r="L95" i="17"/>
  <c r="L105" i="17"/>
  <c r="L115" i="17"/>
  <c r="L125" i="17"/>
  <c r="L135" i="17"/>
  <c r="L145" i="17"/>
  <c r="L155" i="17"/>
  <c r="L165" i="17"/>
  <c r="L26" i="17"/>
  <c r="L27" i="17"/>
  <c r="O122" i="17" s="1" a="1"/>
  <c r="L28" i="17"/>
  <c r="L29" i="17"/>
  <c r="L30" i="17"/>
  <c r="L31" i="17"/>
  <c r="L66" i="17"/>
  <c r="L76" i="17"/>
  <c r="L86" i="17"/>
  <c r="L96" i="17"/>
  <c r="L106" i="17"/>
  <c r="L116" i="17"/>
  <c r="L126" i="17"/>
  <c r="L136" i="17"/>
  <c r="L146" i="17"/>
  <c r="R146" i="17" s="1" a="1"/>
  <c r="L156" i="17"/>
  <c r="R156" i="17" s="1" a="1"/>
  <c r="L166" i="17"/>
  <c r="R166" i="17" s="1" a="1"/>
  <c r="L32" i="17"/>
  <c r="R32" i="17" s="1" a="1"/>
  <c r="L33" i="17"/>
  <c r="R33" i="17" s="1" a="1"/>
  <c r="L34" i="17"/>
  <c r="R34" i="17" s="1" a="1"/>
  <c r="L35" i="17"/>
  <c r="R35" i="17" s="1" a="1"/>
  <c r="L36" i="17"/>
  <c r="R36" i="17" s="1" a="1"/>
  <c r="L37" i="17"/>
  <c r="R37" i="17" s="1" a="1"/>
  <c r="L67" i="17"/>
  <c r="R67" i="17" s="1" a="1"/>
  <c r="L77" i="17"/>
  <c r="R77" i="17" s="1" a="1"/>
  <c r="L87" i="17"/>
  <c r="R87" i="17" s="1" a="1"/>
  <c r="L97" i="17"/>
  <c r="R97" i="17" s="1" a="1"/>
  <c r="L107" i="17"/>
  <c r="R107" i="17" s="1" a="1"/>
  <c r="L117" i="17"/>
  <c r="R117" i="17" s="1" a="1"/>
  <c r="L127" i="17"/>
  <c r="R127" i="17" s="1" a="1"/>
  <c r="L137" i="17"/>
  <c r="R137" i="17" s="1" a="1"/>
  <c r="L147" i="17"/>
  <c r="R147" i="17" s="1" a="1"/>
  <c r="L157" i="17"/>
  <c r="R157" i="17" s="1" a="1"/>
  <c r="L167" i="17"/>
  <c r="R167" i="17" s="1" a="1"/>
  <c r="L38" i="17"/>
  <c r="L39" i="17"/>
  <c r="L40" i="17"/>
  <c r="R40" i="17" s="1" a="1"/>
  <c r="L41" i="17"/>
  <c r="R41" i="17" s="1" a="1"/>
  <c r="L42" i="17"/>
  <c r="R42" i="17" s="1" a="1"/>
  <c r="L43" i="17"/>
  <c r="L68" i="17"/>
  <c r="R68" i="17" s="1" a="1"/>
  <c r="L78" i="17"/>
  <c r="R78" i="17" s="1" a="1"/>
  <c r="L88" i="17"/>
  <c r="R88" i="17" s="1" a="1"/>
  <c r="L98" i="17"/>
  <c r="R98" i="17" s="1" a="1"/>
  <c r="L108" i="17"/>
  <c r="R108" i="17" s="1" a="1"/>
  <c r="L118" i="17"/>
  <c r="R118" i="17" s="1" a="1"/>
  <c r="L128" i="17"/>
  <c r="R128" i="17" s="1" a="1"/>
  <c r="L138" i="17"/>
  <c r="R138" i="17" s="1" a="1"/>
  <c r="L148" i="17"/>
  <c r="R148" i="17" s="1" a="1"/>
  <c r="L158" i="17"/>
  <c r="R158" i="17" s="1" a="1"/>
  <c r="L168" i="17"/>
  <c r="R168" i="17" s="1" a="1"/>
  <c r="L44" i="17"/>
  <c r="L45" i="17"/>
  <c r="L46" i="17"/>
  <c r="L47" i="17"/>
  <c r="L48" i="17"/>
  <c r="L49" i="17"/>
  <c r="X49" i="17" s="1" a="1"/>
  <c r="L69" i="17"/>
  <c r="X69" i="17" s="1" a="1"/>
  <c r="L79" i="17"/>
  <c r="X79" i="17" s="1" a="1"/>
  <c r="L89" i="17"/>
  <c r="X89" i="17" s="1" a="1"/>
  <c r="L99" i="17"/>
  <c r="X99" i="17" s="1" a="1"/>
  <c r="L109" i="17"/>
  <c r="L119" i="17"/>
  <c r="L129" i="17"/>
  <c r="L139" i="17"/>
  <c r="L149" i="17"/>
  <c r="L159" i="17"/>
  <c r="L169" i="17"/>
  <c r="L50" i="17"/>
  <c r="L51" i="17"/>
  <c r="L52" i="17"/>
  <c r="L53" i="17"/>
  <c r="L54" i="17"/>
  <c r="L55" i="17"/>
  <c r="L70" i="17"/>
  <c r="L80" i="17"/>
  <c r="L90" i="17"/>
  <c r="L100" i="17"/>
  <c r="L110" i="17"/>
  <c r="L120" i="17"/>
  <c r="L130" i="17"/>
  <c r="L140" i="17"/>
  <c r="L150" i="17"/>
  <c r="L160" i="17"/>
  <c r="L170" i="17"/>
  <c r="L56" i="17"/>
  <c r="L57" i="17"/>
  <c r="L58" i="17"/>
  <c r="L59" i="17"/>
  <c r="L60" i="17"/>
  <c r="L61" i="17"/>
  <c r="L71" i="17"/>
  <c r="L81" i="17"/>
  <c r="L91" i="17"/>
  <c r="L101" i="17"/>
  <c r="L111" i="17"/>
  <c r="L121" i="17"/>
  <c r="L131" i="17"/>
  <c r="L141" i="17"/>
  <c r="L151" i="17"/>
  <c r="L161" i="17"/>
  <c r="L171" i="17"/>
  <c r="M2" i="17" a="1"/>
  <c r="M3" i="17" a="1"/>
  <c r="M4" i="17" a="1"/>
  <c r="M5" i="17" a="1"/>
  <c r="M6" i="17" a="1"/>
  <c r="M7" i="17" a="1"/>
  <c r="M62" i="17" a="1"/>
  <c r="M72" i="17" a="1"/>
  <c r="M82" i="17" a="1"/>
  <c r="M92" i="17" a="1"/>
  <c r="M102" i="17" a="1"/>
  <c r="M112" i="17" a="1"/>
  <c r="M122" i="17" a="1"/>
  <c r="M132" i="17" a="1"/>
  <c r="M142" i="17" a="1"/>
  <c r="M152" i="17" a="1"/>
  <c r="M162" i="17" a="1"/>
  <c r="M8" i="17" a="1"/>
  <c r="M9" i="17" a="1"/>
  <c r="M10" i="17" a="1"/>
  <c r="M11" i="17" a="1"/>
  <c r="M12" i="17" a="1"/>
  <c r="M13" i="17" a="1"/>
  <c r="M63" i="17" a="1"/>
  <c r="M73" i="17" a="1"/>
  <c r="M83" i="17" a="1"/>
  <c r="M93" i="17" a="1"/>
  <c r="M103" i="17" a="1"/>
  <c r="M113" i="17" a="1"/>
  <c r="M123" i="17" a="1"/>
  <c r="M133" i="17" a="1"/>
  <c r="M143" i="17" a="1"/>
  <c r="M153" i="17" a="1"/>
  <c r="M163" i="17" a="1"/>
  <c r="M14" i="17" a="1"/>
  <c r="M15" i="17" a="1"/>
  <c r="M16" i="17" a="1"/>
  <c r="M17" i="17" a="1"/>
  <c r="M18" i="17" a="1"/>
  <c r="M19" i="17" a="1"/>
  <c r="M64" i="17" a="1"/>
  <c r="M74" i="17" a="1"/>
  <c r="M84" i="17" a="1"/>
  <c r="M94" i="17" a="1"/>
  <c r="M104" i="17" a="1"/>
  <c r="M114" i="17" a="1"/>
  <c r="M124" i="17" a="1"/>
  <c r="M134" i="17" a="1"/>
  <c r="M144" i="17" a="1"/>
  <c r="M154" i="17" a="1"/>
  <c r="M164" i="17" a="1"/>
  <c r="M20" i="17" a="1"/>
  <c r="M21" i="17" a="1"/>
  <c r="M22" i="17" a="1"/>
  <c r="M23" i="17" a="1"/>
  <c r="M24" i="17" a="1"/>
  <c r="M25" i="17" a="1"/>
  <c r="M65" i="17" a="1"/>
  <c r="M75" i="17" a="1"/>
  <c r="M85" i="17" a="1"/>
  <c r="M95" i="17" a="1"/>
  <c r="M105" i="17" a="1"/>
  <c r="M115" i="17" a="1"/>
  <c r="M125" i="17" a="1"/>
  <c r="M135" i="17" a="1"/>
  <c r="M145" i="17" a="1"/>
  <c r="M155" i="17" a="1"/>
  <c r="M165" i="17" a="1"/>
  <c r="M26" i="17" a="1"/>
  <c r="M27" i="17" a="1"/>
  <c r="M28" i="17" a="1"/>
  <c r="M29" i="17" a="1"/>
  <c r="M30" i="17" a="1"/>
  <c r="M31" i="17" a="1"/>
  <c r="M66" i="17" a="1"/>
  <c r="M76" i="17" a="1"/>
  <c r="M86" i="17" a="1"/>
  <c r="M96" i="17" a="1"/>
  <c r="M106" i="17" a="1"/>
  <c r="M116" i="17" a="1"/>
  <c r="M126" i="17" a="1"/>
  <c r="M136" i="17" a="1"/>
  <c r="M146" i="17" a="1"/>
  <c r="M156" i="17" a="1"/>
  <c r="M166" i="17" a="1"/>
  <c r="M32" i="17" a="1"/>
  <c r="M33" i="17" a="1"/>
  <c r="M34" i="17" a="1"/>
  <c r="M35" i="17" a="1"/>
  <c r="M36" i="17" a="1"/>
  <c r="M37" i="17" a="1"/>
  <c r="M67" i="17" a="1"/>
  <c r="M77" i="17" a="1"/>
  <c r="M87" i="17" a="1"/>
  <c r="M97" i="17" a="1"/>
  <c r="M107" i="17" a="1"/>
  <c r="M117" i="17" a="1"/>
  <c r="M127" i="17" a="1"/>
  <c r="M137" i="17" a="1"/>
  <c r="M147" i="17" a="1"/>
  <c r="M157" i="17" a="1"/>
  <c r="M167" i="17" a="1"/>
  <c r="M38" i="17" a="1"/>
  <c r="M39" i="17" a="1"/>
  <c r="M40" i="17" a="1"/>
  <c r="M41" i="17" a="1"/>
  <c r="M42" i="17" a="1"/>
  <c r="M43" i="17" a="1"/>
  <c r="M68" i="17" a="1"/>
  <c r="M78" i="17" a="1"/>
  <c r="M88" i="17" a="1"/>
  <c r="M98" i="17" a="1"/>
  <c r="M108" i="17" a="1"/>
  <c r="M118" i="17" a="1"/>
  <c r="M128" i="17" a="1"/>
  <c r="M138" i="17" a="1"/>
  <c r="M148" i="17" a="1"/>
  <c r="M158" i="17" a="1"/>
  <c r="M168" i="17" a="1"/>
  <c r="M44" i="17" a="1"/>
  <c r="M45" i="17" a="1"/>
  <c r="M46" i="17" a="1"/>
  <c r="M47" i="17" a="1"/>
  <c r="M48" i="17" a="1"/>
  <c r="M49" i="17" a="1"/>
  <c r="M69" i="17" a="1"/>
  <c r="M79" i="17" a="1"/>
  <c r="M89" i="17" a="1"/>
  <c r="M99" i="17" a="1"/>
  <c r="M109" i="17" a="1"/>
  <c r="M119" i="17" a="1"/>
  <c r="M129" i="17" a="1"/>
  <c r="M139" i="17" a="1"/>
  <c r="M149" i="17" a="1"/>
  <c r="M159" i="17" a="1"/>
  <c r="M169" i="17" a="1"/>
  <c r="M50" i="17" a="1"/>
  <c r="M51" i="17" a="1"/>
  <c r="M52" i="17" a="1"/>
  <c r="M53" i="17" a="1"/>
  <c r="M54" i="17" a="1"/>
  <c r="M55" i="17" a="1"/>
  <c r="M70" i="17" a="1"/>
  <c r="M80" i="17" a="1"/>
  <c r="M90" i="17" a="1"/>
  <c r="M100" i="17" a="1"/>
  <c r="M110" i="17" a="1"/>
  <c r="M120" i="17" a="1"/>
  <c r="M130" i="17" a="1"/>
  <c r="M140" i="17" a="1"/>
  <c r="M150" i="17" a="1"/>
  <c r="M160" i="17" a="1"/>
  <c r="M170" i="17" a="1"/>
  <c r="M56" i="17" a="1"/>
  <c r="M57" i="17" a="1"/>
  <c r="M58" i="17" a="1"/>
  <c r="M59" i="17" a="1"/>
  <c r="M60" i="17" a="1"/>
  <c r="M61" i="17" a="1"/>
  <c r="M71" i="17" a="1"/>
  <c r="M81" i="17" a="1"/>
  <c r="M91" i="17" a="1"/>
  <c r="M101" i="17" a="1"/>
  <c r="M111" i="17" a="1"/>
  <c r="M121" i="17" a="1"/>
  <c r="M131" i="17" a="1"/>
  <c r="M141" i="17" a="1"/>
  <c r="M151" i="17" a="1"/>
  <c r="M161" i="17" a="1"/>
  <c r="M171" i="17" a="1"/>
  <c r="N72" i="17" a="1"/>
  <c r="N82" i="17" a="1"/>
  <c r="N92" i="17" a="1"/>
  <c r="N102" i="17" a="1"/>
  <c r="N112" i="17" a="1"/>
  <c r="N122" i="17" a="1"/>
  <c r="N132" i="17" a="1"/>
  <c r="N142" i="17" a="1"/>
  <c r="N152" i="17" a="1"/>
  <c r="N162" i="17" a="1"/>
  <c r="N8" i="17" a="1"/>
  <c r="N9" i="17" a="1"/>
  <c r="N10" i="17" a="1"/>
  <c r="N13" i="17" a="1"/>
  <c r="N63" i="17" a="1"/>
  <c r="N73" i="17" a="1"/>
  <c r="N83" i="17" a="1"/>
  <c r="N93" i="17" a="1"/>
  <c r="N103" i="17" a="1"/>
  <c r="N113" i="17" a="1"/>
  <c r="N123" i="17" a="1"/>
  <c r="N133" i="17" a="1"/>
  <c r="N143" i="17" a="1"/>
  <c r="N153" i="17" a="1"/>
  <c r="N163" i="17" a="1"/>
  <c r="N14" i="17" a="1"/>
  <c r="N15" i="17" a="1"/>
  <c r="N16" i="17" a="1"/>
  <c r="N17" i="17" a="1"/>
  <c r="N18" i="17" a="1"/>
  <c r="N19" i="17" a="1"/>
  <c r="N64" i="17" a="1"/>
  <c r="N74" i="17" a="1"/>
  <c r="N84" i="17" a="1"/>
  <c r="N94" i="17" a="1"/>
  <c r="N104" i="17" a="1"/>
  <c r="N114" i="17" a="1"/>
  <c r="N124" i="17" a="1"/>
  <c r="N134" i="17" a="1"/>
  <c r="N144" i="17" a="1"/>
  <c r="N154" i="17" a="1"/>
  <c r="N164" i="17" a="1"/>
  <c r="N20" i="17" a="1"/>
  <c r="N21" i="17" a="1"/>
  <c r="N22" i="17" a="1"/>
  <c r="N23" i="17" a="1"/>
  <c r="N24" i="17" a="1"/>
  <c r="N25" i="17" a="1"/>
  <c r="N65" i="17" a="1"/>
  <c r="N75" i="17" a="1"/>
  <c r="N85" i="17" a="1"/>
  <c r="N95" i="17" a="1"/>
  <c r="N105" i="17" a="1"/>
  <c r="N115" i="17" a="1"/>
  <c r="N125" i="17" a="1"/>
  <c r="N135" i="17" a="1"/>
  <c r="N145" i="17" a="1"/>
  <c r="N155" i="17" a="1"/>
  <c r="N165" i="17" a="1"/>
  <c r="N26" i="17" a="1"/>
  <c r="N27" i="17" a="1"/>
  <c r="N28" i="17" a="1"/>
  <c r="N29" i="17" a="1"/>
  <c r="N30" i="17" a="1"/>
  <c r="N31" i="17" a="1"/>
  <c r="N66" i="17" a="1"/>
  <c r="N76" i="17" a="1"/>
  <c r="N86" i="17" a="1"/>
  <c r="N96" i="17" a="1"/>
  <c r="N106" i="17" a="1"/>
  <c r="N116" i="17" a="1"/>
  <c r="N126" i="17" a="1"/>
  <c r="N136" i="17" a="1"/>
  <c r="N146" i="17" a="1"/>
  <c r="N156" i="17" a="1"/>
  <c r="N166" i="17" a="1"/>
  <c r="N32" i="17" a="1"/>
  <c r="N33" i="17" a="1"/>
  <c r="N34" i="17" a="1"/>
  <c r="N35" i="17" a="1"/>
  <c r="N36" i="17" a="1"/>
  <c r="N37" i="17" a="1"/>
  <c r="N67" i="17" a="1"/>
  <c r="N77" i="17" a="1"/>
  <c r="N87" i="17" a="1"/>
  <c r="N97" i="17" a="1"/>
  <c r="N107" i="17" a="1"/>
  <c r="N117" i="17" a="1"/>
  <c r="N127" i="17" a="1"/>
  <c r="N137" i="17" a="1"/>
  <c r="N147" i="17" a="1"/>
  <c r="N157" i="17" a="1"/>
  <c r="N167" i="17" a="1"/>
  <c r="N38" i="17" a="1"/>
  <c r="N39" i="17" a="1"/>
  <c r="N40" i="17" a="1"/>
  <c r="N41" i="17" a="1"/>
  <c r="N42" i="17" a="1"/>
  <c r="N43" i="17" a="1"/>
  <c r="N68" i="17" a="1"/>
  <c r="N78" i="17" a="1"/>
  <c r="N88" i="17" a="1"/>
  <c r="N98" i="17" a="1"/>
  <c r="N108" i="17" a="1"/>
  <c r="N118" i="17" a="1"/>
  <c r="N128" i="17" a="1"/>
  <c r="N138" i="17" a="1"/>
  <c r="N99" i="17" a="1"/>
  <c r="N109" i="17" a="1"/>
  <c r="N119" i="17" a="1"/>
  <c r="N129" i="17" a="1"/>
  <c r="N139" i="17" a="1"/>
  <c r="N149" i="17" a="1"/>
  <c r="N159" i="17" a="1"/>
  <c r="N169" i="17" a="1"/>
  <c r="N50" i="17" a="1"/>
  <c r="N51" i="17" a="1"/>
  <c r="N52" i="17" a="1"/>
  <c r="N53" i="17" a="1"/>
  <c r="N54" i="17" a="1"/>
  <c r="N55" i="17" a="1"/>
  <c r="N70" i="17" a="1"/>
  <c r="N80" i="17" a="1"/>
  <c r="N90" i="17" a="1"/>
  <c r="N100" i="17" a="1"/>
  <c r="N110" i="17" a="1"/>
  <c r="N120" i="17" a="1"/>
  <c r="N130" i="17" a="1"/>
  <c r="N140" i="17" a="1"/>
  <c r="N150" i="17" a="1"/>
  <c r="N160" i="17" a="1"/>
  <c r="N170" i="17" a="1"/>
  <c r="N56" i="17" a="1"/>
  <c r="N57" i="17" a="1"/>
  <c r="N58" i="17" a="1"/>
  <c r="N59" i="17" a="1"/>
  <c r="N60" i="17" a="1"/>
  <c r="N61" i="17" a="1"/>
  <c r="N71" i="17" a="1"/>
  <c r="N81" i="17" a="1"/>
  <c r="N91" i="17" a="1"/>
  <c r="N101" i="17" a="1"/>
  <c r="N111" i="17" a="1"/>
  <c r="N121" i="17" a="1"/>
  <c r="N131" i="17" a="1"/>
  <c r="N141" i="17" a="1"/>
  <c r="N151" i="17" a="1"/>
  <c r="N161" i="17" a="1"/>
  <c r="N171" i="17" a="1"/>
  <c r="O2" i="17" a="1"/>
  <c r="O3" i="17" a="1"/>
  <c r="O4" i="17" a="1"/>
  <c r="O5" i="17" a="1"/>
  <c r="O6" i="17" a="1"/>
  <c r="O7" i="17" a="1"/>
  <c r="O62" i="17" a="1"/>
  <c r="O72" i="17" a="1"/>
  <c r="O162" i="17" a="1"/>
  <c r="O8" i="17" a="1"/>
  <c r="O9" i="17" a="1"/>
  <c r="O10" i="17" a="1"/>
  <c r="O11" i="17" a="1"/>
  <c r="O12" i="17" a="1"/>
  <c r="O13" i="17" a="1"/>
  <c r="O63" i="17" a="1"/>
  <c r="O73" i="17" a="1"/>
  <c r="O83" i="17" a="1"/>
  <c r="O93" i="17" a="1"/>
  <c r="O103" i="17" a="1"/>
  <c r="O113" i="17" a="1"/>
  <c r="O123" i="17" a="1"/>
  <c r="O133" i="17" a="1"/>
  <c r="O143" i="17" a="1"/>
  <c r="O153" i="17" a="1"/>
  <c r="O163" i="17" a="1"/>
  <c r="O14" i="17" a="1"/>
  <c r="O15" i="17" a="1"/>
  <c r="O16" i="17" a="1"/>
  <c r="O17" i="17" a="1"/>
  <c r="O18" i="17" a="1"/>
  <c r="O19" i="17" a="1"/>
  <c r="O64" i="17" a="1"/>
  <c r="O74" i="17" a="1"/>
  <c r="O84" i="17" a="1"/>
  <c r="O94" i="17" a="1"/>
  <c r="O104" i="17" a="1"/>
  <c r="O114" i="17" a="1"/>
  <c r="O124" i="17" a="1"/>
  <c r="O134" i="17" a="1"/>
  <c r="O144" i="17" a="1"/>
  <c r="O154" i="17" a="1"/>
  <c r="O164" i="17" a="1"/>
  <c r="O20" i="17" a="1"/>
  <c r="O21" i="17" a="1"/>
  <c r="O22" i="17" a="1"/>
  <c r="O23" i="17" a="1"/>
  <c r="O24" i="17" a="1"/>
  <c r="O25" i="17" a="1"/>
  <c r="O65" i="17" a="1"/>
  <c r="O75" i="17" a="1"/>
  <c r="O85" i="17" a="1"/>
  <c r="O95" i="17" a="1"/>
  <c r="O105" i="17" a="1"/>
  <c r="O115" i="17" a="1"/>
  <c r="O125" i="17" a="1"/>
  <c r="O135" i="17" a="1"/>
  <c r="O145" i="17" a="1"/>
  <c r="O155" i="17" a="1"/>
  <c r="O165" i="17" a="1"/>
  <c r="O26" i="17" a="1"/>
  <c r="O27" i="17" a="1"/>
  <c r="O28" i="17" a="1"/>
  <c r="O29" i="17" a="1"/>
  <c r="O30" i="17" a="1"/>
  <c r="O31" i="17" a="1"/>
  <c r="O66" i="17" a="1"/>
  <c r="O76" i="17" a="1"/>
  <c r="O86" i="17" a="1"/>
  <c r="O96" i="17" a="1"/>
  <c r="O106" i="17" a="1"/>
  <c r="O116" i="17" a="1"/>
  <c r="O126" i="17" a="1"/>
  <c r="O136" i="17" a="1"/>
  <c r="O146" i="17" a="1"/>
  <c r="O156" i="17" a="1"/>
  <c r="O166" i="17" a="1"/>
  <c r="O32" i="17" a="1"/>
  <c r="O33" i="17" a="1"/>
  <c r="O34" i="17" a="1"/>
  <c r="O36" i="17" a="1"/>
  <c r="O37" i="17" a="1"/>
  <c r="O67" i="17" a="1"/>
  <c r="O77" i="17" a="1"/>
  <c r="O87" i="17" a="1"/>
  <c r="O97" i="17" a="1"/>
  <c r="O107" i="17" a="1"/>
  <c r="O117" i="17" a="1"/>
  <c r="O127" i="17" a="1"/>
  <c r="O137" i="17" a="1"/>
  <c r="O147" i="17" a="1"/>
  <c r="O157" i="17" a="1"/>
  <c r="O167" i="17" a="1"/>
  <c r="O38" i="17" a="1"/>
  <c r="O39" i="17" a="1"/>
  <c r="O40" i="17" a="1"/>
  <c r="O41" i="17" a="1"/>
  <c r="O42" i="17" a="1"/>
  <c r="O43" i="17" a="1"/>
  <c r="O68" i="17" a="1"/>
  <c r="O78" i="17" a="1"/>
  <c r="O88" i="17" a="1"/>
  <c r="O98" i="17" a="1"/>
  <c r="O108" i="17" a="1"/>
  <c r="O118" i="17" a="1"/>
  <c r="O128" i="17" a="1"/>
  <c r="O138" i="17" a="1"/>
  <c r="O148" i="17" a="1"/>
  <c r="O158" i="17" a="1"/>
  <c r="O168" i="17" a="1"/>
  <c r="O44" i="17" a="1"/>
  <c r="O45" i="17" a="1"/>
  <c r="O46" i="17" a="1"/>
  <c r="O47" i="17" a="1"/>
  <c r="O48" i="17" a="1"/>
  <c r="O49" i="17" a="1"/>
  <c r="O69" i="17" a="1"/>
  <c r="O79" i="17" a="1"/>
  <c r="O89" i="17" a="1"/>
  <c r="O99" i="17" a="1"/>
  <c r="O109" i="17" a="1"/>
  <c r="O119" i="17" a="1"/>
  <c r="O129" i="17" a="1"/>
  <c r="O139" i="17" a="1"/>
  <c r="O149" i="17" a="1"/>
  <c r="O159" i="17" a="1"/>
  <c r="O169" i="17" a="1"/>
  <c r="O50" i="17" a="1"/>
  <c r="O51" i="17" a="1"/>
  <c r="O52" i="17" a="1"/>
  <c r="O53" i="17" a="1"/>
  <c r="O54" i="17" a="1"/>
  <c r="O55" i="17" a="1"/>
  <c r="O70" i="17" a="1"/>
  <c r="O80" i="17" a="1"/>
  <c r="O90" i="17" a="1"/>
  <c r="O100" i="17" a="1"/>
  <c r="O110" i="17" a="1"/>
  <c r="O120" i="17" a="1"/>
  <c r="O130" i="17" a="1"/>
  <c r="O140" i="17" a="1"/>
  <c r="O150" i="17" a="1"/>
  <c r="O160" i="17" a="1"/>
  <c r="O170" i="17" a="1"/>
  <c r="O56" i="17" a="1"/>
  <c r="O57" i="17" a="1"/>
  <c r="O58" i="17" a="1"/>
  <c r="O59" i="17" a="1"/>
  <c r="O60" i="17" a="1"/>
  <c r="O61" i="17" a="1"/>
  <c r="O71" i="17" a="1"/>
  <c r="O81" i="17" a="1"/>
  <c r="O91" i="17" a="1"/>
  <c r="O101" i="17" a="1"/>
  <c r="O111" i="17" a="1"/>
  <c r="O121" i="17" a="1"/>
  <c r="O131" i="17" a="1"/>
  <c r="O141" i="17" a="1"/>
  <c r="O151" i="17" a="1"/>
  <c r="O161" i="17" a="1"/>
  <c r="O171" i="17" a="1"/>
  <c r="P2" i="17" a="1"/>
  <c r="P3" i="17" a="1"/>
  <c r="P4" i="17" a="1"/>
  <c r="P5" i="17" a="1"/>
  <c r="P6" i="17" a="1"/>
  <c r="P7" i="17" a="1"/>
  <c r="P62" i="17" a="1"/>
  <c r="P72" i="17" a="1"/>
  <c r="P82" i="17" a="1"/>
  <c r="P92" i="17" a="1"/>
  <c r="P102" i="17" a="1"/>
  <c r="P112" i="17" a="1"/>
  <c r="P122" i="17" a="1"/>
  <c r="P132" i="17" a="1"/>
  <c r="P142" i="17" a="1"/>
  <c r="P152" i="17" a="1"/>
  <c r="P162" i="17" a="1"/>
  <c r="P8" i="17" a="1"/>
  <c r="P9" i="17" a="1"/>
  <c r="P10" i="17" a="1"/>
  <c r="P11" i="17" a="1"/>
  <c r="P12" i="17" a="1"/>
  <c r="P13" i="17" a="1"/>
  <c r="P63" i="17" a="1"/>
  <c r="P73" i="17" a="1"/>
  <c r="P83" i="17" a="1"/>
  <c r="P93" i="17" a="1"/>
  <c r="P103" i="17" a="1"/>
  <c r="P113" i="17" a="1"/>
  <c r="P123" i="17" a="1"/>
  <c r="P133" i="17" a="1"/>
  <c r="P143" i="17" a="1"/>
  <c r="P153" i="17" a="1"/>
  <c r="P163" i="17" a="1"/>
  <c r="P14" i="17" a="1"/>
  <c r="P15" i="17" a="1"/>
  <c r="P16" i="17" a="1"/>
  <c r="P17" i="17" a="1"/>
  <c r="P18" i="17" a="1"/>
  <c r="P19" i="17" a="1"/>
  <c r="P64" i="17" a="1"/>
  <c r="P74" i="17" a="1"/>
  <c r="P84" i="17" a="1"/>
  <c r="P94" i="17" a="1"/>
  <c r="P104" i="17" a="1"/>
  <c r="P114" i="17" a="1"/>
  <c r="P124" i="17" a="1"/>
  <c r="P134" i="17" a="1"/>
  <c r="P144" i="17" a="1"/>
  <c r="P154" i="17" a="1"/>
  <c r="P164" i="17" a="1"/>
  <c r="P20" i="17" a="1"/>
  <c r="P21" i="17" a="1"/>
  <c r="P22" i="17" a="1"/>
  <c r="P23" i="17" a="1"/>
  <c r="P24" i="17" a="1"/>
  <c r="P25" i="17" a="1"/>
  <c r="P65" i="17" a="1"/>
  <c r="P75" i="17" a="1"/>
  <c r="P85" i="17" a="1"/>
  <c r="P95" i="17" a="1"/>
  <c r="P105" i="17" a="1"/>
  <c r="P115" i="17" a="1"/>
  <c r="P125" i="17" a="1"/>
  <c r="P135" i="17" a="1"/>
  <c r="P145" i="17" a="1"/>
  <c r="P155" i="17" a="1"/>
  <c r="P165" i="17" a="1"/>
  <c r="P26" i="17" a="1"/>
  <c r="P27" i="17" a="1"/>
  <c r="P28" i="17" a="1"/>
  <c r="P29" i="17" a="1"/>
  <c r="P30" i="17" a="1"/>
  <c r="P31" i="17" a="1"/>
  <c r="P66" i="17" a="1"/>
  <c r="P76" i="17" a="1"/>
  <c r="P86" i="17" a="1"/>
  <c r="P96" i="17" a="1"/>
  <c r="P106" i="17" a="1"/>
  <c r="P116" i="17" a="1"/>
  <c r="P126" i="17" a="1"/>
  <c r="P136" i="17" a="1"/>
  <c r="P146" i="17" a="1"/>
  <c r="P156" i="17" a="1"/>
  <c r="P166" i="17" a="1"/>
  <c r="P32" i="17" a="1"/>
  <c r="P33" i="17" a="1"/>
  <c r="P34" i="17" a="1"/>
  <c r="P35" i="17" a="1"/>
  <c r="P36" i="17" a="1"/>
  <c r="P37" i="17" a="1"/>
  <c r="P67" i="17" a="1"/>
  <c r="P77" i="17" a="1"/>
  <c r="P87" i="17" a="1"/>
  <c r="P97" i="17" a="1"/>
  <c r="P107" i="17" a="1"/>
  <c r="P117" i="17" a="1"/>
  <c r="P127" i="17" a="1"/>
  <c r="P137" i="17" a="1"/>
  <c r="P147" i="17" a="1"/>
  <c r="P157" i="17" a="1"/>
  <c r="P167" i="17" a="1"/>
  <c r="P38" i="17" a="1"/>
  <c r="P39" i="17" a="1"/>
  <c r="P40" i="17" a="1"/>
  <c r="P41" i="17" a="1"/>
  <c r="P42" i="17" a="1"/>
  <c r="P43" i="17" a="1"/>
  <c r="P68" i="17" a="1"/>
  <c r="P78" i="17" a="1"/>
  <c r="P88" i="17" a="1"/>
  <c r="P98" i="17" a="1"/>
  <c r="P108" i="17" a="1"/>
  <c r="P118" i="17" a="1"/>
  <c r="P128" i="17" a="1"/>
  <c r="P138" i="17" a="1"/>
  <c r="P148" i="17" a="1"/>
  <c r="P158" i="17" a="1"/>
  <c r="P168" i="17" a="1"/>
  <c r="P44" i="17" a="1"/>
  <c r="P45" i="17" a="1"/>
  <c r="P46" i="17" a="1"/>
  <c r="P47" i="17" a="1"/>
  <c r="P48" i="17" a="1"/>
  <c r="P49" i="17" a="1"/>
  <c r="P69" i="17" a="1"/>
  <c r="P79" i="17" a="1"/>
  <c r="P89" i="17" a="1"/>
  <c r="P99" i="17" a="1"/>
  <c r="P109" i="17" a="1"/>
  <c r="P119" i="17" a="1"/>
  <c r="P129" i="17" a="1"/>
  <c r="P139" i="17" a="1"/>
  <c r="P149" i="17" a="1"/>
  <c r="P159" i="17" a="1"/>
  <c r="P169" i="17" a="1"/>
  <c r="P50" i="17" a="1"/>
  <c r="P51" i="17" a="1"/>
  <c r="P52" i="17" a="1"/>
  <c r="P53" i="17" a="1"/>
  <c r="P54" i="17" a="1"/>
  <c r="P55" i="17" a="1"/>
  <c r="P70" i="17" a="1"/>
  <c r="P80" i="17" a="1"/>
  <c r="P90" i="17" a="1"/>
  <c r="P100" i="17" a="1"/>
  <c r="P110" i="17" a="1"/>
  <c r="P120" i="17" a="1"/>
  <c r="P130" i="17" a="1"/>
  <c r="P140" i="17" a="1"/>
  <c r="P150" i="17" a="1"/>
  <c r="P160" i="17" a="1"/>
  <c r="P170" i="17" a="1"/>
  <c r="P56" i="17" a="1"/>
  <c r="P57" i="17" a="1"/>
  <c r="P58" i="17" a="1"/>
  <c r="P59" i="17" a="1"/>
  <c r="P60" i="17" a="1"/>
  <c r="P61" i="17" a="1"/>
  <c r="P71" i="17" a="1"/>
  <c r="P81" i="17" a="1"/>
  <c r="P91" i="17" a="1"/>
  <c r="P101" i="17" a="1"/>
  <c r="P111" i="17" a="1"/>
  <c r="P121" i="17" a="1"/>
  <c r="P131" i="17" a="1"/>
  <c r="P141" i="17" a="1"/>
  <c r="P151" i="17" a="1"/>
  <c r="P161" i="17" a="1"/>
  <c r="P171" i="17" a="1"/>
  <c r="R7" i="17" a="1"/>
  <c r="R62" i="17" a="1"/>
  <c r="R72" i="17" a="1"/>
  <c r="R82" i="17" a="1"/>
  <c r="R92" i="17" a="1"/>
  <c r="R102" i="17" a="1"/>
  <c r="R112" i="17" a="1"/>
  <c r="R122" i="17" a="1"/>
  <c r="R132" i="17" a="1"/>
  <c r="R142" i="17" a="1"/>
  <c r="R152" i="17" a="1"/>
  <c r="R162" i="17" a="1"/>
  <c r="R8" i="17" a="1"/>
  <c r="R9" i="17" a="1"/>
  <c r="R10" i="17" a="1"/>
  <c r="R11" i="17" a="1"/>
  <c r="R12" i="17" a="1"/>
  <c r="R13" i="17" a="1"/>
  <c r="R63" i="17" a="1"/>
  <c r="R73" i="17" a="1"/>
  <c r="R83" i="17" a="1"/>
  <c r="R93" i="17" a="1"/>
  <c r="R103" i="17" a="1"/>
  <c r="R113" i="17" a="1"/>
  <c r="R123" i="17" a="1"/>
  <c r="R133" i="17" a="1"/>
  <c r="R143" i="17" a="1"/>
  <c r="R153" i="17" a="1"/>
  <c r="R163" i="17" a="1"/>
  <c r="R14" i="17" a="1"/>
  <c r="R15" i="17" a="1"/>
  <c r="R16" i="17" a="1"/>
  <c r="R17" i="17" a="1"/>
  <c r="R18" i="17" a="1"/>
  <c r="R19" i="17" a="1"/>
  <c r="R64" i="17" a="1"/>
  <c r="R74" i="17" a="1"/>
  <c r="R84" i="17" a="1"/>
  <c r="R94" i="17" a="1"/>
  <c r="R104" i="17" a="1"/>
  <c r="R114" i="17" a="1"/>
  <c r="R124" i="17" a="1"/>
  <c r="R134" i="17" a="1"/>
  <c r="R144" i="17" a="1"/>
  <c r="R154" i="17" a="1"/>
  <c r="R164" i="17" a="1"/>
  <c r="R20" i="17" a="1"/>
  <c r="R21" i="17" a="1"/>
  <c r="R22" i="17" a="1"/>
  <c r="R23" i="17" a="1"/>
  <c r="R24" i="17" a="1"/>
  <c r="R25" i="17" a="1"/>
  <c r="R65" i="17" a="1"/>
  <c r="R75" i="17" a="1"/>
  <c r="R85" i="17" a="1"/>
  <c r="R95" i="17" a="1"/>
  <c r="R105" i="17" a="1"/>
  <c r="R115" i="17" a="1"/>
  <c r="R125" i="17" a="1"/>
  <c r="R135" i="17" a="1"/>
  <c r="R145" i="17" a="1"/>
  <c r="R155" i="17" a="1"/>
  <c r="R165" i="17" a="1"/>
  <c r="R26" i="17" a="1"/>
  <c r="R27" i="17" a="1"/>
  <c r="R28" i="17" a="1"/>
  <c r="R29" i="17" a="1"/>
  <c r="R30" i="17" a="1"/>
  <c r="R31" i="17" a="1"/>
  <c r="R66" i="17" a="1"/>
  <c r="R76" i="17" a="1"/>
  <c r="R86" i="17" a="1"/>
  <c r="R96" i="17" a="1"/>
  <c r="R106" i="17" a="1"/>
  <c r="R116" i="17" a="1"/>
  <c r="R126" i="17" a="1"/>
  <c r="R136" i="17" a="1"/>
  <c r="S4" i="17" a="1"/>
  <c r="S5" i="17" a="1"/>
  <c r="S6" i="17" a="1"/>
  <c r="S7" i="17" a="1"/>
  <c r="S62" i="17" a="1"/>
  <c r="S72" i="17" a="1"/>
  <c r="S82" i="17" a="1"/>
  <c r="S92" i="17" a="1"/>
  <c r="S102" i="17" a="1"/>
  <c r="S112" i="17" a="1"/>
  <c r="S122" i="17" a="1"/>
  <c r="S132" i="17" a="1"/>
  <c r="S142" i="17" a="1"/>
  <c r="S152" i="17" a="1"/>
  <c r="S162" i="17" a="1"/>
  <c r="S8" i="17" a="1"/>
  <c r="S9" i="17" a="1"/>
  <c r="S10" i="17" a="1"/>
  <c r="S11" i="17" a="1"/>
  <c r="S12" i="17" a="1"/>
  <c r="S13" i="17" a="1"/>
  <c r="S63" i="17" a="1"/>
  <c r="S73" i="17" a="1"/>
  <c r="S83" i="17" a="1"/>
  <c r="S93" i="17" a="1"/>
  <c r="S103" i="17" a="1"/>
  <c r="S113" i="17" a="1"/>
  <c r="S123" i="17" a="1"/>
  <c r="S133" i="17" a="1"/>
  <c r="S143" i="17" a="1"/>
  <c r="S153" i="17" a="1"/>
  <c r="S163" i="17" a="1"/>
  <c r="S14" i="17" a="1"/>
  <c r="S15" i="17" a="1"/>
  <c r="S16" i="17" a="1"/>
  <c r="S17" i="17" a="1"/>
  <c r="S18" i="17" a="1"/>
  <c r="S19" i="17" a="1"/>
  <c r="S114" i="17" a="1"/>
  <c r="S124" i="17" a="1"/>
  <c r="S134" i="17" a="1"/>
  <c r="S144" i="17" a="1"/>
  <c r="S154" i="17" a="1"/>
  <c r="S164" i="17" a="1"/>
  <c r="S20" i="17" a="1"/>
  <c r="S21" i="17" a="1"/>
  <c r="S22" i="17" a="1"/>
  <c r="S23" i="17" a="1"/>
  <c r="S24" i="17" a="1"/>
  <c r="S25" i="17" a="1"/>
  <c r="S65" i="17" a="1"/>
  <c r="S75" i="17" a="1"/>
  <c r="S85" i="17" a="1"/>
  <c r="S95" i="17" a="1"/>
  <c r="S105" i="17" a="1"/>
  <c r="S115" i="17" a="1"/>
  <c r="S125" i="17" a="1"/>
  <c r="S135" i="17" a="1"/>
  <c r="S145" i="17" a="1"/>
  <c r="S155" i="17" a="1"/>
  <c r="S165" i="17" a="1"/>
  <c r="S26" i="17" a="1"/>
  <c r="S27" i="17" a="1"/>
  <c r="S28" i="17" a="1"/>
  <c r="S29" i="17" a="1"/>
  <c r="S30" i="17" a="1"/>
  <c r="S31" i="17" a="1"/>
  <c r="S66" i="17" a="1"/>
  <c r="S76" i="17" a="1"/>
  <c r="S86" i="17" a="1"/>
  <c r="S96" i="17" a="1"/>
  <c r="S106" i="17" a="1"/>
  <c r="S116" i="17" a="1"/>
  <c r="S126" i="17" a="1"/>
  <c r="S136" i="17" a="1"/>
  <c r="S146" i="17" a="1"/>
  <c r="S156" i="17" a="1"/>
  <c r="S166" i="17" a="1"/>
  <c r="S32" i="17" a="1"/>
  <c r="S33" i="17" a="1"/>
  <c r="S34" i="17" a="1"/>
  <c r="S35" i="17" a="1"/>
  <c r="S36" i="17" a="1"/>
  <c r="S37" i="17" a="1"/>
  <c r="S67" i="17" a="1"/>
  <c r="S77" i="17" a="1"/>
  <c r="S87" i="17" a="1"/>
  <c r="S97" i="17" a="1"/>
  <c r="S107" i="17" a="1"/>
  <c r="S117" i="17" a="1"/>
  <c r="S127" i="17" a="1"/>
  <c r="S137" i="17" a="1"/>
  <c r="S147" i="17" a="1"/>
  <c r="S157" i="17" a="1"/>
  <c r="S167" i="17" a="1"/>
  <c r="S38" i="17" a="1"/>
  <c r="S39" i="17" a="1"/>
  <c r="S40" i="17" a="1"/>
  <c r="S41" i="17" a="1"/>
  <c r="S42" i="17" a="1"/>
  <c r="S43" i="17" a="1"/>
  <c r="S68" i="17" a="1"/>
  <c r="S78" i="17" a="1"/>
  <c r="S88" i="17" a="1"/>
  <c r="S98" i="17" a="1"/>
  <c r="S108" i="17" a="1"/>
  <c r="S118" i="17" a="1"/>
  <c r="S128" i="17" a="1"/>
  <c r="S138" i="17" a="1"/>
  <c r="S148" i="17" a="1"/>
  <c r="S158" i="17" a="1"/>
  <c r="S168" i="17" a="1"/>
  <c r="S44" i="17" a="1"/>
  <c r="S45" i="17" a="1"/>
  <c r="S46" i="17" a="1"/>
  <c r="S47" i="17" a="1"/>
  <c r="S48" i="17" a="1"/>
  <c r="S49" i="17" a="1"/>
  <c r="S69" i="17" a="1"/>
  <c r="S79" i="17" a="1"/>
  <c r="S89" i="17" a="1"/>
  <c r="S99" i="17" a="1"/>
  <c r="S109" i="17" a="1"/>
  <c r="T5" i="17" a="1"/>
  <c r="T6" i="17" a="1"/>
  <c r="T7" i="17" a="1"/>
  <c r="T62" i="17" a="1"/>
  <c r="T72" i="17" a="1"/>
  <c r="T92" i="17" a="1"/>
  <c r="T102" i="17" a="1"/>
  <c r="T112" i="17" a="1"/>
  <c r="T122" i="17" a="1"/>
  <c r="T132" i="17" a="1"/>
  <c r="T142" i="17" a="1"/>
  <c r="T152" i="17" a="1"/>
  <c r="T162" i="17" a="1"/>
  <c r="T8" i="17" a="1"/>
  <c r="T9" i="17" a="1"/>
  <c r="T10" i="17" a="1"/>
  <c r="T11" i="17" a="1"/>
  <c r="T12" i="17" a="1"/>
  <c r="T13" i="17" a="1"/>
  <c r="T63" i="17" a="1"/>
  <c r="T73" i="17" a="1"/>
  <c r="T83" i="17" a="1"/>
  <c r="T93" i="17" a="1"/>
  <c r="T103" i="17" a="1"/>
  <c r="T113" i="17" a="1"/>
  <c r="T123" i="17" a="1"/>
  <c r="T133" i="17" a="1"/>
  <c r="T143" i="17" a="1"/>
  <c r="T153" i="17" a="1"/>
  <c r="T163" i="17" a="1"/>
  <c r="T14" i="17" a="1"/>
  <c r="T15" i="17" a="1"/>
  <c r="T16" i="17" a="1"/>
  <c r="T17" i="17" a="1"/>
  <c r="T18" i="17" a="1"/>
  <c r="T19" i="17" a="1"/>
  <c r="T64" i="17" a="1"/>
  <c r="T74" i="17" a="1"/>
  <c r="T84" i="17" a="1"/>
  <c r="T94" i="17" a="1"/>
  <c r="T104" i="17" a="1"/>
  <c r="T114" i="17" a="1"/>
  <c r="T124" i="17" a="1"/>
  <c r="T134" i="17" a="1"/>
  <c r="T144" i="17" a="1"/>
  <c r="T154" i="17" a="1"/>
  <c r="T164" i="17" a="1"/>
  <c r="T20" i="17" a="1"/>
  <c r="T21" i="17" a="1"/>
  <c r="T22" i="17" a="1"/>
  <c r="T23" i="17" a="1"/>
  <c r="T24" i="17" a="1"/>
  <c r="T25" i="17" a="1"/>
  <c r="T65" i="17" a="1"/>
  <c r="T75" i="17" a="1"/>
  <c r="T85" i="17" a="1"/>
  <c r="T95" i="17" a="1"/>
  <c r="T105" i="17" a="1"/>
  <c r="T115" i="17" a="1"/>
  <c r="T125" i="17" a="1"/>
  <c r="T135" i="17" a="1"/>
  <c r="T145" i="17" a="1"/>
  <c r="T155" i="17" a="1"/>
  <c r="T165" i="17" a="1"/>
  <c r="T26" i="17" a="1"/>
  <c r="T27" i="17" a="1"/>
  <c r="T28" i="17" a="1"/>
  <c r="T29" i="17" a="1"/>
  <c r="T30" i="17" a="1"/>
  <c r="T31" i="17" a="1"/>
  <c r="T66" i="17" a="1"/>
  <c r="T76" i="17" a="1"/>
  <c r="T86" i="17" a="1"/>
  <c r="T96" i="17" a="1"/>
  <c r="T106" i="17" a="1"/>
  <c r="T116" i="17" a="1"/>
  <c r="T126" i="17" a="1"/>
  <c r="T136" i="17" a="1"/>
  <c r="T146" i="17" a="1"/>
  <c r="T156" i="17" a="1"/>
  <c r="T166" i="17" a="1"/>
  <c r="T32" i="17" a="1"/>
  <c r="T33" i="17" a="1"/>
  <c r="T34" i="17" a="1"/>
  <c r="T35" i="17" a="1"/>
  <c r="T36" i="17" a="1"/>
  <c r="T37" i="17" a="1"/>
  <c r="T67" i="17" a="1"/>
  <c r="T77" i="17" a="1"/>
  <c r="T87" i="17" a="1"/>
  <c r="T97" i="17" a="1"/>
  <c r="T107" i="17" a="1"/>
  <c r="T88" i="17" a="1"/>
  <c r="T98" i="17" a="1"/>
  <c r="T108" i="17" a="1"/>
  <c r="T118" i="17" a="1"/>
  <c r="T128" i="17" a="1"/>
  <c r="T138" i="17" a="1"/>
  <c r="T148" i="17" a="1"/>
  <c r="T158" i="17" a="1"/>
  <c r="T168" i="17" a="1"/>
  <c r="T44" i="17" a="1"/>
  <c r="T45" i="17" a="1"/>
  <c r="T46" i="17" a="1"/>
  <c r="T47" i="17" a="1"/>
  <c r="T48" i="17" a="1"/>
  <c r="T49" i="17" a="1"/>
  <c r="T69" i="17" a="1"/>
  <c r="T79" i="17" a="1"/>
  <c r="T89" i="17" a="1"/>
  <c r="T99" i="17" a="1"/>
  <c r="T109" i="17" a="1"/>
  <c r="T119" i="17" a="1"/>
  <c r="T129" i="17" a="1"/>
  <c r="T139" i="17" a="1"/>
  <c r="T149" i="17" a="1"/>
  <c r="T159" i="17" a="1"/>
  <c r="T169" i="17" a="1"/>
  <c r="T50" i="17" a="1"/>
  <c r="T51" i="17" a="1"/>
  <c r="T52" i="17" a="1"/>
  <c r="T53" i="17" a="1"/>
  <c r="T54" i="17" a="1"/>
  <c r="T55" i="17" a="1"/>
  <c r="T70" i="17" a="1"/>
  <c r="T80" i="17" a="1"/>
  <c r="T90" i="17" a="1"/>
  <c r="T100" i="17" a="1"/>
  <c r="T110" i="17" a="1"/>
  <c r="T120" i="17" a="1"/>
  <c r="T130" i="17" a="1"/>
  <c r="T140" i="17" a="1"/>
  <c r="T150" i="17" a="1"/>
  <c r="T160" i="17" a="1"/>
  <c r="T170" i="17" a="1"/>
  <c r="T56" i="17" a="1"/>
  <c r="T57" i="17" a="1"/>
  <c r="T58" i="17" a="1"/>
  <c r="T59" i="17" a="1"/>
  <c r="T60" i="17" a="1"/>
  <c r="T61" i="17" a="1"/>
  <c r="T71" i="17" a="1"/>
  <c r="T81" i="17" a="1"/>
  <c r="T91" i="17" a="1"/>
  <c r="T101" i="17" a="1"/>
  <c r="T111" i="17" a="1"/>
  <c r="T121" i="17" a="1"/>
  <c r="T131" i="17" a="1"/>
  <c r="T141" i="17" a="1"/>
  <c r="T151" i="17" a="1"/>
  <c r="T161" i="17" a="1"/>
  <c r="T171" i="17" a="1"/>
  <c r="U2" i="17" a="1"/>
  <c r="U3" i="17" a="1"/>
  <c r="U4" i="17" a="1"/>
  <c r="U5" i="17" a="1"/>
  <c r="U6" i="17" a="1"/>
  <c r="U7" i="17" a="1"/>
  <c r="U62" i="17" a="1"/>
  <c r="U72" i="17" a="1"/>
  <c r="U82" i="17" a="1"/>
  <c r="U92" i="17" a="1"/>
  <c r="U152" i="17" a="1"/>
  <c r="U162" i="17" a="1"/>
  <c r="U8" i="17" a="1"/>
  <c r="U9" i="17" a="1"/>
  <c r="U10" i="17" a="1"/>
  <c r="U11" i="17" a="1"/>
  <c r="U12" i="17" a="1"/>
  <c r="U13" i="17" a="1"/>
  <c r="U63" i="17" a="1"/>
  <c r="U73" i="17" a="1"/>
  <c r="U83" i="17" a="1"/>
  <c r="U93" i="17" a="1"/>
  <c r="U103" i="17" a="1"/>
  <c r="U113" i="17" a="1"/>
  <c r="U123" i="17" a="1"/>
  <c r="U133" i="17" a="1"/>
  <c r="U143" i="17" a="1"/>
  <c r="U153" i="17" a="1"/>
  <c r="U163" i="17" a="1"/>
  <c r="U14" i="17" a="1"/>
  <c r="U15" i="17" a="1"/>
  <c r="U16" i="17" a="1"/>
  <c r="U17" i="17" a="1"/>
  <c r="U18" i="17" a="1"/>
  <c r="U19" i="17" a="1"/>
  <c r="U64" i="17" a="1"/>
  <c r="U74" i="17" a="1"/>
  <c r="U84" i="17" a="1"/>
  <c r="U94" i="17" a="1"/>
  <c r="U104" i="17" a="1"/>
  <c r="U114" i="17" a="1"/>
  <c r="U124" i="17" a="1"/>
  <c r="U134" i="17" a="1"/>
  <c r="U144" i="17" a="1"/>
  <c r="U154" i="17" a="1"/>
  <c r="U164" i="17" a="1"/>
  <c r="U20" i="17" a="1"/>
  <c r="U21" i="17" a="1"/>
  <c r="U22" i="17" a="1"/>
  <c r="U23" i="17" a="1"/>
  <c r="U24" i="17" a="1"/>
  <c r="U25" i="17" a="1"/>
  <c r="U65" i="17" a="1"/>
  <c r="U75" i="17" a="1"/>
  <c r="U85" i="17" a="1"/>
  <c r="U95" i="17" a="1"/>
  <c r="U105" i="17" a="1"/>
  <c r="U115" i="17" a="1"/>
  <c r="U125" i="17" a="1"/>
  <c r="U135" i="17" a="1"/>
  <c r="U145" i="17" a="1"/>
  <c r="U76" i="17" a="1"/>
  <c r="U86" i="17" a="1"/>
  <c r="U96" i="17" a="1"/>
  <c r="U106" i="17" a="1"/>
  <c r="U116" i="17" a="1"/>
  <c r="U126" i="17" a="1"/>
  <c r="U136" i="17" a="1"/>
  <c r="U146" i="17" a="1"/>
  <c r="U156" i="17" a="1"/>
  <c r="U166" i="17" a="1"/>
  <c r="U32" i="17" a="1"/>
  <c r="U33" i="17" a="1"/>
  <c r="U34" i="17" a="1"/>
  <c r="U35" i="17" a="1"/>
  <c r="U36" i="17" a="1"/>
  <c r="U37" i="17" a="1"/>
  <c r="U67" i="17" a="1"/>
  <c r="U77" i="17" a="1"/>
  <c r="U87" i="17" a="1"/>
  <c r="U97" i="17" a="1"/>
  <c r="U107" i="17" a="1"/>
  <c r="U117" i="17" a="1"/>
  <c r="U127" i="17" a="1"/>
  <c r="U137" i="17" a="1"/>
  <c r="U147" i="17" a="1"/>
  <c r="U157" i="17" a="1"/>
  <c r="U167" i="17" a="1"/>
  <c r="U38" i="17" a="1"/>
  <c r="U39" i="17" a="1"/>
  <c r="U40" i="17" a="1"/>
  <c r="U41" i="17" a="1"/>
  <c r="U42" i="17" a="1"/>
  <c r="U43" i="17" a="1"/>
  <c r="U68" i="17" a="1"/>
  <c r="U78" i="17" a="1"/>
  <c r="U88" i="17" a="1"/>
  <c r="U98" i="17" a="1"/>
  <c r="U108" i="17" a="1"/>
  <c r="U118" i="17" a="1"/>
  <c r="U128" i="17" a="1"/>
  <c r="U138" i="17" a="1"/>
  <c r="U148" i="17" a="1"/>
  <c r="U158" i="17" a="1"/>
  <c r="U168" i="17" a="1"/>
  <c r="U44" i="17" a="1"/>
  <c r="U45" i="17" a="1"/>
  <c r="U46" i="17" a="1"/>
  <c r="U47" i="17" a="1"/>
  <c r="U48" i="17" a="1"/>
  <c r="U49" i="17" a="1"/>
  <c r="U69" i="17" a="1"/>
  <c r="U79" i="17" a="1"/>
  <c r="U89" i="17" a="1"/>
  <c r="U99" i="17" a="1"/>
  <c r="U109" i="17" a="1"/>
  <c r="U119" i="17" a="1"/>
  <c r="U129" i="17" a="1"/>
  <c r="U139" i="17" a="1"/>
  <c r="U149" i="17" a="1"/>
  <c r="U159" i="17" a="1"/>
  <c r="U169" i="17" a="1"/>
  <c r="U50" i="17" a="1"/>
  <c r="U51" i="17" a="1"/>
  <c r="U52" i="17" a="1"/>
  <c r="U53" i="17" a="1"/>
  <c r="U54" i="17" a="1"/>
  <c r="U55" i="17" a="1"/>
  <c r="U70" i="17" a="1"/>
  <c r="U80" i="17" a="1"/>
  <c r="U90" i="17" a="1"/>
  <c r="U100" i="17" a="1"/>
  <c r="U110" i="17" a="1"/>
  <c r="U120" i="17" a="1"/>
  <c r="U130" i="17" a="1"/>
  <c r="U140" i="17" a="1"/>
  <c r="U150" i="17" a="1"/>
  <c r="U160" i="17" a="1"/>
  <c r="U170" i="17" a="1"/>
  <c r="U56" i="17" a="1"/>
  <c r="U57" i="17" a="1"/>
  <c r="U58" i="17" a="1"/>
  <c r="U59" i="17" a="1"/>
  <c r="U60" i="17" a="1"/>
  <c r="U61" i="17" a="1"/>
  <c r="U71" i="17" a="1"/>
  <c r="U81" i="17" a="1"/>
  <c r="V3" i="17" a="1"/>
  <c r="V4" i="17" a="1"/>
  <c r="V5" i="17" a="1"/>
  <c r="V6" i="17" a="1"/>
  <c r="V7" i="17" a="1"/>
  <c r="V62" i="17" a="1"/>
  <c r="V72" i="17" a="1"/>
  <c r="V82" i="17" a="1"/>
  <c r="V92" i="17" a="1"/>
  <c r="V102" i="17" a="1"/>
  <c r="V112" i="17" a="1"/>
  <c r="V122" i="17" a="1"/>
  <c r="V132" i="17" a="1"/>
  <c r="V142" i="17" a="1"/>
  <c r="V152" i="17" a="1"/>
  <c r="V162" i="17" a="1"/>
  <c r="V8" i="17" a="1"/>
  <c r="V9" i="17" a="1"/>
  <c r="V10" i="17" a="1"/>
  <c r="V11" i="17" a="1"/>
  <c r="V12" i="17" a="1"/>
  <c r="V13" i="17" a="1"/>
  <c r="V63" i="17" a="1"/>
  <c r="V73" i="17" a="1"/>
  <c r="V83" i="17" a="1"/>
  <c r="V93" i="17" a="1"/>
  <c r="V103" i="17" a="1"/>
  <c r="V113" i="17" a="1"/>
  <c r="V123" i="17" a="1"/>
  <c r="V133" i="17" a="1"/>
  <c r="V143" i="17" a="1"/>
  <c r="V153" i="17" a="1"/>
  <c r="V163" i="17" a="1"/>
  <c r="V14" i="17" a="1"/>
  <c r="V15" i="17" a="1"/>
  <c r="V16" i="17" a="1"/>
  <c r="V17" i="17" a="1"/>
  <c r="V18" i="17" a="1"/>
  <c r="V19" i="17" a="1"/>
  <c r="V64" i="17" a="1"/>
  <c r="V74" i="17" a="1"/>
  <c r="V84" i="17" a="1"/>
  <c r="V94" i="17" a="1"/>
  <c r="V104" i="17" a="1"/>
  <c r="V114" i="17" a="1"/>
  <c r="V124" i="17" a="1"/>
  <c r="V134" i="17" a="1"/>
  <c r="V144" i="17" a="1"/>
  <c r="V154" i="17" a="1"/>
  <c r="V164" i="17" a="1"/>
  <c r="V20" i="17" a="1"/>
  <c r="V21" i="17" a="1"/>
  <c r="V22" i="17" a="1"/>
  <c r="V23" i="17" a="1"/>
  <c r="V24" i="17" a="1"/>
  <c r="V25" i="17" a="1"/>
  <c r="V65" i="17" a="1"/>
  <c r="V75" i="17" a="1"/>
  <c r="V85" i="17" a="1"/>
  <c r="V95" i="17" a="1"/>
  <c r="V105" i="17" a="1"/>
  <c r="V115" i="17" a="1"/>
  <c r="V125" i="17" a="1"/>
  <c r="V27" i="17" a="1"/>
  <c r="V28" i="17" a="1"/>
  <c r="V29" i="17" a="1"/>
  <c r="V30" i="17" a="1"/>
  <c r="V31" i="17" a="1"/>
  <c r="V66" i="17" a="1"/>
  <c r="V76" i="17" a="1"/>
  <c r="V86" i="17" a="1"/>
  <c r="V96" i="17" a="1"/>
  <c r="V106" i="17" a="1"/>
  <c r="V116" i="17" a="1"/>
  <c r="V126" i="17" a="1"/>
  <c r="V136" i="17" a="1"/>
  <c r="V146" i="17" a="1"/>
  <c r="V156" i="17" a="1"/>
  <c r="V166" i="17" a="1"/>
  <c r="V32" i="17" a="1"/>
  <c r="V33" i="17" a="1"/>
  <c r="V34" i="17" a="1"/>
  <c r="V35" i="17" a="1"/>
  <c r="V36" i="17" a="1"/>
  <c r="V37" i="17" a="1"/>
  <c r="V67" i="17" a="1"/>
  <c r="V77" i="17" a="1"/>
  <c r="V87" i="17" a="1"/>
  <c r="V97" i="17" a="1"/>
  <c r="V107" i="17" a="1"/>
  <c r="V117" i="17" a="1"/>
  <c r="V127" i="17" a="1"/>
  <c r="V137" i="17" a="1"/>
  <c r="V147" i="17" a="1"/>
  <c r="V157" i="17" a="1"/>
  <c r="V167" i="17" a="1"/>
  <c r="V38" i="17" a="1"/>
  <c r="V39" i="17" a="1"/>
  <c r="V40" i="17" a="1"/>
  <c r="V41" i="17" a="1"/>
  <c r="V42" i="17" a="1"/>
  <c r="V43" i="17" a="1"/>
  <c r="V68" i="17" a="1"/>
  <c r="V78" i="17" a="1"/>
  <c r="V88" i="17" a="1"/>
  <c r="V98" i="17" a="1"/>
  <c r="V108" i="17" a="1"/>
  <c r="V118" i="17" a="1"/>
  <c r="V128" i="17" a="1"/>
  <c r="V138" i="17" a="1"/>
  <c r="V148" i="17" a="1"/>
  <c r="V158" i="17" a="1"/>
  <c r="V168" i="17" a="1"/>
  <c r="V44" i="17" a="1"/>
  <c r="V45" i="17" a="1"/>
  <c r="V46" i="17" a="1"/>
  <c r="V47" i="17" a="1"/>
  <c r="V48" i="17" a="1"/>
  <c r="V50" i="17" a="1"/>
  <c r="V51" i="17" a="1"/>
  <c r="V52" i="17" a="1"/>
  <c r="V53" i="17" a="1"/>
  <c r="V54" i="17" a="1"/>
  <c r="V55" i="17" a="1"/>
  <c r="V70" i="17" a="1"/>
  <c r="V80" i="17" a="1"/>
  <c r="V90" i="17" a="1"/>
  <c r="V100" i="17" a="1"/>
  <c r="V110" i="17" a="1"/>
  <c r="V120" i="17" a="1"/>
  <c r="V130" i="17" a="1"/>
  <c r="V140" i="17" a="1"/>
  <c r="V150" i="17" a="1"/>
  <c r="V160" i="17" a="1"/>
  <c r="V170" i="17" a="1"/>
  <c r="V56" i="17" a="1"/>
  <c r="V57" i="17" a="1"/>
  <c r="V58" i="17" a="1"/>
  <c r="V59" i="17" a="1"/>
  <c r="V60" i="17" a="1"/>
  <c r="V61" i="17" a="1"/>
  <c r="V71" i="17" a="1"/>
  <c r="V81" i="17" a="1"/>
  <c r="V91" i="17" a="1"/>
  <c r="V101" i="17" a="1"/>
  <c r="V111" i="17" a="1"/>
  <c r="V121" i="17" a="1"/>
  <c r="V131" i="17" a="1"/>
  <c r="V141" i="17" a="1"/>
  <c r="V151" i="17" a="1"/>
  <c r="V161" i="17" a="1"/>
  <c r="V171" i="17" a="1"/>
  <c r="X2" i="17" a="1"/>
  <c r="Y2" i="17" s="1"/>
  <c r="Q2" i="17" s="1"/>
  <c r="W2" i="17" s="1"/>
  <c r="X3" i="17" a="1"/>
  <c r="Y3" i="17" s="1"/>
  <c r="Q3" i="17" s="1"/>
  <c r="W3" i="17" s="1"/>
  <c r="X4" i="17" a="1"/>
  <c r="Y4" i="17" s="1"/>
  <c r="Q4" i="17" s="1"/>
  <c r="W4" i="17" s="1"/>
  <c r="X5" i="17" a="1"/>
  <c r="Y5" i="17" s="1"/>
  <c r="Q5" i="17" s="1"/>
  <c r="W5" i="17" s="1"/>
  <c r="X6" i="17" a="1"/>
  <c r="Y6" i="17" s="1"/>
  <c r="Q6" i="17" s="1"/>
  <c r="W6" i="17" s="1"/>
  <c r="X7" i="17" a="1"/>
  <c r="Y7" i="17" s="1"/>
  <c r="Q7" i="17" s="1"/>
  <c r="W7" i="17" s="1"/>
  <c r="X62" i="17" a="1"/>
  <c r="Y62" i="17" s="1"/>
  <c r="Q62" i="17" s="1"/>
  <c r="W62" i="17" s="1"/>
  <c r="X72" i="17" a="1"/>
  <c r="Y72" i="17" s="1"/>
  <c r="Q72" i="17" s="1"/>
  <c r="W72" i="17" s="1"/>
  <c r="X82" i="17" a="1"/>
  <c r="Y82" i="17" s="1"/>
  <c r="X92" i="17" a="1"/>
  <c r="Y92" i="17" s="1"/>
  <c r="X102" i="17" a="1"/>
  <c r="Y102" i="17" s="1"/>
  <c r="X112" i="17" a="1"/>
  <c r="Y112" i="17" s="1"/>
  <c r="X152" i="17" a="1"/>
  <c r="Y152" i="17" s="1"/>
  <c r="X162" i="17" a="1"/>
  <c r="Y162" i="17" s="1"/>
  <c r="Q162" i="17" s="1"/>
  <c r="W162" i="17" s="1"/>
  <c r="X8" i="17" a="1"/>
  <c r="Y8" i="17" s="1"/>
  <c r="Q8" i="17" s="1"/>
  <c r="W8" i="17" s="1"/>
  <c r="X9" i="17" a="1"/>
  <c r="Y9" i="17" s="1"/>
  <c r="Q9" i="17" s="1"/>
  <c r="W9" i="17" s="1"/>
  <c r="X10" i="17" a="1"/>
  <c r="Y10" i="17" s="1"/>
  <c r="Q10" i="17" s="1"/>
  <c r="W10" i="17" s="1"/>
  <c r="X11" i="17" a="1"/>
  <c r="Y11" i="17" s="1"/>
  <c r="Q11" i="17" s="1"/>
  <c r="W11" i="17" s="1"/>
  <c r="X12" i="17" a="1"/>
  <c r="Y12" i="17" s="1"/>
  <c r="Q12" i="17" s="1"/>
  <c r="W12" i="17" s="1"/>
  <c r="X13" i="17" a="1"/>
  <c r="Y13" i="17" s="1"/>
  <c r="Q13" i="17" s="1"/>
  <c r="W13" i="17" s="1"/>
  <c r="X63" i="17" a="1"/>
  <c r="Y63" i="17" s="1"/>
  <c r="Q63" i="17" s="1"/>
  <c r="W63" i="17" s="1"/>
  <c r="X73" i="17" a="1"/>
  <c r="Y73" i="17" s="1"/>
  <c r="Q73" i="17" s="1"/>
  <c r="W73" i="17" s="1"/>
  <c r="X83" i="17" a="1"/>
  <c r="Y83" i="17" s="1"/>
  <c r="Q83" i="17" s="1"/>
  <c r="W83" i="17" s="1"/>
  <c r="X93" i="17" a="1"/>
  <c r="Y93" i="17" s="1"/>
  <c r="Q93" i="17" s="1"/>
  <c r="W93" i="17" s="1"/>
  <c r="X103" i="17" a="1"/>
  <c r="Y103" i="17" s="1"/>
  <c r="Q103" i="17" s="1"/>
  <c r="W103" i="17" s="1"/>
  <c r="X113" i="17" a="1"/>
  <c r="Y113" i="17" s="1"/>
  <c r="Q113" i="17" s="1"/>
  <c r="W113" i="17" s="1"/>
  <c r="X123" i="17" a="1"/>
  <c r="Y123" i="17" s="1"/>
  <c r="Q123" i="17" s="1"/>
  <c r="W123" i="17" s="1"/>
  <c r="X133" i="17" a="1"/>
  <c r="Y133" i="17" s="1"/>
  <c r="Q133" i="17" s="1"/>
  <c r="W133" i="17" s="1"/>
  <c r="X143" i="17" a="1"/>
  <c r="Y143" i="17" s="1"/>
  <c r="Q143" i="17" s="1"/>
  <c r="W143" i="17" s="1"/>
  <c r="X153" i="17" a="1"/>
  <c r="Y153" i="17" s="1"/>
  <c r="Q153" i="17" s="1"/>
  <c r="W153" i="17" s="1"/>
  <c r="X163" i="17" a="1"/>
  <c r="Y163" i="17" s="1"/>
  <c r="Q163" i="17" s="1"/>
  <c r="W163" i="17" s="1"/>
  <c r="X14" i="17" a="1"/>
  <c r="Y14" i="17" s="1"/>
  <c r="Q14" i="17" s="1"/>
  <c r="W14" i="17" s="1"/>
  <c r="X15" i="17" a="1"/>
  <c r="Y15" i="17" s="1"/>
  <c r="Q15" i="17" s="1"/>
  <c r="W15" i="17" s="1"/>
  <c r="X16" i="17" a="1"/>
  <c r="Y16" i="17" s="1"/>
  <c r="Q16" i="17" s="1"/>
  <c r="W16" i="17" s="1"/>
  <c r="X17" i="17" a="1"/>
  <c r="Y17" i="17" s="1"/>
  <c r="Q17" i="17" s="1"/>
  <c r="W17" i="17" s="1"/>
  <c r="X18" i="17" a="1"/>
  <c r="Y18" i="17" s="1"/>
  <c r="Q18" i="17" s="1"/>
  <c r="W18" i="17" s="1"/>
  <c r="X19" i="17" a="1"/>
  <c r="Y19" i="17" s="1"/>
  <c r="Q19" i="17" s="1"/>
  <c r="W19" i="17" s="1"/>
  <c r="X64" i="17" a="1"/>
  <c r="Y64" i="17" s="1"/>
  <c r="Q64" i="17" s="1"/>
  <c r="W64" i="17" s="1"/>
  <c r="X74" i="17" a="1"/>
  <c r="Y74" i="17" s="1"/>
  <c r="Q74" i="17" s="1"/>
  <c r="W74" i="17" s="1"/>
  <c r="X84" i="17" a="1"/>
  <c r="X94" i="17" a="1"/>
  <c r="X104" i="17" a="1"/>
  <c r="X114" i="17" a="1"/>
  <c r="X124" i="17" a="1"/>
  <c r="X134" i="17" a="1"/>
  <c r="X144" i="17" a="1"/>
  <c r="X154" i="17" a="1"/>
  <c r="X164" i="17" a="1"/>
  <c r="X20" i="17" a="1"/>
  <c r="X21" i="17" a="1"/>
  <c r="X22" i="17" a="1"/>
  <c r="X23" i="17" a="1"/>
  <c r="X24" i="17" a="1"/>
  <c r="X25" i="17" a="1"/>
  <c r="X65" i="17" a="1"/>
  <c r="X75" i="17" a="1"/>
  <c r="X85" i="17" a="1"/>
  <c r="X95" i="17" a="1"/>
  <c r="X27" i="17" a="1"/>
  <c r="X28" i="17" a="1"/>
  <c r="X29" i="17" a="1"/>
  <c r="X30" i="17" a="1"/>
  <c r="X31" i="17" a="1"/>
  <c r="X66" i="17" a="1"/>
  <c r="X76" i="17" a="1"/>
  <c r="X86" i="17" a="1"/>
  <c r="X96" i="17" a="1"/>
  <c r="X106" i="17" a="1"/>
  <c r="X116" i="17" a="1"/>
  <c r="X126" i="17" a="1"/>
  <c r="X136" i="17" a="1"/>
  <c r="X146" i="17" a="1"/>
  <c r="X156" i="17" a="1"/>
  <c r="X166" i="17" a="1"/>
  <c r="X32" i="17" a="1"/>
  <c r="X33" i="17" a="1"/>
  <c r="X34" i="17" a="1"/>
  <c r="X35" i="17" a="1"/>
  <c r="X36" i="17" a="1"/>
  <c r="X37" i="17" a="1"/>
  <c r="X67" i="17" a="1"/>
  <c r="X77" i="17" a="1"/>
  <c r="X87" i="17" a="1"/>
  <c r="X97" i="17" a="1"/>
  <c r="X107" i="17" a="1"/>
  <c r="X117" i="17" a="1"/>
  <c r="X127" i="17" a="1"/>
  <c r="X137" i="17" a="1"/>
  <c r="X147" i="17" a="1"/>
  <c r="X157" i="17" a="1"/>
  <c r="X167" i="17" a="1"/>
  <c r="X38" i="17" a="1"/>
  <c r="X39" i="17" a="1"/>
  <c r="X40" i="17" a="1"/>
  <c r="X41" i="17" a="1"/>
  <c r="X42" i="17" a="1"/>
  <c r="X43" i="17" a="1"/>
  <c r="X68" i="17" a="1"/>
  <c r="X78" i="17" a="1"/>
  <c r="X88" i="17" a="1"/>
  <c r="X98" i="17" a="1"/>
  <c r="X108" i="17" a="1"/>
  <c r="X118" i="17" a="1"/>
  <c r="X128" i="17" a="1"/>
  <c r="X138" i="17" a="1"/>
  <c r="X148" i="17" a="1"/>
  <c r="X158" i="17" a="1"/>
  <c r="X168" i="17" a="1"/>
  <c r="X44" i="17" a="1"/>
  <c r="X45" i="17" a="1"/>
  <c r="X46" i="17" a="1"/>
  <c r="G2" i="16"/>
  <c r="K109" i="20" l="1" a="1"/>
  <c r="K116" i="20" a="1"/>
  <c r="K125" i="20" a="1"/>
  <c r="K113" i="20" a="1"/>
  <c r="K130" i="20" a="1"/>
  <c r="K115" i="20" a="1"/>
  <c r="K120" i="20" a="1"/>
  <c r="K114" i="20" a="1"/>
  <c r="K127" i="20" a="1"/>
  <c r="K118" i="20" a="1"/>
  <c r="K117" i="20" a="1"/>
  <c r="K126" i="20" a="1"/>
  <c r="O4" i="20" a="1"/>
  <c r="K124" i="20" a="1"/>
  <c r="K121" i="20" a="1"/>
  <c r="K110" i="20" a="1"/>
  <c r="K131" i="20" a="1"/>
  <c r="L3" i="20" a="1"/>
  <c r="N3" i="20" s="1"/>
  <c r="K123" i="20" a="1"/>
  <c r="K112" i="20" a="1"/>
  <c r="K128" i="20" a="1"/>
  <c r="K111" i="20" a="1"/>
  <c r="K129" i="20" a="1"/>
  <c r="K122" i="20" a="1"/>
  <c r="L2" i="20" a="1"/>
  <c r="N2" i="20" s="1"/>
  <c r="O3" i="20" a="1"/>
  <c r="O2" i="20" a="1"/>
  <c r="K4" i="20" a="1"/>
  <c r="K9" i="20" a="1"/>
  <c r="K15" i="20" a="1"/>
  <c r="K17" i="20" a="1"/>
  <c r="K23" i="20" a="1"/>
  <c r="K28" i="20" a="1"/>
  <c r="K31" i="20" a="1"/>
  <c r="K37" i="20" a="1"/>
  <c r="K39" i="20" a="1"/>
  <c r="K45" i="20" a="1"/>
  <c r="K51" i="20" a="1"/>
  <c r="K54" i="20" a="1"/>
  <c r="K60" i="20" a="1"/>
  <c r="O27" i="20" a="1"/>
  <c r="K66" i="20" a="1"/>
  <c r="O28" i="20" a="1"/>
  <c r="K73" i="20" a="1"/>
  <c r="K82" i="20" a="1"/>
  <c r="K84" i="20" a="1"/>
  <c r="K89" i="20" a="1"/>
  <c r="K91" i="20" a="1"/>
  <c r="K98" i="20" a="1"/>
  <c r="K102" i="20" a="1"/>
  <c r="K106" i="20" a="1"/>
  <c r="L30" i="20" a="1"/>
  <c r="N30" i="20" s="1"/>
  <c r="L34" i="20" a="1"/>
  <c r="N34" i="20" s="1"/>
  <c r="L41" i="20" a="1"/>
  <c r="N41" i="20" s="1"/>
  <c r="L45" i="20" a="1"/>
  <c r="N45" i="20" s="1"/>
  <c r="L51" i="20" a="1"/>
  <c r="N51" i="20" s="1"/>
  <c r="L57" i="20" a="1"/>
  <c r="N57" i="20" s="1"/>
  <c r="O29" i="20" a="1"/>
  <c r="L64" i="20" a="1"/>
  <c r="N64" i="20" s="1"/>
  <c r="K19" i="20" a="1"/>
  <c r="L73" i="20" a="1"/>
  <c r="N73" i="20" s="1"/>
  <c r="K25" i="20" a="1"/>
  <c r="K35" i="20" a="1"/>
  <c r="K42" i="20" a="1"/>
  <c r="K49" i="20" a="1"/>
  <c r="K58" i="20" a="1"/>
  <c r="K67" i="20" a="1"/>
  <c r="K78" i="20" a="1"/>
  <c r="O30" i="20" a="1"/>
  <c r="O31" i="20" a="1"/>
  <c r="O32" i="20" a="1"/>
  <c r="O33" i="20" a="1"/>
  <c r="O34" i="20" a="1"/>
  <c r="O35" i="20" a="1"/>
  <c r="K87" i="20" a="1"/>
  <c r="K95" i="20" a="1"/>
  <c r="K103" i="20" a="1"/>
  <c r="L28" i="20" a="1"/>
  <c r="N28" i="20" s="1"/>
  <c r="L37" i="20" a="1"/>
  <c r="N37" i="20" s="1"/>
  <c r="L47" i="20" a="1"/>
  <c r="N47" i="20" s="1"/>
  <c r="L58" i="20" a="1"/>
  <c r="N58" i="20" s="1"/>
  <c r="L68" i="20" a="1"/>
  <c r="N68" i="20" s="1"/>
  <c r="K71" i="20" a="1"/>
  <c r="K80" i="20" a="1"/>
  <c r="K11" i="20" a="1"/>
  <c r="K6" i="20" a="1"/>
  <c r="K10" i="20" a="1"/>
  <c r="K2" i="20" a="1"/>
  <c r="K18" i="20" a="1"/>
  <c r="K26" i="20" a="1"/>
  <c r="K34" i="20" a="1"/>
  <c r="K41" i="20" a="1"/>
  <c r="K48" i="20" a="1"/>
  <c r="L77" i="20" a="1"/>
  <c r="N77" i="20" s="1"/>
  <c r="L69" i="20" a="1"/>
  <c r="N69" i="20" s="1"/>
  <c r="L60" i="20" a="1"/>
  <c r="N60" i="20" s="1"/>
  <c r="K105" i="20" a="1"/>
  <c r="L54" i="20" a="1"/>
  <c r="N54" i="20" s="1"/>
  <c r="L49" i="20" a="1"/>
  <c r="N49" i="20" s="1"/>
  <c r="L43" i="20" a="1"/>
  <c r="N43" i="20" s="1"/>
  <c r="L39" i="20" a="1"/>
  <c r="N39" i="20" s="1"/>
  <c r="L33" i="20" a="1"/>
  <c r="N33" i="20" s="1"/>
  <c r="L29" i="20" a="1"/>
  <c r="N29" i="20" s="1"/>
  <c r="K101" i="20" a="1"/>
  <c r="K97" i="20" a="1"/>
  <c r="K92" i="20" a="1"/>
  <c r="L4" i="20" a="1"/>
  <c r="N4" i="20" s="1"/>
  <c r="L5" i="20" a="1"/>
  <c r="N5" i="20" s="1"/>
  <c r="L6" i="20" a="1"/>
  <c r="N6" i="20" s="1"/>
  <c r="L7" i="20" a="1"/>
  <c r="N7" i="20" s="1"/>
  <c r="L8" i="20" a="1"/>
  <c r="N8" i="20" s="1"/>
  <c r="L9" i="20" a="1"/>
  <c r="N9" i="20" s="1"/>
  <c r="L10" i="20" a="1"/>
  <c r="N10" i="20" s="1"/>
  <c r="L11" i="20" a="1"/>
  <c r="N11" i="20" s="1"/>
  <c r="L12" i="20" a="1"/>
  <c r="N12" i="20" s="1"/>
  <c r="L13" i="20" a="1"/>
  <c r="N13" i="20" s="1"/>
  <c r="L14" i="20" a="1"/>
  <c r="N14" i="20" s="1"/>
  <c r="L15" i="20" a="1"/>
  <c r="N15" i="20" s="1"/>
  <c r="L16" i="20" a="1"/>
  <c r="N16" i="20" s="1"/>
  <c r="L17" i="20" a="1"/>
  <c r="N17" i="20" s="1"/>
  <c r="L18" i="20" a="1"/>
  <c r="N18" i="20" s="1"/>
  <c r="L19" i="20" a="1"/>
  <c r="N19" i="20" s="1"/>
  <c r="L20" i="20" a="1"/>
  <c r="N20" i="20" s="1"/>
  <c r="L21" i="20" a="1"/>
  <c r="N21" i="20" s="1"/>
  <c r="L22" i="20" a="1"/>
  <c r="N22" i="20" s="1"/>
  <c r="L23" i="20" a="1"/>
  <c r="N23" i="20" s="1"/>
  <c r="L24" i="20" a="1"/>
  <c r="N24" i="20" s="1"/>
  <c r="L25" i="20" a="1"/>
  <c r="N25" i="20" s="1"/>
  <c r="L26" i="20" a="1"/>
  <c r="N26" i="20" s="1"/>
  <c r="L27" i="20" a="1"/>
  <c r="N27" i="20" s="1"/>
  <c r="L32" i="20" a="1"/>
  <c r="N32" i="20" s="1"/>
  <c r="L38" i="20" a="1"/>
  <c r="N38" i="20" s="1"/>
  <c r="L42" i="20" a="1"/>
  <c r="N42" i="20" s="1"/>
  <c r="L50" i="20" a="1"/>
  <c r="N50" i="20" s="1"/>
  <c r="L55" i="20" a="1"/>
  <c r="N55" i="20" s="1"/>
  <c r="K57" i="20" a="1"/>
  <c r="L62" i="20" a="1"/>
  <c r="N62" i="20" s="1"/>
  <c r="K88" i="20" a="1"/>
  <c r="L75" i="20" a="1"/>
  <c r="N75" i="20" s="1"/>
  <c r="K68" i="20" a="1"/>
  <c r="K79" i="20" a="1"/>
  <c r="K86" i="20" a="1"/>
  <c r="K94" i="20" a="1"/>
  <c r="K100" i="20" a="1"/>
  <c r="K108" i="20" a="1"/>
  <c r="L36" i="20" a="1"/>
  <c r="N36" i="20" s="1"/>
  <c r="L46" i="20" a="1"/>
  <c r="N46" i="20" s="1"/>
  <c r="K96" i="20" a="1"/>
  <c r="K104" i="20" a="1"/>
  <c r="L31" i="20" a="1"/>
  <c r="N31" i="20" s="1"/>
  <c r="L40" i="20" a="1"/>
  <c r="N40" i="20" s="1"/>
  <c r="L48" i="20" a="1"/>
  <c r="N48" i="20" s="1"/>
  <c r="L59" i="20" a="1"/>
  <c r="N59" i="20" s="1"/>
  <c r="L56" i="20" a="1"/>
  <c r="N56" i="20" s="1"/>
  <c r="L71" i="20" a="1"/>
  <c r="N71" i="20" s="1"/>
  <c r="L67" i="20" a="1"/>
  <c r="N67" i="20" s="1"/>
  <c r="K7" i="20" a="1"/>
  <c r="K13" i="20" a="1"/>
  <c r="K21" i="20" a="1"/>
  <c r="K29" i="20" a="1"/>
  <c r="K36" i="20" a="1"/>
  <c r="K90" i="20" a="1"/>
  <c r="K43" i="20" a="1"/>
  <c r="K50" i="20" a="1"/>
  <c r="K59" i="20" a="1"/>
  <c r="K83" i="20" a="1"/>
  <c r="K81" i="20" a="1"/>
  <c r="K75" i="20" a="1"/>
  <c r="K69" i="20" a="1"/>
  <c r="K62" i="20" a="1"/>
  <c r="K55" i="20" a="1"/>
  <c r="K53" i="20" a="1"/>
  <c r="K52" i="20" a="1"/>
  <c r="K46" i="20" a="1"/>
  <c r="K44" i="20" a="1"/>
  <c r="K38" i="20" a="1"/>
  <c r="K33" i="20" a="1"/>
  <c r="K30" i="20" a="1"/>
  <c r="K24" i="20" a="1"/>
  <c r="K22" i="20" a="1"/>
  <c r="K16" i="20" a="1"/>
  <c r="K14" i="20" a="1"/>
  <c r="K8" i="20" a="1"/>
  <c r="K5" i="20" a="1"/>
  <c r="L66" i="20" a="1"/>
  <c r="N66" i="20" s="1"/>
  <c r="L53" i="20" a="1"/>
  <c r="N53" i="20" s="1"/>
  <c r="L52" i="20" a="1"/>
  <c r="N52" i="20" s="1"/>
  <c r="L44" i="20" a="1"/>
  <c r="N44" i="20" s="1"/>
  <c r="L35" i="20" a="1"/>
  <c r="N35" i="20" s="1"/>
  <c r="K107" i="20" a="1"/>
  <c r="K99" i="20" a="1"/>
  <c r="K93" i="20" a="1"/>
  <c r="K85" i="20" a="1"/>
  <c r="K77" i="20" a="1"/>
  <c r="K64" i="20" a="1"/>
  <c r="K56" i="20" a="1"/>
  <c r="K47" i="20" a="1"/>
  <c r="K40" i="20" a="1"/>
  <c r="K32" i="20" a="1"/>
  <c r="K27" i="20" a="1"/>
  <c r="K20" i="20" a="1"/>
  <c r="K12" i="20" a="1"/>
  <c r="K3" i="20" a="1"/>
  <c r="O5" i="20" a="1"/>
  <c r="O6" i="20" a="1"/>
  <c r="O7" i="20" a="1"/>
  <c r="O8" i="20" a="1"/>
  <c r="O9" i="20" a="1"/>
  <c r="O10" i="20" a="1"/>
  <c r="O11" i="20" a="1"/>
  <c r="O12" i="20" a="1"/>
  <c r="O13" i="20" a="1"/>
  <c r="O14" i="20" a="1"/>
  <c r="O15" i="20" a="1"/>
  <c r="O16" i="20" a="1"/>
  <c r="O17" i="20" a="1"/>
  <c r="O18" i="20" a="1"/>
  <c r="O19" i="20" a="1"/>
  <c r="O20" i="20" a="1"/>
  <c r="O21" i="20" a="1"/>
  <c r="O22" i="20" a="1"/>
  <c r="O23" i="20" a="1"/>
  <c r="O24" i="20" a="1"/>
  <c r="O25" i="20" a="1"/>
  <c r="O26" i="20" a="1"/>
  <c r="L104" i="20" a="1"/>
  <c r="N104" i="20" s="1"/>
  <c r="L94" i="20" a="1"/>
  <c r="N94" i="20" s="1"/>
  <c r="L105" i="20" a="1"/>
  <c r="N105" i="20" s="1"/>
  <c r="L114" i="20" a="1"/>
  <c r="N114" i="20" s="1"/>
  <c r="L80" i="20" a="1"/>
  <c r="N80" i="20" s="1"/>
  <c r="L86" i="20" a="1"/>
  <c r="N86" i="20" s="1"/>
  <c r="L91" i="20" a="1"/>
  <c r="N91" i="20" s="1"/>
  <c r="L97" i="20" a="1"/>
  <c r="N97" i="20" s="1"/>
  <c r="O41" i="20" a="1"/>
  <c r="L109" i="20" a="1"/>
  <c r="N109" i="20" s="1"/>
  <c r="L116" i="20" a="1"/>
  <c r="N116" i="20" s="1"/>
  <c r="O36" i="20" a="1"/>
  <c r="O37" i="20" a="1"/>
  <c r="O38" i="20" a="1"/>
  <c r="O39" i="20" a="1"/>
  <c r="O40" i="20" a="1"/>
  <c r="L82" i="20" a="1"/>
  <c r="N82" i="20" s="1"/>
  <c r="L93" i="20" a="1"/>
  <c r="N93" i="20" s="1"/>
  <c r="L102" i="20" a="1"/>
  <c r="N102" i="20" s="1"/>
  <c r="L113" i="20" a="1"/>
  <c r="N113" i="20" s="1"/>
  <c r="L112" i="20" a="1"/>
  <c r="N112" i="20" s="1"/>
  <c r="L107" i="20" a="1"/>
  <c r="N107" i="20" s="1"/>
  <c r="L101" i="20" a="1"/>
  <c r="N101" i="20" s="1"/>
  <c r="L96" i="20" a="1"/>
  <c r="N96" i="20" s="1"/>
  <c r="L89" i="20" a="1"/>
  <c r="N89" i="20" s="1"/>
  <c r="L85" i="20" a="1"/>
  <c r="N85" i="20" s="1"/>
  <c r="L61" i="20" a="1"/>
  <c r="N61" i="20" s="1"/>
  <c r="L81" i="20" a="1"/>
  <c r="N81" i="20" s="1"/>
  <c r="L87" i="20" a="1"/>
  <c r="N87" i="20" s="1"/>
  <c r="L92" i="20" a="1"/>
  <c r="N92" i="20" s="1"/>
  <c r="L98" i="20" a="1"/>
  <c r="N98" i="20" s="1"/>
  <c r="L103" i="20" a="1"/>
  <c r="N103" i="20" s="1"/>
  <c r="L108" i="20" a="1"/>
  <c r="N108" i="20" s="1"/>
  <c r="L115" i="20" a="1"/>
  <c r="N115" i="20" s="1"/>
  <c r="L84" i="20" a="1"/>
  <c r="N84" i="20" s="1"/>
  <c r="L78" i="20" a="1"/>
  <c r="N78" i="20" s="1"/>
  <c r="L90" i="20" a="1"/>
  <c r="N90" i="20" s="1"/>
  <c r="L100" i="20" a="1"/>
  <c r="N100" i="20" s="1"/>
  <c r="L111" i="20" a="1"/>
  <c r="N111" i="20" s="1"/>
  <c r="L106" i="20" a="1"/>
  <c r="N106" i="20" s="1"/>
  <c r="L95" i="20" a="1"/>
  <c r="N95" i="20" s="1"/>
  <c r="L88" i="20" a="1"/>
  <c r="N88" i="20" s="1"/>
  <c r="L79" i="20" a="1"/>
  <c r="N79" i="20" s="1"/>
  <c r="K61" i="20" a="1"/>
  <c r="L110" i="20" a="1"/>
  <c r="N110" i="20" s="1"/>
  <c r="L99" i="20" a="1"/>
  <c r="N99" i="20" s="1"/>
  <c r="L83" i="20" a="1"/>
  <c r="N83" i="20" s="1"/>
  <c r="L63" i="20" a="1"/>
  <c r="N63" i="20" s="1"/>
  <c r="L118" i="20" a="1"/>
  <c r="N118" i="20" s="1"/>
  <c r="L117" i="20" a="1"/>
  <c r="N117" i="20" s="1"/>
  <c r="K63" i="20" a="1"/>
  <c r="K65" i="20" a="1"/>
  <c r="L119" i="20" a="1"/>
  <c r="N119" i="20" s="1"/>
  <c r="L65" i="20" a="1"/>
  <c r="N65" i="20" s="1"/>
  <c r="O42" i="20" a="1"/>
  <c r="K70" i="20" a="1"/>
  <c r="L122" i="20" a="1"/>
  <c r="N122" i="20" s="1"/>
  <c r="L125" i="20" a="1"/>
  <c r="N125" i="20" s="1"/>
  <c r="L127" i="20" a="1"/>
  <c r="N127" i="20" s="1"/>
  <c r="L121" i="20" a="1"/>
  <c r="N121" i="20" s="1"/>
  <c r="L124" i="20" a="1"/>
  <c r="N124" i="20" s="1"/>
  <c r="L70" i="20" a="1"/>
  <c r="N70" i="20" s="1"/>
  <c r="L123" i="20" a="1"/>
  <c r="N123" i="20" s="1"/>
  <c r="L126" i="20" a="1"/>
  <c r="N126" i="20" s="1"/>
  <c r="L120" i="20" a="1"/>
  <c r="N120" i="20" s="1"/>
  <c r="K72" i="20" a="1"/>
  <c r="L72" i="20" a="1"/>
  <c r="N72" i="20" s="1"/>
  <c r="L130" i="20" a="1"/>
  <c r="N130" i="20" s="1"/>
  <c r="O50" i="20" a="1"/>
  <c r="O62" i="20" a="1"/>
  <c r="O79" i="20" a="1"/>
  <c r="O91" i="20" a="1"/>
  <c r="O106" i="20" a="1"/>
  <c r="O121" i="20" a="1"/>
  <c r="P5" i="20" a="1"/>
  <c r="P20" i="20" a="1"/>
  <c r="P35" i="20" a="1"/>
  <c r="P48" i="20" a="1"/>
  <c r="P63" i="20" a="1"/>
  <c r="P91" i="20" a="1"/>
  <c r="P92" i="20" a="1"/>
  <c r="P105" i="20" a="1"/>
  <c r="P118" i="20" a="1"/>
  <c r="P131" i="20" a="1"/>
  <c r="O52" i="20" a="1"/>
  <c r="O70" i="20" a="1"/>
  <c r="O87" i="20" a="1"/>
  <c r="O100" i="20" a="1"/>
  <c r="O115" i="20" a="1"/>
  <c r="O129" i="20" a="1"/>
  <c r="P12" i="20" a="1"/>
  <c r="P26" i="20" a="1"/>
  <c r="P41" i="20" a="1"/>
  <c r="P56" i="20" a="1"/>
  <c r="P70" i="20" a="1"/>
  <c r="P86" i="20" a="1"/>
  <c r="P99" i="20" a="1"/>
  <c r="K74" i="20" a="1"/>
  <c r="P79" i="20" a="1"/>
  <c r="O49" i="20" a="1"/>
  <c r="O66" i="20" a="1"/>
  <c r="O75" i="20" a="1"/>
  <c r="O92" i="20" a="1"/>
  <c r="O105" i="20" a="1"/>
  <c r="O120" i="20" a="1"/>
  <c r="P4" i="20" a="1"/>
  <c r="P18" i="20" a="1"/>
  <c r="P33" i="20" a="1"/>
  <c r="P49" i="20" a="1"/>
  <c r="P64" i="20" a="1"/>
  <c r="P81" i="20" a="1"/>
  <c r="P103" i="20" a="1"/>
  <c r="P125" i="20" a="1"/>
  <c r="L128" i="20" a="1"/>
  <c r="N128" i="20" s="1"/>
  <c r="O48" i="20" a="1"/>
  <c r="O65" i="20" a="1"/>
  <c r="O81" i="20" a="1"/>
  <c r="O96" i="20" a="1"/>
  <c r="O111" i="20" a="1"/>
  <c r="O127" i="20" a="1"/>
  <c r="P11" i="20" a="1"/>
  <c r="P27" i="20" a="1"/>
  <c r="P40" i="20" a="1"/>
  <c r="P54" i="20" a="1"/>
  <c r="P69" i="20" a="1"/>
  <c r="P87" i="20" a="1"/>
  <c r="P101" i="20" a="1"/>
  <c r="P113" i="20" a="1"/>
  <c r="P126" i="20" a="1"/>
  <c r="L74" i="20" a="1"/>
  <c r="N74" i="20" s="1"/>
  <c r="O46" i="20" a="1"/>
  <c r="O58" i="20" a="1"/>
  <c r="O72" i="20" a="1"/>
  <c r="O85" i="20" a="1"/>
  <c r="O47" i="20" a="1"/>
  <c r="O61" i="20" a="1"/>
  <c r="O77" i="20" a="1"/>
  <c r="O94" i="20" a="1"/>
  <c r="O108" i="20" a="1"/>
  <c r="O123" i="20" a="1"/>
  <c r="P6" i="20" a="1"/>
  <c r="P21" i="20" a="1"/>
  <c r="P34" i="20" a="1"/>
  <c r="P47" i="20" a="1"/>
  <c r="P62" i="20" a="1"/>
  <c r="P77" i="20" a="1"/>
  <c r="P93" i="20" a="1"/>
  <c r="P106" i="20" a="1"/>
  <c r="P119" i="20" a="1"/>
  <c r="O90" i="20" a="1"/>
  <c r="O103" i="20" a="1"/>
  <c r="O69" i="20" a="1"/>
  <c r="O86" i="20" a="1"/>
  <c r="O102" i="20" a="1"/>
  <c r="O117" i="20" a="1"/>
  <c r="O131" i="20" a="1"/>
  <c r="P16" i="20" a="1"/>
  <c r="P30" i="20" a="1"/>
  <c r="P44" i="20" a="1"/>
  <c r="P59" i="20" a="1"/>
  <c r="P74" i="20" a="1"/>
  <c r="P75" i="20" a="1"/>
  <c r="P90" i="20" a="1"/>
  <c r="P104" i="20" a="1"/>
  <c r="P115" i="20" a="1"/>
  <c r="P129" i="20" a="1"/>
  <c r="O116" i="20" a="1"/>
  <c r="O55" i="20" a="1"/>
  <c r="O68" i="20" a="1"/>
  <c r="O84" i="20" a="1"/>
  <c r="O98" i="20" a="1"/>
  <c r="O113" i="20" a="1"/>
  <c r="O130" i="20" a="1"/>
  <c r="P15" i="20" a="1"/>
  <c r="P29" i="20" a="1"/>
  <c r="P43" i="20" a="1"/>
  <c r="P58" i="20" a="1"/>
  <c r="P72" i="20" a="1"/>
  <c r="P89" i="20" a="1"/>
  <c r="P102" i="20" a="1"/>
  <c r="P116" i="20" a="1"/>
  <c r="P130" i="20" a="1"/>
  <c r="O119" i="20" a="1"/>
  <c r="L131" i="20" a="1"/>
  <c r="N131" i="20" s="1"/>
  <c r="O57" i="20" a="1"/>
  <c r="O71" i="20" a="1"/>
  <c r="O88" i="20" a="1"/>
  <c r="O101" i="20" a="1"/>
  <c r="O114" i="20" a="1"/>
  <c r="O128" i="20" a="1"/>
  <c r="P13" i="20" a="1"/>
  <c r="P28" i="20" a="1"/>
  <c r="P42" i="20" a="1"/>
  <c r="P57" i="20" a="1"/>
  <c r="P71" i="20" a="1"/>
  <c r="P88" i="20" a="1"/>
  <c r="P100" i="20" a="1"/>
  <c r="P112" i="20" a="1"/>
  <c r="P124" i="20" a="1"/>
  <c r="P2" i="20" a="1"/>
  <c r="P14" i="20" a="1"/>
  <c r="P19" i="20" a="1"/>
  <c r="P31" i="20" a="1"/>
  <c r="P45" i="20" a="1"/>
  <c r="O54" i="20" a="1"/>
  <c r="O67" i="20" a="1"/>
  <c r="O82" i="20" a="1"/>
  <c r="O97" i="20" a="1"/>
  <c r="O110" i="20" a="1"/>
  <c r="O125" i="20" a="1"/>
  <c r="P9" i="20" a="1"/>
  <c r="P24" i="20" a="1"/>
  <c r="P38" i="20" a="1"/>
  <c r="P53" i="20" a="1"/>
  <c r="P65" i="20" a="1"/>
  <c r="P82" i="20" a="1"/>
  <c r="P94" i="20" a="1"/>
  <c r="P107" i="20" a="1"/>
  <c r="P122" i="20" a="1"/>
  <c r="P51" i="20" a="1"/>
  <c r="O56" i="20" a="1"/>
  <c r="P60" i="20" a="1"/>
  <c r="P73" i="20" a="1"/>
  <c r="P85" i="20" a="1"/>
  <c r="P108" i="20" a="1"/>
  <c r="P117" i="20" a="1"/>
  <c r="P128" i="20" a="1"/>
  <c r="O43" i="20" a="1"/>
  <c r="O44" i="20" a="1"/>
  <c r="O59" i="20" a="1"/>
  <c r="O73" i="20" a="1"/>
  <c r="O89" i="20" a="1"/>
  <c r="O104" i="20" a="1"/>
  <c r="O118" i="20" a="1"/>
  <c r="P3" i="20" a="1"/>
  <c r="P17" i="20" a="1"/>
  <c r="P32" i="20" a="1"/>
  <c r="P46" i="20" a="1"/>
  <c r="P61" i="20" a="1"/>
  <c r="P80" i="20" a="1"/>
  <c r="P95" i="20" a="1"/>
  <c r="P109" i="20" a="1"/>
  <c r="O45" i="20" a="1"/>
  <c r="O60" i="20" a="1"/>
  <c r="O74" i="20" a="1"/>
  <c r="O78" i="20" a="1"/>
  <c r="O95" i="20" a="1"/>
  <c r="O109" i="20" a="1"/>
  <c r="O124" i="20" a="1"/>
  <c r="P8" i="20" a="1"/>
  <c r="P23" i="20" a="1"/>
  <c r="P37" i="20" a="1"/>
  <c r="P50" i="20" a="1"/>
  <c r="P67" i="20" a="1"/>
  <c r="P83" i="20" a="1"/>
  <c r="P97" i="20" a="1"/>
  <c r="P111" i="20" a="1"/>
  <c r="P121" i="20" a="1"/>
  <c r="L129" i="20" a="1"/>
  <c r="N129" i="20" s="1"/>
  <c r="O51" i="20" a="1"/>
  <c r="O64" i="20" a="1"/>
  <c r="O80" i="20" a="1"/>
  <c r="O93" i="20" a="1"/>
  <c r="O107" i="20" a="1"/>
  <c r="O122" i="20" a="1"/>
  <c r="P7" i="20" a="1"/>
  <c r="P22" i="20" a="1"/>
  <c r="P36" i="20" a="1"/>
  <c r="P52" i="20" a="1"/>
  <c r="P66" i="20" a="1"/>
  <c r="P78" i="20" a="1"/>
  <c r="P96" i="20" a="1"/>
  <c r="P110" i="20" a="1"/>
  <c r="P120" i="20" a="1"/>
  <c r="P123" i="20" a="1"/>
  <c r="O53" i="20" a="1"/>
  <c r="O63" i="20" a="1"/>
  <c r="O83" i="20" a="1"/>
  <c r="O99" i="20" a="1"/>
  <c r="O112" i="20" a="1"/>
  <c r="O126" i="20" a="1"/>
  <c r="P10" i="20" a="1"/>
  <c r="P25" i="20" a="1"/>
  <c r="P39" i="20" a="1"/>
  <c r="P55" i="20" a="1"/>
  <c r="P68" i="20" a="1"/>
  <c r="P84" i="20" a="1"/>
  <c r="P98" i="20" a="1"/>
  <c r="P114" i="20" a="1"/>
  <c r="P127" i="20" a="1"/>
  <c r="L76" i="20" a="1"/>
  <c r="N76" i="20" s="1"/>
  <c r="K76" i="20" a="1"/>
  <c r="O76" i="20" a="1"/>
  <c r="P76" i="20" a="1"/>
  <c r="J2" i="19" a="1"/>
  <c r="J12" i="19" a="1"/>
  <c r="K3" i="19" a="1"/>
  <c r="M3" i="19" s="1"/>
  <c r="K13" i="19" a="1"/>
  <c r="M13" i="19" s="1"/>
  <c r="K19" i="19" a="1"/>
  <c r="M19" i="19" s="1"/>
  <c r="N10" i="19" a="1"/>
  <c r="N17" i="19" a="1"/>
  <c r="O8" i="19" a="1"/>
  <c r="O14" i="19" a="1"/>
  <c r="J11" i="19" a="1"/>
  <c r="K2" i="19" a="1"/>
  <c r="M2" i="19" s="1"/>
  <c r="K12" i="19" a="1"/>
  <c r="M12" i="19" s="1"/>
  <c r="K18" i="19" a="1"/>
  <c r="M18" i="19" s="1"/>
  <c r="N9" i="19" a="1"/>
  <c r="N16" i="19" a="1"/>
  <c r="O6" i="19" a="1"/>
  <c r="O13" i="19" a="1"/>
  <c r="J21" i="19" a="1"/>
  <c r="K4" i="19" a="1"/>
  <c r="M4" i="19" s="1"/>
  <c r="N2" i="19" a="1"/>
  <c r="N21" i="19" a="1"/>
  <c r="O5" i="19" a="1"/>
  <c r="O20" i="19" a="1"/>
  <c r="J9" i="19" a="1"/>
  <c r="J15" i="19" a="1"/>
  <c r="K9" i="19" a="1"/>
  <c r="M9" i="19" s="1"/>
  <c r="K20" i="19" a="1"/>
  <c r="M20" i="19" s="1"/>
  <c r="N15" i="19" a="1"/>
  <c r="O12" i="19" a="1"/>
  <c r="J7" i="19" a="1"/>
  <c r="J13" i="19" a="1"/>
  <c r="K8" i="19" a="1"/>
  <c r="M8" i="19" s="1"/>
  <c r="K21" i="19" a="1"/>
  <c r="M21" i="19" s="1"/>
  <c r="N4" i="19" a="1"/>
  <c r="O2" i="19" a="1"/>
  <c r="O19" i="19" a="1"/>
  <c r="J3" i="19" a="1"/>
  <c r="J19" i="19" a="1"/>
  <c r="K15" i="19" a="1"/>
  <c r="M15" i="19" s="1"/>
  <c r="N14" i="19" a="1"/>
  <c r="O11" i="19" a="1"/>
  <c r="K5" i="19" a="1"/>
  <c r="M5" i="19" s="1"/>
  <c r="N3" i="19" a="1"/>
  <c r="N19" i="19" a="1"/>
  <c r="O15" i="19" a="1"/>
  <c r="J5" i="19" a="1"/>
  <c r="J18" i="19" a="1"/>
  <c r="K16" i="19" a="1"/>
  <c r="M16" i="19" s="1"/>
  <c r="N11" i="19" a="1"/>
  <c r="O9" i="19" a="1"/>
  <c r="J10" i="19" a="1"/>
  <c r="J14" i="19" a="1"/>
  <c r="K10" i="19" a="1"/>
  <c r="M10" i="19" s="1"/>
  <c r="N6" i="19" a="1"/>
  <c r="N20" i="19" a="1"/>
  <c r="O16" i="19" a="1"/>
  <c r="J4" i="19" a="1"/>
  <c r="J20" i="19" a="1"/>
  <c r="K17" i="19" a="1"/>
  <c r="M17" i="19" s="1"/>
  <c r="N13" i="19" a="1"/>
  <c r="O7" i="19" a="1"/>
  <c r="J6" i="19" a="1"/>
  <c r="J17" i="19" a="1"/>
  <c r="K14" i="19" a="1"/>
  <c r="M14" i="19" s="1"/>
  <c r="N12" i="19" a="1"/>
  <c r="O10" i="19" a="1"/>
  <c r="K6" i="19" a="1"/>
  <c r="M6" i="19" s="1"/>
  <c r="N8" i="19" a="1"/>
  <c r="O4" i="19" a="1"/>
  <c r="O21" i="19" a="1"/>
  <c r="K7" i="19" a="1"/>
  <c r="M7" i="19" s="1"/>
  <c r="N7" i="19" a="1"/>
  <c r="O3" i="19" a="1"/>
  <c r="O18" i="19" a="1"/>
  <c r="J8" i="19" a="1"/>
  <c r="J16" i="19" a="1"/>
  <c r="K11" i="19" a="1"/>
  <c r="M11" i="19" s="1"/>
  <c r="N5" i="19" a="1"/>
  <c r="N18" i="19" a="1"/>
  <c r="O17" i="19" a="1"/>
  <c r="P218" i="18" a="1"/>
  <c r="R218" i="18" s="1"/>
  <c r="U218" i="18" s="1"/>
  <c r="R32" i="18"/>
  <c r="U32" i="18" s="1"/>
  <c r="R37" i="18"/>
  <c r="U37" i="18" s="1"/>
  <c r="R95" i="18"/>
  <c r="U95" i="18" s="1"/>
  <c r="R100" i="18"/>
  <c r="U100" i="18" s="1"/>
  <c r="R105" i="18"/>
  <c r="U105" i="18" s="1"/>
  <c r="R111" i="18"/>
  <c r="U111" i="18" s="1"/>
  <c r="R117" i="18"/>
  <c r="U117" i="18" s="1"/>
  <c r="R122" i="18"/>
  <c r="U122" i="18" s="1"/>
  <c r="R128" i="18"/>
  <c r="U128" i="18" s="1"/>
  <c r="R134" i="18"/>
  <c r="U134" i="18" s="1"/>
  <c r="R139" i="18"/>
  <c r="U139" i="18" s="1"/>
  <c r="R145" i="18"/>
  <c r="U145" i="18" s="1"/>
  <c r="R150" i="18"/>
  <c r="U150" i="18" s="1"/>
  <c r="R155" i="18"/>
  <c r="U155" i="18" s="1"/>
  <c r="R39" i="18"/>
  <c r="U39" i="18" s="1"/>
  <c r="R40" i="18"/>
  <c r="U40" i="18" s="1"/>
  <c r="R41" i="18"/>
  <c r="U41" i="18" s="1"/>
  <c r="R42" i="18"/>
  <c r="U42" i="18" s="1"/>
  <c r="R43" i="18"/>
  <c r="U43" i="18" s="1"/>
  <c r="R44" i="18"/>
  <c r="U44" i="18" s="1"/>
  <c r="R45" i="18"/>
  <c r="U45" i="18" s="1"/>
  <c r="R46" i="18"/>
  <c r="U46" i="18" s="1"/>
  <c r="R47" i="18"/>
  <c r="U47" i="18" s="1"/>
  <c r="R48" i="18"/>
  <c r="U48" i="18" s="1"/>
  <c r="R49" i="18"/>
  <c r="U49" i="18" s="1"/>
  <c r="R50" i="18"/>
  <c r="U50" i="18" s="1"/>
  <c r="R51" i="18"/>
  <c r="U51" i="18" s="1"/>
  <c r="R52" i="18"/>
  <c r="U52" i="18" s="1"/>
  <c r="R53" i="18"/>
  <c r="U53" i="18" s="1"/>
  <c r="R54" i="18"/>
  <c r="U54" i="18" s="1"/>
  <c r="R55" i="18"/>
  <c r="U55" i="18" s="1"/>
  <c r="R56" i="18"/>
  <c r="U56" i="18" s="1"/>
  <c r="R57" i="18"/>
  <c r="U57" i="18" s="1"/>
  <c r="R58" i="18"/>
  <c r="U58" i="18" s="1"/>
  <c r="R59" i="18"/>
  <c r="U59" i="18" s="1"/>
  <c r="R60" i="18"/>
  <c r="U60" i="18" s="1"/>
  <c r="R61" i="18"/>
  <c r="U61" i="18" s="1"/>
  <c r="R62" i="18"/>
  <c r="U62" i="18" s="1"/>
  <c r="R63" i="18"/>
  <c r="U63" i="18" s="1"/>
  <c r="R64" i="18"/>
  <c r="U64" i="18" s="1"/>
  <c r="R65" i="18"/>
  <c r="U65" i="18" s="1"/>
  <c r="R66" i="18"/>
  <c r="U66" i="18" s="1"/>
  <c r="R67" i="18"/>
  <c r="U67" i="18" s="1"/>
  <c r="R68" i="18"/>
  <c r="U68" i="18" s="1"/>
  <c r="R69" i="18"/>
  <c r="U69" i="18" s="1"/>
  <c r="R70" i="18"/>
  <c r="U70" i="18" s="1"/>
  <c r="R71" i="18"/>
  <c r="U71" i="18" s="1"/>
  <c r="R72" i="18"/>
  <c r="U72" i="18" s="1"/>
  <c r="R90" i="18"/>
  <c r="U90" i="18" s="1"/>
  <c r="R91" i="18"/>
  <c r="U91" i="18" s="1"/>
  <c r="R92" i="18"/>
  <c r="U92" i="18" s="1"/>
  <c r="R98" i="18"/>
  <c r="U98" i="18" s="1"/>
  <c r="R106" i="18"/>
  <c r="U106" i="18" s="1"/>
  <c r="R115" i="18"/>
  <c r="U115" i="18" s="1"/>
  <c r="R123" i="18"/>
  <c r="U123" i="18" s="1"/>
  <c r="R130" i="18"/>
  <c r="U130" i="18" s="1"/>
  <c r="R140" i="18"/>
  <c r="U140" i="18" s="1"/>
  <c r="R147" i="18"/>
  <c r="U147" i="18" s="1"/>
  <c r="R154" i="18"/>
  <c r="U154" i="18" s="1"/>
  <c r="R161" i="18"/>
  <c r="U161" i="18" s="1"/>
  <c r="R162" i="18"/>
  <c r="U162" i="18" s="1"/>
  <c r="R163" i="18"/>
  <c r="U163" i="18" s="1"/>
  <c r="R164" i="18"/>
  <c r="U164" i="18" s="1"/>
  <c r="R165" i="18"/>
  <c r="U165" i="18" s="1"/>
  <c r="R166" i="18"/>
  <c r="U166" i="18" s="1"/>
  <c r="R167" i="18"/>
  <c r="U167" i="18" s="1"/>
  <c r="R168" i="18"/>
  <c r="U168" i="18" s="1"/>
  <c r="R169" i="18"/>
  <c r="U169" i="18" s="1"/>
  <c r="R170" i="18"/>
  <c r="U170" i="18" s="1"/>
  <c r="R171" i="18"/>
  <c r="U171" i="18" s="1"/>
  <c r="R172" i="18"/>
  <c r="U172" i="18" s="1"/>
  <c r="R173" i="18"/>
  <c r="U173" i="18" s="1"/>
  <c r="R174" i="18"/>
  <c r="U174" i="18" s="1"/>
  <c r="R175" i="18"/>
  <c r="U175" i="18" s="1"/>
  <c r="R176" i="18"/>
  <c r="U176" i="18" s="1"/>
  <c r="R177" i="18"/>
  <c r="U177" i="18" s="1"/>
  <c r="R178" i="18"/>
  <c r="U178" i="18" s="1"/>
  <c r="R179" i="18"/>
  <c r="U179" i="18" s="1"/>
  <c r="R180" i="18"/>
  <c r="U180" i="18" s="1"/>
  <c r="R181" i="18"/>
  <c r="U181" i="18" s="1"/>
  <c r="R182" i="18"/>
  <c r="U182" i="18" s="1"/>
  <c r="R183" i="18"/>
  <c r="U183" i="18" s="1"/>
  <c r="R184" i="18"/>
  <c r="U184" i="18" s="1"/>
  <c r="R185" i="18"/>
  <c r="U185" i="18" s="1"/>
  <c r="R186" i="18"/>
  <c r="U186" i="18" s="1"/>
  <c r="R187" i="18"/>
  <c r="U187" i="18" s="1"/>
  <c r="R188" i="18"/>
  <c r="U188" i="18" s="1"/>
  <c r="R189" i="18"/>
  <c r="U189" i="18" s="1"/>
  <c r="R190" i="18"/>
  <c r="U190" i="18" s="1"/>
  <c r="R191" i="18"/>
  <c r="U191" i="18" s="1"/>
  <c r="R192" i="18"/>
  <c r="U192" i="18" s="1"/>
  <c r="R193" i="18"/>
  <c r="U193" i="18" s="1"/>
  <c r="R225" i="18"/>
  <c r="U225" i="18" s="1"/>
  <c r="R226" i="18"/>
  <c r="U226" i="18" s="1"/>
  <c r="R227" i="18"/>
  <c r="U227" i="18" s="1"/>
  <c r="R228" i="18"/>
  <c r="U228" i="18" s="1"/>
  <c r="R229" i="18"/>
  <c r="U229" i="18" s="1"/>
  <c r="R230" i="18"/>
  <c r="U230" i="18" s="1"/>
  <c r="R231" i="18"/>
  <c r="U231" i="18" s="1"/>
  <c r="R232" i="18"/>
  <c r="U232" i="18" s="1"/>
  <c r="R233" i="18"/>
  <c r="U233" i="18" s="1"/>
  <c r="R234" i="18"/>
  <c r="U234" i="18" s="1"/>
  <c r="R235" i="18"/>
  <c r="U235" i="18" s="1"/>
  <c r="R236" i="18"/>
  <c r="U236" i="18" s="1"/>
  <c r="R237" i="18"/>
  <c r="U237" i="18" s="1"/>
  <c r="R238" i="18"/>
  <c r="U238" i="18" s="1"/>
  <c r="R239" i="18"/>
  <c r="U239" i="18" s="1"/>
  <c r="R240" i="18"/>
  <c r="U240" i="18" s="1"/>
  <c r="R241" i="18"/>
  <c r="U241" i="18" s="1"/>
  <c r="R242" i="18"/>
  <c r="U242" i="18" s="1"/>
  <c r="R243" i="18"/>
  <c r="U243" i="18" s="1"/>
  <c r="R244" i="18"/>
  <c r="U244" i="18" s="1"/>
  <c r="R245" i="18"/>
  <c r="U245" i="18" s="1"/>
  <c r="R246" i="18"/>
  <c r="U246" i="18" s="1"/>
  <c r="R247" i="18"/>
  <c r="U247" i="18" s="1"/>
  <c r="R248" i="18"/>
  <c r="U248" i="18" s="1"/>
  <c r="R249" i="18"/>
  <c r="U249" i="18" s="1"/>
  <c r="R250" i="18"/>
  <c r="U250" i="18" s="1"/>
  <c r="R251" i="18"/>
  <c r="U251" i="18" s="1"/>
  <c r="R252" i="18"/>
  <c r="U252" i="18" s="1"/>
  <c r="R253" i="18"/>
  <c r="U253" i="18" s="1"/>
  <c r="R254" i="18"/>
  <c r="U254" i="18" s="1"/>
  <c r="R255" i="18"/>
  <c r="U255" i="18" s="1"/>
  <c r="R256" i="18"/>
  <c r="U256" i="18" s="1"/>
  <c r="R257" i="18"/>
  <c r="U257" i="18" s="1"/>
  <c r="R258" i="18"/>
  <c r="U258" i="18" s="1"/>
  <c r="R259" i="18"/>
  <c r="U259" i="18" s="1"/>
  <c r="R260" i="18"/>
  <c r="U260" i="18" s="1"/>
  <c r="R261" i="18"/>
  <c r="U261" i="18" s="1"/>
  <c r="T171" i="18" a="1"/>
  <c r="P223" i="18" a="1"/>
  <c r="R223" i="18" s="1"/>
  <c r="U223" i="18" s="1"/>
  <c r="R212" i="18"/>
  <c r="U212" i="18" s="1"/>
  <c r="O145" i="18" a="1"/>
  <c r="P224" i="18" a="1"/>
  <c r="R224" i="18" s="1"/>
  <c r="U224" i="18" s="1"/>
  <c r="S99" i="18" a="1"/>
  <c r="P222" i="18" a="1"/>
  <c r="R222" i="18" s="1"/>
  <c r="U222" i="18" s="1"/>
  <c r="P220" i="18" a="1"/>
  <c r="R220" i="18" s="1"/>
  <c r="U220" i="18" s="1"/>
  <c r="R29" i="18"/>
  <c r="U29" i="18" s="1"/>
  <c r="R34" i="18"/>
  <c r="U34" i="18" s="1"/>
  <c r="R94" i="18"/>
  <c r="U94" i="18" s="1"/>
  <c r="R101" i="18"/>
  <c r="U101" i="18" s="1"/>
  <c r="R108" i="18"/>
  <c r="U108" i="18" s="1"/>
  <c r="R114" i="18"/>
  <c r="U114" i="18" s="1"/>
  <c r="R120" i="18"/>
  <c r="U120" i="18" s="1"/>
  <c r="R126" i="18"/>
  <c r="U126" i="18" s="1"/>
  <c r="R133" i="18"/>
  <c r="U133" i="18" s="1"/>
  <c r="R138" i="18"/>
  <c r="U138" i="18" s="1"/>
  <c r="R144" i="18"/>
  <c r="U144" i="18" s="1"/>
  <c r="R151" i="18"/>
  <c r="U151" i="18" s="1"/>
  <c r="R158" i="18"/>
  <c r="U158" i="18" s="1"/>
  <c r="P221" i="18" a="1"/>
  <c r="R221" i="18" s="1"/>
  <c r="U221" i="18" s="1"/>
  <c r="P219" i="18" a="1"/>
  <c r="R219" i="18" s="1"/>
  <c r="U219" i="18" s="1"/>
  <c r="R28" i="18"/>
  <c r="U28" i="18" s="1"/>
  <c r="R33" i="18"/>
  <c r="U33" i="18" s="1"/>
  <c r="R38" i="18"/>
  <c r="U38" i="18" s="1"/>
  <c r="R97" i="18"/>
  <c r="U97" i="18" s="1"/>
  <c r="R102" i="18"/>
  <c r="U102" i="18" s="1"/>
  <c r="R107" i="18"/>
  <c r="U107" i="18" s="1"/>
  <c r="R112" i="18"/>
  <c r="U112" i="18" s="1"/>
  <c r="R118" i="18"/>
  <c r="U118" i="18" s="1"/>
  <c r="R124" i="18"/>
  <c r="U124" i="18" s="1"/>
  <c r="R129" i="18"/>
  <c r="U129" i="18" s="1"/>
  <c r="R135" i="18"/>
  <c r="U135" i="18" s="1"/>
  <c r="R141" i="18"/>
  <c r="U141" i="18" s="1"/>
  <c r="R146" i="18"/>
  <c r="U146" i="18" s="1"/>
  <c r="R152" i="18"/>
  <c r="U152" i="18" s="1"/>
  <c r="R157" i="18"/>
  <c r="U157" i="18" s="1"/>
  <c r="R159" i="18"/>
  <c r="U159" i="18" s="1"/>
  <c r="R214" i="18"/>
  <c r="U214" i="18" s="1"/>
  <c r="P216" i="18" a="1"/>
  <c r="R216" i="18" s="1"/>
  <c r="U216" i="18" s="1"/>
  <c r="R31" i="18"/>
  <c r="U31" i="18" s="1"/>
  <c r="R36" i="18"/>
  <c r="U36" i="18" s="1"/>
  <c r="R96" i="18"/>
  <c r="U96" i="18" s="1"/>
  <c r="R103" i="18"/>
  <c r="U103" i="18" s="1"/>
  <c r="R109" i="18"/>
  <c r="U109" i="18" s="1"/>
  <c r="R113" i="18"/>
  <c r="U113" i="18" s="1"/>
  <c r="R119" i="18"/>
  <c r="U119" i="18" s="1"/>
  <c r="R125" i="18"/>
  <c r="U125" i="18" s="1"/>
  <c r="R131" i="18"/>
  <c r="U131" i="18" s="1"/>
  <c r="R136" i="18"/>
  <c r="U136" i="18" s="1"/>
  <c r="R142" i="18"/>
  <c r="U142" i="18" s="1"/>
  <c r="R149" i="18"/>
  <c r="U149" i="18" s="1"/>
  <c r="R156" i="18"/>
  <c r="U156" i="18" s="1"/>
  <c r="P217" i="18" a="1"/>
  <c r="R217" i="18" s="1"/>
  <c r="U217" i="18" s="1"/>
  <c r="R30" i="18"/>
  <c r="U30" i="18" s="1"/>
  <c r="R35" i="18"/>
  <c r="U35" i="18" s="1"/>
  <c r="R93" i="18"/>
  <c r="U93" i="18" s="1"/>
  <c r="R99" i="18"/>
  <c r="U99" i="18" s="1"/>
  <c r="R104" i="18"/>
  <c r="U104" i="18" s="1"/>
  <c r="R110" i="18"/>
  <c r="U110" i="18" s="1"/>
  <c r="R116" i="18"/>
  <c r="U116" i="18" s="1"/>
  <c r="R121" i="18"/>
  <c r="U121" i="18" s="1"/>
  <c r="R127" i="18"/>
  <c r="U127" i="18" s="1"/>
  <c r="R132" i="18"/>
  <c r="U132" i="18" s="1"/>
  <c r="R137" i="18"/>
  <c r="U137" i="18" s="1"/>
  <c r="R143" i="18"/>
  <c r="U143" i="18" s="1"/>
  <c r="R148" i="18"/>
  <c r="U148" i="18" s="1"/>
  <c r="R153" i="18"/>
  <c r="U153" i="18" s="1"/>
  <c r="R160" i="18"/>
  <c r="U160" i="18" s="1"/>
  <c r="P215" i="18" a="1"/>
  <c r="R215" i="18" s="1"/>
  <c r="U215" i="18" s="1"/>
  <c r="S2" i="18" a="1"/>
  <c r="S205" i="18" a="1"/>
  <c r="R16" i="18"/>
  <c r="U16" i="18" s="1"/>
  <c r="R17" i="18"/>
  <c r="U17" i="18" s="1"/>
  <c r="R18" i="18"/>
  <c r="U18" i="18" s="1"/>
  <c r="R19" i="18"/>
  <c r="U19" i="18" s="1"/>
  <c r="R20" i="18"/>
  <c r="U20" i="18" s="1"/>
  <c r="R21" i="18"/>
  <c r="U21" i="18" s="1"/>
  <c r="R22" i="18"/>
  <c r="U22" i="18"/>
  <c r="R23" i="18"/>
  <c r="U23" i="18"/>
  <c r="R24" i="18"/>
  <c r="U24" i="18"/>
  <c r="R25" i="18"/>
  <c r="U25" i="18"/>
  <c r="R26" i="18"/>
  <c r="U26" i="18"/>
  <c r="R27" i="18"/>
  <c r="U27" i="18"/>
  <c r="X105" i="17" a="1"/>
  <c r="Y105" i="17" s="1"/>
  <c r="Q105" i="17" s="1"/>
  <c r="W105" i="17" s="1"/>
  <c r="T137" i="17" a="1"/>
  <c r="T40" i="17" a="1"/>
  <c r="U101" i="17" a="1"/>
  <c r="Y84" i="17"/>
  <c r="Q84" i="17" s="1"/>
  <c r="W84" i="17" s="1"/>
  <c r="Y94" i="17"/>
  <c r="Q94" i="17" s="1"/>
  <c r="W94" i="17" s="1"/>
  <c r="Y104" i="17"/>
  <c r="Q104" i="17" s="1"/>
  <c r="W104" i="17" s="1"/>
  <c r="Y114" i="17"/>
  <c r="Q114" i="17" s="1"/>
  <c r="W114" i="17" s="1"/>
  <c r="Y124" i="17"/>
  <c r="Q124" i="17" s="1"/>
  <c r="W124" i="17" s="1"/>
  <c r="Y134" i="17"/>
  <c r="Q134" i="17" s="1"/>
  <c r="W134" i="17" s="1"/>
  <c r="Y144" i="17"/>
  <c r="Q144" i="17" s="1"/>
  <c r="W144" i="17" s="1"/>
  <c r="Y154" i="17"/>
  <c r="Q154" i="17" s="1"/>
  <c r="W154" i="17" s="1"/>
  <c r="Y164" i="17"/>
  <c r="Q164" i="17" s="1"/>
  <c r="W164" i="17" s="1"/>
  <c r="Y20" i="17"/>
  <c r="Q20" i="17" s="1"/>
  <c r="W20" i="17" s="1"/>
  <c r="Y21" i="17"/>
  <c r="Q21" i="17" s="1"/>
  <c r="W21" i="17" s="1"/>
  <c r="Y22" i="17"/>
  <c r="Q22" i="17" s="1"/>
  <c r="W22" i="17" s="1"/>
  <c r="Y23" i="17"/>
  <c r="Q23" i="17" s="1"/>
  <c r="W23" i="17" s="1"/>
  <c r="Y24" i="17"/>
  <c r="Q24" i="17" s="1"/>
  <c r="W24" i="17" s="1"/>
  <c r="Y25" i="17"/>
  <c r="Q25" i="17" s="1"/>
  <c r="W25" i="17" s="1"/>
  <c r="Y65" i="17"/>
  <c r="Q65" i="17" s="1"/>
  <c r="W65" i="17" s="1"/>
  <c r="Y75" i="17"/>
  <c r="Q75" i="17" s="1"/>
  <c r="W75" i="17" s="1"/>
  <c r="Y85" i="17"/>
  <c r="Q85" i="17" s="1"/>
  <c r="W85" i="17" s="1"/>
  <c r="Y95" i="17"/>
  <c r="Q95" i="17" s="1"/>
  <c r="W95" i="17" s="1"/>
  <c r="Y27" i="17"/>
  <c r="Q27" i="17" s="1"/>
  <c r="W27" i="17" s="1"/>
  <c r="T157" i="17" a="1"/>
  <c r="N3" i="17" a="1"/>
  <c r="U151" i="17" a="1"/>
  <c r="X115" i="17" a="1"/>
  <c r="Y115" i="17" s="1"/>
  <c r="Q115" i="17" s="1"/>
  <c r="W115" i="17" s="1"/>
  <c r="T117" i="17" a="1"/>
  <c r="T42" i="17" a="1"/>
  <c r="U111" i="17" a="1"/>
  <c r="S84" i="17" a="1"/>
  <c r="X135" i="17" a="1"/>
  <c r="Y135" i="17" s="1"/>
  <c r="Q135" i="17" s="1"/>
  <c r="W135" i="17" s="1"/>
  <c r="N11" i="17" a="1"/>
  <c r="T38" i="17" a="1"/>
  <c r="X26" i="17" a="1"/>
  <c r="U131" i="17" a="1"/>
  <c r="S94" i="17" a="1"/>
  <c r="X155" i="17" a="1"/>
  <c r="Y155" i="17" s="1"/>
  <c r="Q155" i="17" s="1"/>
  <c r="W155" i="17" s="1"/>
  <c r="T167" i="17" a="1"/>
  <c r="N2" i="17" a="1"/>
  <c r="U141" i="17" a="1"/>
  <c r="S64" i="17" a="1"/>
  <c r="X145" i="17" a="1"/>
  <c r="Y145" i="17" s="1"/>
  <c r="Q145" i="17" s="1"/>
  <c r="W145" i="17" s="1"/>
  <c r="T147" i="17" a="1"/>
  <c r="T43" i="17" a="1"/>
  <c r="U121" i="17" a="1"/>
  <c r="S74" i="17" a="1"/>
  <c r="X125" i="17" a="1"/>
  <c r="Y125" i="17" s="1"/>
  <c r="Q125" i="17" s="1"/>
  <c r="W125" i="17" s="1"/>
  <c r="T127" i="17" a="1"/>
  <c r="T41" i="17" a="1"/>
  <c r="U91" i="17" a="1"/>
  <c r="O82" i="17" a="1"/>
  <c r="Q82" i="17" s="1"/>
  <c r="W82" i="17" s="1"/>
  <c r="O92" i="17" a="1"/>
  <c r="Q92" i="17" s="1"/>
  <c r="W92" i="17" s="1"/>
  <c r="O102" i="17" a="1"/>
  <c r="Q102" i="17" s="1"/>
  <c r="W102" i="17" s="1"/>
  <c r="X47" i="17" a="1"/>
  <c r="Y47" i="17" s="1"/>
  <c r="Q47" i="17" s="1"/>
  <c r="W47" i="17" s="1"/>
  <c r="X48" i="17" a="1"/>
  <c r="Y48" i="17" s="1"/>
  <c r="Q48" i="17" s="1"/>
  <c r="W48" i="17" s="1"/>
  <c r="U112" i="17" a="1"/>
  <c r="O112" i="17" a="1"/>
  <c r="Q112" i="17" s="1"/>
  <c r="W112" i="17" s="1"/>
  <c r="V135" i="17" a="1"/>
  <c r="N4" i="17" a="1"/>
  <c r="U122" i="17" a="1"/>
  <c r="V145" i="17" a="1"/>
  <c r="O132" i="17" a="1"/>
  <c r="R38" i="17" a="1"/>
  <c r="T2" i="17" a="1"/>
  <c r="R39" i="17" a="1"/>
  <c r="V155" i="17" a="1"/>
  <c r="R43" i="17" a="1"/>
  <c r="U132" i="17" a="1"/>
  <c r="N5" i="17" a="1"/>
  <c r="R44" i="17" a="1"/>
  <c r="R109" i="17" a="1"/>
  <c r="X109" i="17" a="1"/>
  <c r="Y109" i="17" s="1"/>
  <c r="Q109" i="17" s="1"/>
  <c r="W109" i="17" s="1"/>
  <c r="R119" i="17" a="1"/>
  <c r="X119" i="17" a="1"/>
  <c r="Y119" i="17" s="1"/>
  <c r="Q119" i="17" s="1"/>
  <c r="W119" i="17" s="1"/>
  <c r="S119" i="17" a="1"/>
  <c r="R129" i="17" a="1"/>
  <c r="S129" i="17" a="1"/>
  <c r="X129" i="17" a="1"/>
  <c r="Y129" i="17" s="1"/>
  <c r="Q129" i="17" s="1"/>
  <c r="W129" i="17" s="1"/>
  <c r="R139" i="17" a="1"/>
  <c r="X139" i="17" a="1"/>
  <c r="Y139" i="17" s="1"/>
  <c r="Q139" i="17" s="1"/>
  <c r="W139" i="17" s="1"/>
  <c r="S139" i="17" a="1"/>
  <c r="R149" i="17" a="1"/>
  <c r="S149" i="17" a="1"/>
  <c r="X149" i="17" a="1"/>
  <c r="Y149" i="17" s="1"/>
  <c r="Q149" i="17" s="1"/>
  <c r="W149" i="17" s="1"/>
  <c r="R159" i="17" a="1"/>
  <c r="S159" i="17" a="1"/>
  <c r="X159" i="17" a="1"/>
  <c r="Y159" i="17" s="1"/>
  <c r="Q159" i="17" s="1"/>
  <c r="W159" i="17" s="1"/>
  <c r="R169" i="17" a="1"/>
  <c r="S169" i="17" a="1"/>
  <c r="X169" i="17" a="1"/>
  <c r="Y169" i="17" s="1"/>
  <c r="Q169" i="17" s="1"/>
  <c r="W169" i="17" s="1"/>
  <c r="O142" i="17" a="1"/>
  <c r="R50" i="17" a="1"/>
  <c r="S50" i="17" a="1"/>
  <c r="N6" i="17" a="1"/>
  <c r="X50" i="17" a="1"/>
  <c r="Y50" i="17" s="1"/>
  <c r="Q50" i="17" s="1"/>
  <c r="W50" i="17" s="1"/>
  <c r="X51" i="17" a="1"/>
  <c r="Y51" i="17" s="1"/>
  <c r="Q51" i="17" s="1"/>
  <c r="W51" i="17" s="1"/>
  <c r="R51" i="17" a="1"/>
  <c r="S51" i="17" a="1"/>
  <c r="R52" i="17" a="1"/>
  <c r="S52" i="17" a="1"/>
  <c r="X52" i="17" a="1"/>
  <c r="Y52" i="17" s="1"/>
  <c r="Q52" i="17" s="1"/>
  <c r="W52" i="17" s="1"/>
  <c r="X53" i="17" a="1"/>
  <c r="Y53" i="17" s="1"/>
  <c r="Q53" i="17" s="1"/>
  <c r="W53" i="17" s="1"/>
  <c r="R53" i="17" a="1"/>
  <c r="S53" i="17" a="1"/>
  <c r="R54" i="17" a="1"/>
  <c r="S54" i="17" a="1"/>
  <c r="X54" i="17" a="1"/>
  <c r="Y54" i="17" s="1"/>
  <c r="Q54" i="17" s="1"/>
  <c r="W54" i="17" s="1"/>
  <c r="R55" i="17" a="1"/>
  <c r="S55" i="17" a="1"/>
  <c r="X55" i="17" a="1"/>
  <c r="Y55" i="17" s="1"/>
  <c r="Q55" i="17" s="1"/>
  <c r="W55" i="17" s="1"/>
  <c r="R70" i="17" a="1"/>
  <c r="S70" i="17" a="1"/>
  <c r="X70" i="17" a="1"/>
  <c r="Y70" i="17" s="1"/>
  <c r="Q70" i="17" s="1"/>
  <c r="W70" i="17" s="1"/>
  <c r="R80" i="17" a="1"/>
  <c r="S80" i="17" a="1"/>
  <c r="X80" i="17" a="1"/>
  <c r="Y80" i="17" s="1"/>
  <c r="Q80" i="17" s="1"/>
  <c r="W80" i="17" s="1"/>
  <c r="S90" i="17" a="1"/>
  <c r="R90" i="17" a="1"/>
  <c r="X90" i="17" a="1"/>
  <c r="Y90" i="17" s="1"/>
  <c r="Q90" i="17" s="1"/>
  <c r="W90" i="17" s="1"/>
  <c r="R100" i="17" a="1"/>
  <c r="S100" i="17" a="1"/>
  <c r="X100" i="17" a="1"/>
  <c r="Y100" i="17" s="1"/>
  <c r="Q100" i="17" s="1"/>
  <c r="W100" i="17" s="1"/>
  <c r="S110" i="17" a="1"/>
  <c r="R110" i="17" a="1"/>
  <c r="X110" i="17" a="1"/>
  <c r="Y110" i="17" s="1"/>
  <c r="Q110" i="17" s="1"/>
  <c r="W110" i="17" s="1"/>
  <c r="R120" i="17" a="1"/>
  <c r="S120" i="17" a="1"/>
  <c r="X120" i="17" a="1"/>
  <c r="Y120" i="17" s="1"/>
  <c r="Q120" i="17" s="1"/>
  <c r="W120" i="17" s="1"/>
  <c r="R130" i="17" a="1"/>
  <c r="S130" i="17" a="1"/>
  <c r="X130" i="17" a="1"/>
  <c r="Y130" i="17" s="1"/>
  <c r="Q130" i="17" s="1"/>
  <c r="W130" i="17" s="1"/>
  <c r="R140" i="17" a="1"/>
  <c r="S140" i="17" a="1"/>
  <c r="X140" i="17" a="1"/>
  <c r="Y140" i="17" s="1"/>
  <c r="Q140" i="17" s="1"/>
  <c r="W140" i="17" s="1"/>
  <c r="S150" i="17" a="1"/>
  <c r="R150" i="17" a="1"/>
  <c r="X150" i="17" a="1"/>
  <c r="Y150" i="17" s="1"/>
  <c r="Q150" i="17" s="1"/>
  <c r="W150" i="17" s="1"/>
  <c r="R160" i="17" a="1"/>
  <c r="S160" i="17" a="1"/>
  <c r="X160" i="17" a="1"/>
  <c r="Y160" i="17" s="1"/>
  <c r="Q160" i="17" s="1"/>
  <c r="W160" i="17" s="1"/>
  <c r="S170" i="17" a="1"/>
  <c r="R170" i="17" a="1"/>
  <c r="X170" i="17" a="1"/>
  <c r="Y170" i="17" s="1"/>
  <c r="Q170" i="17" s="1"/>
  <c r="W170" i="17" s="1"/>
  <c r="S56" i="17" a="1"/>
  <c r="R56" i="17" a="1"/>
  <c r="X56" i="17" a="1"/>
  <c r="Y56" i="17" s="1"/>
  <c r="Q56" i="17" s="1"/>
  <c r="W56" i="17" s="1"/>
  <c r="S57" i="17" a="1"/>
  <c r="R57" i="17" a="1"/>
  <c r="X57" i="17" a="1"/>
  <c r="Y57" i="17" s="1"/>
  <c r="Q57" i="17" s="1"/>
  <c r="W57" i="17" s="1"/>
  <c r="S58" i="17" a="1"/>
  <c r="R58" i="17" a="1"/>
  <c r="X58" i="17" a="1"/>
  <c r="Y58" i="17" s="1"/>
  <c r="Q58" i="17" s="1"/>
  <c r="W58" i="17" s="1"/>
  <c r="R5" i="17" a="1"/>
  <c r="S59" i="17" a="1"/>
  <c r="R59" i="17" a="1"/>
  <c r="X59" i="17" a="1"/>
  <c r="Y59" i="17" s="1"/>
  <c r="Q59" i="17" s="1"/>
  <c r="W59" i="17" s="1"/>
  <c r="S60" i="17" a="1"/>
  <c r="R60" i="17" a="1"/>
  <c r="X60" i="17" a="1"/>
  <c r="Y60" i="17" s="1"/>
  <c r="Q60" i="17" s="1"/>
  <c r="W60" i="17" s="1"/>
  <c r="S61" i="17" a="1"/>
  <c r="R61" i="17" a="1"/>
  <c r="X61" i="17" a="1"/>
  <c r="Y61" i="17" s="1"/>
  <c r="Q61" i="17" s="1"/>
  <c r="W61" i="17" s="1"/>
  <c r="V165" i="17" a="1"/>
  <c r="S71" i="17" a="1"/>
  <c r="T3" i="17" a="1"/>
  <c r="R71" i="17" a="1"/>
  <c r="S2" i="17" a="1"/>
  <c r="X71" i="17" a="1"/>
  <c r="Y71" i="17" s="1"/>
  <c r="Q71" i="17" s="1"/>
  <c r="W71" i="17" s="1"/>
  <c r="R81" i="17" a="1"/>
  <c r="S81" i="17" a="1"/>
  <c r="X81" i="17" a="1"/>
  <c r="Y81" i="17" s="1"/>
  <c r="Q81" i="17" s="1"/>
  <c r="W81" i="17" s="1"/>
  <c r="R91" i="17" a="1"/>
  <c r="S91" i="17" a="1"/>
  <c r="X91" i="17" a="1"/>
  <c r="Y91" i="17" s="1"/>
  <c r="Q91" i="17" s="1"/>
  <c r="W91" i="17" s="1"/>
  <c r="S101" i="17" a="1"/>
  <c r="R101" i="17" a="1"/>
  <c r="X101" i="17" a="1"/>
  <c r="Y101" i="17" s="1"/>
  <c r="Q101" i="17" s="1"/>
  <c r="W101" i="17" s="1"/>
  <c r="S111" i="17" a="1"/>
  <c r="R111" i="17" a="1"/>
  <c r="X111" i="17" a="1"/>
  <c r="Y111" i="17" s="1"/>
  <c r="Q111" i="17" s="1"/>
  <c r="W111" i="17" s="1"/>
  <c r="S121" i="17" a="1"/>
  <c r="R121" i="17" a="1"/>
  <c r="X121" i="17" a="1"/>
  <c r="Y121" i="17" s="1"/>
  <c r="Q121" i="17" s="1"/>
  <c r="W121" i="17" s="1"/>
  <c r="S131" i="17" a="1"/>
  <c r="U142" i="17" a="1"/>
  <c r="O152" i="17" a="1"/>
  <c r="Q152" i="17" s="1"/>
  <c r="W152" i="17" s="1"/>
  <c r="N7" i="17" a="1"/>
  <c r="R131" i="17" a="1"/>
  <c r="X131" i="17" a="1"/>
  <c r="Y131" i="17" s="1"/>
  <c r="Q131" i="17" s="1"/>
  <c r="W131" i="17" s="1"/>
  <c r="S141" i="17" a="1"/>
  <c r="R141" i="17" a="1"/>
  <c r="N62" i="17" a="1"/>
  <c r="X141" i="17" a="1"/>
  <c r="Y141" i="17" s="1"/>
  <c r="Q141" i="17" s="1"/>
  <c r="W141" i="17" s="1"/>
  <c r="R151" i="17" a="1"/>
  <c r="S151" i="17" a="1"/>
  <c r="X151" i="17" a="1"/>
  <c r="Y151" i="17" s="1"/>
  <c r="Q151" i="17" s="1"/>
  <c r="W151" i="17" s="1"/>
  <c r="U161" i="17" a="1"/>
  <c r="R161" i="17" a="1"/>
  <c r="V26" i="17" a="1"/>
  <c r="S3" i="17" a="1"/>
  <c r="R6" i="17" a="1"/>
  <c r="T4" i="17" a="1"/>
  <c r="S161" i="17" a="1"/>
  <c r="X161" i="17" a="1"/>
  <c r="Y161" i="17" s="1"/>
  <c r="Q161" i="17" s="1"/>
  <c r="W161" i="17" s="1"/>
  <c r="U171" i="17" a="1"/>
  <c r="R171" i="17" a="1"/>
  <c r="S171" i="17" a="1"/>
  <c r="X171" i="17" a="1"/>
  <c r="Y171" i="17" s="1"/>
  <c r="Q171" i="17" s="1"/>
  <c r="W171" i="17" s="1"/>
  <c r="R3" i="17" a="1"/>
  <c r="N44" i="17" a="1"/>
  <c r="V159" i="17" a="1"/>
  <c r="Y28" i="17"/>
  <c r="Q28" i="17" s="1"/>
  <c r="W28" i="17" s="1"/>
  <c r="Y29" i="17"/>
  <c r="Q29" i="17" s="1"/>
  <c r="W29" i="17" s="1"/>
  <c r="Y30" i="17"/>
  <c r="Q30" i="17" s="1"/>
  <c r="W30" i="17" s="1"/>
  <c r="Y31" i="17"/>
  <c r="Q31" i="17" s="1"/>
  <c r="W31" i="17" s="1"/>
  <c r="Y66" i="17"/>
  <c r="Q66" i="17" s="1"/>
  <c r="W66" i="17" s="1"/>
  <c r="Y76" i="17"/>
  <c r="Q76" i="17" s="1"/>
  <c r="W76" i="17" s="1"/>
  <c r="Y86" i="17"/>
  <c r="Q86" i="17" s="1"/>
  <c r="W86" i="17" s="1"/>
  <c r="Y96" i="17"/>
  <c r="Q96" i="17" s="1"/>
  <c r="W96" i="17" s="1"/>
  <c r="Y106" i="17"/>
  <c r="Q106" i="17" s="1"/>
  <c r="W106" i="17" s="1"/>
  <c r="Y116" i="17"/>
  <c r="Q116" i="17" s="1"/>
  <c r="W116" i="17" s="1"/>
  <c r="Y126" i="17"/>
  <c r="Q126" i="17" s="1"/>
  <c r="W126" i="17" s="1"/>
  <c r="Y136" i="17"/>
  <c r="Q136" i="17" s="1"/>
  <c r="W136" i="17" s="1"/>
  <c r="Y146" i="17"/>
  <c r="Q146" i="17" s="1"/>
  <c r="W146" i="17" s="1"/>
  <c r="Y156" i="17"/>
  <c r="Q156" i="17" s="1"/>
  <c r="W156" i="17" s="1"/>
  <c r="Y166" i="17"/>
  <c r="Q166" i="17" s="1"/>
  <c r="W166" i="17" s="1"/>
  <c r="Y32" i="17"/>
  <c r="Q32" i="17" s="1"/>
  <c r="W32" i="17" s="1"/>
  <c r="Y33" i="17"/>
  <c r="Q33" i="17" s="1"/>
  <c r="W33" i="17" s="1"/>
  <c r="Y34" i="17"/>
  <c r="Q34" i="17" s="1"/>
  <c r="W34" i="17" s="1"/>
  <c r="Y35" i="17"/>
  <c r="Y36" i="17"/>
  <c r="Q36" i="17" s="1"/>
  <c r="W36" i="17" s="1"/>
  <c r="Y37" i="17"/>
  <c r="Q37" i="17" s="1"/>
  <c r="W37" i="17" s="1"/>
  <c r="Y67" i="17"/>
  <c r="Q67" i="17" s="1"/>
  <c r="W67" i="17" s="1"/>
  <c r="Y77" i="17"/>
  <c r="Q77" i="17" s="1"/>
  <c r="W77" i="17" s="1"/>
  <c r="Y87" i="17"/>
  <c r="Q87" i="17" s="1"/>
  <c r="W87" i="17" s="1"/>
  <c r="Y97" i="17"/>
  <c r="Q97" i="17" s="1"/>
  <c r="W97" i="17" s="1"/>
  <c r="Y107" i="17"/>
  <c r="Q107" i="17" s="1"/>
  <c r="W107" i="17" s="1"/>
  <c r="Y117" i="17"/>
  <c r="Q117" i="17" s="1"/>
  <c r="W117" i="17" s="1"/>
  <c r="Y127" i="17"/>
  <c r="Q127" i="17" s="1"/>
  <c r="W127" i="17" s="1"/>
  <c r="Y137" i="17"/>
  <c r="Q137" i="17" s="1"/>
  <c r="W137" i="17" s="1"/>
  <c r="Y147" i="17"/>
  <c r="Q147" i="17" s="1"/>
  <c r="W147" i="17" s="1"/>
  <c r="Y157" i="17"/>
  <c r="Q157" i="17" s="1"/>
  <c r="W157" i="17" s="1"/>
  <c r="Y167" i="17"/>
  <c r="Q167" i="17" s="1"/>
  <c r="W167" i="17" s="1"/>
  <c r="Y38" i="17"/>
  <c r="Q38" i="17" s="1"/>
  <c r="W38" i="17" s="1"/>
  <c r="Y39" i="17"/>
  <c r="Q39" i="17" s="1"/>
  <c r="W39" i="17" s="1"/>
  <c r="Y40" i="17"/>
  <c r="Q40" i="17" s="1"/>
  <c r="W40" i="17" s="1"/>
  <c r="Y41" i="17"/>
  <c r="Q41" i="17" s="1"/>
  <c r="W41" i="17" s="1"/>
  <c r="Y42" i="17"/>
  <c r="Q42" i="17" s="1"/>
  <c r="W42" i="17" s="1"/>
  <c r="Y43" i="17"/>
  <c r="Q43" i="17" s="1"/>
  <c r="W43" i="17" s="1"/>
  <c r="Y68" i="17"/>
  <c r="Q68" i="17" s="1"/>
  <c r="W68" i="17" s="1"/>
  <c r="Y78" i="17"/>
  <c r="Q78" i="17" s="1"/>
  <c r="W78" i="17" s="1"/>
  <c r="Y88" i="17"/>
  <c r="Q88" i="17" s="1"/>
  <c r="W88" i="17" s="1"/>
  <c r="Y98" i="17"/>
  <c r="Q98" i="17" s="1"/>
  <c r="W98" i="17" s="1"/>
  <c r="Y108" i="17"/>
  <c r="Q108" i="17" s="1"/>
  <c r="W108" i="17" s="1"/>
  <c r="Y118" i="17"/>
  <c r="Q118" i="17" s="1"/>
  <c r="W118" i="17" s="1"/>
  <c r="Y128" i="17"/>
  <c r="Q128" i="17" s="1"/>
  <c r="W128" i="17" s="1"/>
  <c r="Y138" i="17"/>
  <c r="Q138" i="17" s="1"/>
  <c r="W138" i="17" s="1"/>
  <c r="Y148" i="17"/>
  <c r="Q148" i="17" s="1"/>
  <c r="W148" i="17" s="1"/>
  <c r="Y158" i="17"/>
  <c r="Q158" i="17" s="1"/>
  <c r="W158" i="17" s="1"/>
  <c r="Y168" i="17"/>
  <c r="Q168" i="17" s="1"/>
  <c r="W168" i="17" s="1"/>
  <c r="Y44" i="17"/>
  <c r="Q44" i="17" s="1"/>
  <c r="W44" i="17" s="1"/>
  <c r="Y45" i="17"/>
  <c r="Q45" i="17" s="1"/>
  <c r="W45" i="17" s="1"/>
  <c r="Y46" i="17"/>
  <c r="Q46" i="17" s="1"/>
  <c r="W46" i="17" s="1"/>
  <c r="Y49" i="17"/>
  <c r="Q49" i="17" s="1"/>
  <c r="W49" i="17" s="1"/>
  <c r="Y69" i="17"/>
  <c r="Q69" i="17" s="1"/>
  <c r="W69" i="17" s="1"/>
  <c r="Y79" i="17"/>
  <c r="Q79" i="17" s="1"/>
  <c r="W79" i="17" s="1"/>
  <c r="Y89" i="17"/>
  <c r="Q89" i="17" s="1"/>
  <c r="W89" i="17" s="1"/>
  <c r="Y99" i="17"/>
  <c r="Q99" i="17" s="1"/>
  <c r="W99" i="17" s="1"/>
  <c r="V99" i="17" a="1"/>
  <c r="X132" i="17" a="1"/>
  <c r="Y132" i="17" s="1"/>
  <c r="N45" i="17" a="1"/>
  <c r="V149" i="17" a="1"/>
  <c r="U28" i="17" a="1"/>
  <c r="V129" i="17" a="1"/>
  <c r="U29" i="17" a="1"/>
  <c r="V139" i="17" a="1"/>
  <c r="U31" i="17" a="1"/>
  <c r="V119" i="17" a="1"/>
  <c r="T39" i="17" a="1"/>
  <c r="T68" i="17" a="1"/>
  <c r="T78" i="17" a="1"/>
  <c r="X165" i="17" a="1"/>
  <c r="Y165" i="17" s="1"/>
  <c r="Q165" i="17" s="1"/>
  <c r="W165" i="17" s="1"/>
  <c r="S104" i="17" a="1"/>
  <c r="R4" i="17" a="1"/>
  <c r="O35" i="17" a="1"/>
  <c r="N12" i="17" a="1"/>
  <c r="V2" i="17" a="1"/>
  <c r="Y26" i="17"/>
  <c r="Q26" i="17" s="1"/>
  <c r="W26" i="17" s="1"/>
  <c r="N148" i="17" a="1"/>
  <c r="N158" i="17" a="1"/>
  <c r="N168" i="17" a="1"/>
  <c r="U165" i="17" a="1"/>
  <c r="X122" i="17" a="1"/>
  <c r="Y122" i="17" s="1"/>
  <c r="Q122" i="17" s="1"/>
  <c r="W122" i="17" s="1"/>
  <c r="R2" i="17" a="1"/>
  <c r="R45" i="17" a="1"/>
  <c r="V79" i="17" a="1"/>
  <c r="V69" i="17" a="1"/>
  <c r="V49" i="17" a="1"/>
  <c r="U155" i="17" a="1"/>
  <c r="U27" i="17" a="1"/>
  <c r="U26" i="17" a="1"/>
  <c r="X142" i="17" a="1"/>
  <c r="Y142" i="17" s="1"/>
  <c r="T82" i="17" a="1"/>
  <c r="U30" i="17" a="1"/>
  <c r="U66" i="17" a="1"/>
  <c r="N46" i="17" a="1"/>
  <c r="R46" i="17" a="1"/>
  <c r="N47" i="17" a="1"/>
  <c r="R47" i="17" a="1"/>
  <c r="R48" i="17" a="1"/>
  <c r="N48" i="17" a="1"/>
  <c r="N49" i="17" a="1"/>
  <c r="R49" i="17" a="1"/>
  <c r="R69" i="17" a="1"/>
  <c r="N69" i="17" a="1"/>
  <c r="R79" i="17" a="1"/>
  <c r="N79" i="17" a="1"/>
  <c r="R89" i="17" a="1"/>
  <c r="V89" i="17" a="1"/>
  <c r="R99" i="17" a="1"/>
  <c r="V109" i="17" a="1"/>
  <c r="V169" i="17" a="1"/>
  <c r="N89" i="17" a="1"/>
  <c r="Q142" i="17" l="1"/>
  <c r="W142" i="17" s="1"/>
  <c r="Q132" i="17"/>
  <c r="W132" i="17" s="1"/>
  <c r="Q35" i="17"/>
  <c r="W35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d:\model1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d:\model1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d:\model1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d:\model1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d:\model1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d:\model1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<sst xmlns="http://schemas.openxmlformats.org/spreadsheetml/2006/main" count="3224" uniqueCount="126">
  <si>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</si>
  <si>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</si>
  <si>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</si>
  <si>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</si>
  <si>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</si>
  <si>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</si>
  <si>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</si>
  <si>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</si>
  <si>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</si>
  <si>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</si>
  <si>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</si>
  <si>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</si>
  <si>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</si>
  <si>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</si>
  <si>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</si>
  <si>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</si>
  <si>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</si>
  <si>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</si>
  <si>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</si>
  <si>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</si>
  <si>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</si>
  <si>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</si>
  <si>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</si>
  <si>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</si>
  <si>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</si>
  <si>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</si>
  <si>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</si>
  <si>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</si>
  <si>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</si>
  <si>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</si>
  <si>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</si>
  <si>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</si>
  <si>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</si>
  <si>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</si>
  <si>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</si>
  <si>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</si>
  <si>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</si>
  <si>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</si>
  <si>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</si>
  <si>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</si>
  <si>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</si>
  <si>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</si>
  <si>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</si>
  <si>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</si>
  <si>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</si>
  <si>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</si>
  <si>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</si>
  <si>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</si>
  <si>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</si>
  <si>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</si>
  <si>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</si>
  <si>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</si>
  <si>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</si>
  <si>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</si>
  <si>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</si>
  <si>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</si>
  <si>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</si>
  <si>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</si>
  <si>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</si>
  <si>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</si>
  <si>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</si>
  <si>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</si>
  <si>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</si>
  <si>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</si>
  <si>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</si>
  <si>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</si>
  <si>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</si>
  <si>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IncludeOption</t>
  </si>
  <si>
    <t>D:\Model1.p</t>
  </si>
  <si>
    <t>2026-10-16 17:30:57</t>
  </si>
  <si>
    <t>Entity 1</t>
  </si>
  <si>
    <t>NVA Time</t>
  </si>
  <si>
    <t>Entity</t>
  </si>
  <si>
    <t>Other Time</t>
  </si>
  <si>
    <t>Total Time</t>
  </si>
  <si>
    <t>Transfer Time</t>
  </si>
  <si>
    <t>VA Time</t>
  </si>
  <si>
    <t>Wait Time</t>
  </si>
  <si>
    <t>Hold M1.Queue</t>
  </si>
  <si>
    <t>Waiting Time</t>
  </si>
  <si>
    <t>Queue</t>
  </si>
  <si>
    <t>Hold M2.Queue</t>
  </si>
  <si>
    <t>Hold M3.Queue</t>
  </si>
  <si>
    <t>Hold M4.Queue</t>
  </si>
  <si>
    <t>Hold M5.Queue</t>
  </si>
  <si>
    <t>M1.Q</t>
  </si>
  <si>
    <t>M2.Q</t>
  </si>
  <si>
    <t>M3.Q</t>
  </si>
  <si>
    <t>M4.Q</t>
  </si>
  <si>
    <t>M5.Q</t>
  </si>
  <si>
    <t>Tally 1</t>
  </si>
  <si>
    <t>Interval</t>
  </si>
  <si>
    <t>User Specified</t>
  </si>
  <si>
    <t>WIP</t>
  </si>
  <si>
    <t>Number Waiting</t>
  </si>
  <si>
    <t>M1</t>
  </si>
  <si>
    <t>Instantaneous Utilization</t>
  </si>
  <si>
    <t>Resource</t>
  </si>
  <si>
    <t>Number Busy</t>
  </si>
  <si>
    <t>Number Scheduled</t>
  </si>
  <si>
    <t>M2</t>
  </si>
  <si>
    <t>M3</t>
  </si>
  <si>
    <t>M4</t>
  </si>
  <si>
    <t>M5</t>
  </si>
  <si>
    <t>Counter 1</t>
  </si>
  <si>
    <t>Count</t>
  </si>
  <si>
    <t>Counter 2</t>
  </si>
  <si>
    <t>Entity 1.NumberIn</t>
  </si>
  <si>
    <t>Number In</t>
  </si>
  <si>
    <t>Entity 1.NumberOut</t>
  </si>
  <si>
    <t>Number Out</t>
  </si>
  <si>
    <t>M1.NumberSeized</t>
  </si>
  <si>
    <t>Total Number Seized</t>
  </si>
  <si>
    <t>M1.ScheduledUtilization</t>
  </si>
  <si>
    <t>Scheduled Utilization</t>
  </si>
  <si>
    <t>M2.NumberSeized</t>
  </si>
  <si>
    <t>M2.ScheduledUtilization</t>
  </si>
  <si>
    <t>M3.NumberSeized</t>
  </si>
  <si>
    <t>M3.ScheduledUtilization</t>
  </si>
  <si>
    <t>M4.NumberSeized</t>
  </si>
  <si>
    <t>M4.ScheduledUtilization</t>
  </si>
  <si>
    <t>M5.NumberSeized</t>
  </si>
  <si>
    <t>M5.ScheduledUtilization</t>
  </si>
  <si>
    <t>System.NumberOut</t>
  </si>
  <si>
    <t>System</t>
  </si>
  <si>
    <t>(空白)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</si>
</sst>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b/>
      <sz val="14"/>
      <color theme="1"/>
      <name val="等线"/>
      <family val="2"/>
      <scheme val="minor"/>
    </font>
    <font>
      <sz val="8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常规" xfId="0" builtinId="0"/>
  </cellStyles>
  <dxfs count="71">
    <dxf>
      <numFmt numFmtId="176" formatCode="[=400000000000000000000]&quot;Null&quot;;;"/>
    </dxf>
    <dxf>
      <fill>
        <patternFill>
          <bgColor theme="6"/>
        </patternFill>
      </fill>
    </dxf>
    <dxf>
      <numFmt numFmtId="177" formatCode="[=400000000000000000000]&quot;NoCalc&quot;;;"/>
    </dxf>
    <dxf>
      <fill>
        <patternFill>
          <bgColor theme="6"/>
        </patternFill>
      </fill>
    </dxf>
    <dxf>
      <numFmt numFmtId="177" formatCode="[=400000000000000000000]&quot;NoCalc&quot;;;"/>
    </dxf>
    <dxf>
      <fill>
        <patternFill>
          <bgColor theme="6"/>
        </patternFill>
      </fill>
    </dxf>
    <dxf>
      <numFmt numFmtId="177" formatCode="[=400000000000000000000]&quot;NoCalc&quot;;;"/>
    </dxf>
    <dxf>
      <numFmt numFmtId="178" formatCode="[=300000000000000000000]&quot;Correlated&quot;;;"/>
    </dxf>
    <dxf>
      <numFmt numFmtId="179" formatCode="[=200000000000000000000]&quot;Insufficient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9" formatCode="[=200000000000000000000]&quot;Insufficient&quot;;;"/>
    </dxf>
    <dxf>
      <numFmt numFmtId="177" formatCode="[=400000000000000000000]&quot;NoCalc&quot;;;"/>
    </dxf>
    <dxf>
      <numFmt numFmtId="179" formatCode="[=200000000000000000000]&quot;Insufficient&quot;;;"/>
    </dxf>
    <dxf>
      <numFmt numFmtId="178" formatCode="[=300000000000000000000]&quot;Correlated&quot;;;"/>
    </dxf>
    <dxf>
      <numFmt numFmtId="180" formatCode="[=1]&quot;Yes&quot;;;"/>
    </dxf>
    <dxf>
      <numFmt numFmtId="180" formatCode="[=1]&quot;Yes&quot;;;"/>
    </dxf>
    <dxf>
      <numFmt numFmtId="181" formatCode="[=0]&quot;No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9" formatCode="[=200000000000000000000]&quot;Insufficient&quot;;;"/>
    </dxf>
    <dxf>
      <numFmt numFmtId="182" formatCode="[&gt;100]&quot;Null&quot;;;"/>
    </dxf>
    <dxf>
      <numFmt numFmtId="177" formatCode="[=400000000000000000000]&quot;NoCalc&quot;;;"/>
    </dxf>
    <dxf>
      <numFmt numFmtId="177" formatCode="[=400000000000000000000]&quot;NoCalc&quot;;;"/>
    </dxf>
    <dxf>
      <numFmt numFmtId="177" formatCode="[=400000000000000000000]&quot;NoCalc&quot;;;"/>
    </dxf>
    <dxf>
      <numFmt numFmtId="177" formatCode="[=400000000000000000000]&quot;NoCalc&quot;;;"/>
    </dxf>
    <dxf>
      <numFmt numFmtId="180" formatCode="[=1]&quot;Yes&quot;;;"/>
      <border>
        <left/>
        <right/>
        <top/>
        <bottom/>
      </border>
    </dxf>
    <dxf>
      <numFmt numFmtId="181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78" formatCode="[=300000000000000000000]&quot;Correlated&quot;;;"/>
    </dxf>
    <dxf>
      <numFmt numFmtId="178" formatCode="[=300000000000000000000]&quot;Correlated&quot;;;"/>
    </dxf>
    <dxf>
      <numFmt numFmtId="179" formatCode="[=200000000000000000000]&quot;Insufficient&quot;;;"/>
    </dxf>
    <dxf>
      <numFmt numFmtId="179" formatCode="[=200000000000000000000]&quot;Insufficient&quot;;;"/>
    </dxf>
    <dxf>
      <numFmt numFmtId="183" formatCode="[=0]&quot;Days&quot;;;"/>
    </dxf>
    <dxf>
      <numFmt numFmtId="184" formatCode="[=1]&quot;Hours&quot;;;"/>
    </dxf>
    <dxf>
      <numFmt numFmtId="185" formatCode="[=2]&quot;Minutes&quot;;;"/>
    </dxf>
    <dxf>
      <numFmt numFmtId="186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王宇阳" refreshedDate="46311.730081481481" createdVersion="7" refreshedVersion="8" minRefreshableVersion="3" recordCount="260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0"/>
    </cacheField>
    <cacheField name="Name" numFmtId="0">
      <sharedItems containsBlank="1" count="139">
        <s v="Entity 1"/>
        <s v="Hold M1.Queue"/>
        <s v="Hold M2.Queue"/>
        <s v="Hold M3.Queue"/>
        <s v="Hold M4.Queue"/>
        <s v="Hold M5.Queue"/>
        <s v="M1"/>
        <s v="M1.Q"/>
        <s v="M2"/>
        <s v="M2.Q"/>
        <s v="M3"/>
        <s v="M3.Q"/>
        <s v="M4"/>
        <s v="M4.Q"/>
        <s v="M5"/>
        <s v="M5.Q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Resource 1" u="1"/>
      </sharedItems>
    </cacheField>
    <cacheField name="Type" numFmtId="0">
      <sharedItems containsBlank="1" count="7">
        <s v="WIP"/>
        <s v="Number Waiting"/>
        <s v="Instantaneous Utilization"/>
        <s v="Number Busy"/>
        <s v="Number Scheduled"/>
        <m u="1"/>
        <s v="Levels" u="1"/>
      </sharedItems>
    </cacheField>
    <cacheField name="Source" numFmtId="0">
      <sharedItems containsBlank="1" count="5">
        <s v="Entity"/>
        <s v="Queue"/>
        <s v="Resource"/>
        <m u="1"/>
        <s v="User Specified" u="1"/>
      </sharedItems>
    </cacheField>
    <cacheField name="Average" numFmtId="0">
      <sharedItems containsSemiMixedTypes="0" containsString="0" containsNumber="1" minValue="0" maxValue="9.5134854029509093"/>
    </cacheField>
    <cacheField name="BatchMeansHalfWidth" numFmtId="0">
      <sharedItems containsSemiMixedTypes="0" containsString="0" containsNumber="1" minValue="3.74648248532891E-2" maxValue="3E+20"/>
    </cacheField>
    <cacheField name="Minimum" numFmtId="0">
      <sharedItems containsSemiMixedTypes="0" containsString="0" containsNumber="1" containsInteger="1" minValue="0" maxValue="2"/>
    </cacheField>
    <cacheField name="Maximum" numFmtId="0">
      <sharedItems containsSemiMixedTypes="0" containsString="0" containsNumber="1" containsInteger="1" minValue="0" maxValue="21"/>
    </cacheField>
    <cacheField name="LastRecordedValue" numFmtId="0">
      <sharedItems containsSemiMixedTypes="0" containsString="0" containsNumber="1" minValue="0" maxValue="13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0" maxValue="10"/>
    </cacheField>
    <cacheField name="AverageOfAverage" numFmtId="0">
      <sharedItems containsSemiMixedTypes="0" containsString="0" containsNumber="1" minValue="0" maxValue="6.6735315353875011"/>
    </cacheField>
    <cacheField name="StDevOfAverage" numFmtId="0">
      <sharedItems containsSemiMixedTypes="0" containsString="0" containsNumber="1" minValue="0" maxValue="1.4829188547421246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1.0608162437338877"/>
    </cacheField>
    <cacheField name="MinimumAverage" numFmtId="0">
      <sharedItems containsSemiMixedTypes="0" containsString="0" containsNumber="1" minValue="0" maxValue="4.5894957727661101"/>
    </cacheField>
    <cacheField name="MaximumAverage" numFmtId="0">
      <sharedItems containsSemiMixedTypes="0" containsString="0" containsNumber="1" minValue="0" maxValue="9.5134854029509093"/>
    </cacheField>
    <cacheField name="SummaryHalfWidth" numFmtId="0">
      <sharedItems containsSemiMixedTypes="0" containsString="0" containsNumber="1" minValue="0" maxValue="1.060816243733887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王宇阳" refreshedDate="46311.730081597219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王宇阳" refreshedDate="46311.730081944443" createdVersion="7" refreshedVersion="8" minRefreshableVersion="3" recordCount="170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0"/>
    </cacheField>
    <cacheField name="Name" numFmtId="0">
      <sharedItems containsBlank="1" count="109">
        <s v="Entity 1"/>
        <s v="Hold M1.Queue"/>
        <s v="Hold M2.Queue"/>
        <s v="Hold M3.Queue"/>
        <s v="Hold M4.Queue"/>
        <s v="Hold M5.Queue"/>
        <s v="M1.Q"/>
        <s v="M2.Q"/>
        <s v="M3.Q"/>
        <s v="M4.Q"/>
        <s v="M5.Q"/>
        <s v="Tally 1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Process Part Type 2 on Prep2" u="1"/>
      </sharedItems>
    </cacheField>
    <cacheField name="Type" numFmtId="0">
      <sharedItems containsBlank="1" count="12">
        <s v="NVA Time"/>
        <s v="Other Time"/>
        <s v="Total Time"/>
        <s v="Transfer Time"/>
        <s v="VA Time"/>
        <s v="Wait Time"/>
        <s v="Waiting Time"/>
        <s v="Interval"/>
        <m u="1"/>
        <s v="Total Time Per Entity" u="1"/>
        <s v="VA Time Per Entity" u="1"/>
        <s v="Wait Time Per Entity" u="1"/>
      </sharedItems>
    </cacheField>
    <cacheField name="Source" numFmtId="0">
      <sharedItems containsBlank="1" count="5">
        <s v="Entity"/>
        <s v="Queue"/>
        <s v="User Specified"/>
        <m u="1"/>
        <s v="Process" u="1"/>
      </sharedItems>
    </cacheField>
    <cacheField name="Average" numFmtId="0">
      <sharedItems containsSemiMixedTypes="0" containsString="0" containsNumber="1" minValue="0" maxValue="87.273779080717802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16.052333432383602"/>
    </cacheField>
    <cacheField name="Maximum" numFmtId="0">
      <sharedItems containsSemiMixedTypes="0" containsString="0" containsNumber="1" minValue="0" maxValue="320.80718678977303"/>
    </cacheField>
    <cacheField name="NumberObservations" numFmtId="0">
      <sharedItems containsSemiMixedTypes="0" containsString="0" containsNumber="1" containsInteger="1" minValue="101" maxValue="239"/>
    </cacheField>
    <cacheField name="GroupByKey" numFmtId="0">
      <sharedItems/>
    </cacheField>
    <cacheField name="RepsRequested" numFmtId="0">
      <sharedItems containsSemiMixedTypes="0" containsString="0" containsNumber="1" containsInteger="1" minValue="10" maxValue="10"/>
    </cacheField>
    <cacheField name="AverageOfAverage" numFmtId="0">
      <sharedItems containsSemiMixedTypes="0" containsString="0" containsNumber="1" minValue="0" maxValue="64.532529133885035"/>
    </cacheField>
    <cacheField name="StDevOfAverage" numFmtId="0">
      <sharedItems containsSemiMixedTypes="0" containsString="0" containsNumber="1" minValue="0" maxValue="18.017933671946704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12.889253283548451"/>
    </cacheField>
    <cacheField name="MinimumAverage" numFmtId="0">
      <sharedItems containsSemiMixedTypes="0" containsString="0" containsNumber="1" minValue="0" maxValue="50.131846661260099"/>
    </cacheField>
    <cacheField name="MaximumAverage" numFmtId="0">
      <sharedItems containsSemiMixedTypes="0" containsString="0" containsNumber="1" minValue="0" maxValue="87.273779080717802"/>
    </cacheField>
    <cacheField name="OverallMinimum" numFmtId="0">
      <sharedItems containsSemiMixedTypes="0" containsString="0" containsNumber="1" minValue="0" maxValue="13.298568495813001"/>
    </cacheField>
    <cacheField name="OverallMaximum" numFmtId="0">
      <sharedItems containsSemiMixedTypes="0" containsString="0" containsNumber="1" minValue="0" maxValue="320.80718678977303"/>
    </cacheField>
    <cacheField name="AverageNumberObservations" numFmtId="0">
      <sharedItems containsSemiMixedTypes="0" containsString="0" containsNumber="1" minValue="118.9" maxValue="220.7"/>
    </cacheField>
    <cacheField name="SummaryHalfWidth" numFmtId="0">
      <sharedItems containsSemiMixedTypes="0" containsString="0" containsNumber="1" minValue="0" maxValue="12.889253283548451"/>
    </cacheField>
    <cacheField name="RepsWithStatObserved" numFmtId="0">
      <sharedItems containsSemiMixedTypes="0" containsString="0" containsNumber="1" containsInteger="1" minValue="10" maxValue="10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王宇阳" refreshedDate="46311.730082291666" createdVersion="7" refreshedVersion="8" minRefreshableVersion="3" recordCount="130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0"/>
    </cacheField>
    <cacheField name="Name" numFmtId="0">
      <sharedItems containsBlank="1" count="89">
        <s v="Entity 1.NumberIn"/>
        <s v="Entity 1.NumberOut"/>
        <s v="M1.NumberSeized"/>
        <s v="M1.ScheduledUtilization"/>
        <s v="M2.NumberSeized"/>
        <s v="M2.ScheduledUtilization"/>
        <s v="M3.NumberSeized"/>
        <s v="M3.ScheduledUtilization"/>
        <s v="M4.NumberSeized"/>
        <s v="M4.ScheduledUtilization"/>
        <s v="M5.NumberSeized"/>
        <s v="M5.ScheduledUtilization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s v="Total Number Seized"/>
        <s v="Scheduled Utilization"/>
        <m u="1"/>
        <s v="Accum VA Time" u="1"/>
        <s v="Accum Wait Time" u="1"/>
      </sharedItems>
    </cacheField>
    <cacheField name="Source" numFmtId="0">
      <sharedItems containsBlank="1" count="5">
        <s v="Entity"/>
        <s v="Resource"/>
        <s v="System"/>
        <m u="1"/>
        <s v="Process" u="1"/>
      </sharedItems>
    </cacheField>
    <cacheField name="RecordedValue" numFmtId="0">
      <sharedItems containsSemiMixedTypes="0" containsString="0" containsNumber="1" minValue="0.29539806709730798" maxValue="238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0" maxValue="10"/>
    </cacheField>
    <cacheField name="Average" numFmtId="0">
      <sharedItems containsSemiMixedTypes="0" containsString="0" containsNumber="1" minValue="0.35254112855323727" maxValue="221.9"/>
    </cacheField>
    <cacheField name="StandardDeviation" numFmtId="0">
      <sharedItems containsSemiMixedTypes="0" containsString="0" containsNumber="1" minValue="2.0819740340978523E-2" maxValue="15.763530343450636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1.4893545033435028E-2" maxValue="11.276550293665537"/>
    </cacheField>
    <cacheField name="Minimum" numFmtId="0">
      <sharedItems containsSemiMixedTypes="0" containsString="0" containsNumber="1" minValue="0.29539806709730798" maxValue="196"/>
    </cacheField>
    <cacheField name="Maximum" numFmtId="0">
      <sharedItems containsSemiMixedTypes="0" containsString="0" containsNumber="1" minValue="0.391918845838306" maxValue="23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王宇阳" refreshedDate="46311.730082407405" createdVersion="7" refreshedVersion="8" minRefreshableVersion="3" recordCount="20" xr:uid="{DF450723-E9F2-474F-BBF6-B62098E6DD50}">
  <cacheSource type="worksheet">
    <worksheetSource name="CountersTable"/>
  </cacheSource>
  <cacheFields count="1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0"/>
    </cacheField>
    <cacheField name="Name" numFmtId="0">
      <sharedItems containsBlank="1" count="4">
        <s v="Counter 1"/>
        <s v="Counter 2"/>
        <m u="1"/>
        <s v="Count Products" u="1"/>
      </sharedItems>
    </cacheField>
    <cacheField name="Type" numFmtId="0">
      <sharedItems containsBlank="1" count="2">
        <s v="Count"/>
        <m u="1"/>
      </sharedItems>
    </cacheField>
    <cacheField name="Source" numFmtId="0">
      <sharedItems containsBlank="1" count="2">
        <s v="User Specified"/>
        <m u="1"/>
      </sharedItems>
    </cacheField>
    <cacheField name="RecordedValue" numFmtId="0">
      <sharedItems containsSemiMixedTypes="0" containsString="0" containsNumber="1" containsInteger="1" minValue="1729" maxValue="511260"/>
    </cacheField>
    <cacheField name="GroupByKey" numFmtId="0">
      <sharedItems/>
    </cacheField>
    <cacheField name="RepsRequested" numFmtId="0">
      <sharedItems containsSemiMixedTypes="0" containsString="0" containsNumber="1" containsInteger="1" minValue="10" maxValue="10"/>
    </cacheField>
    <cacheField name="Average" numFmtId="0">
      <sharedItems containsSemiMixedTypes="0" containsString="0" containsNumber="1" minValue="1955.1" maxValue="466919"/>
    </cacheField>
    <cacheField name="StandardDeviation" numFmtId="0">
      <sharedItems containsSemiMixedTypes="0" containsString="0" containsNumber="1" minValue="149.44523337255617" maxValue="36821.167960834704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106.90667975745569" maxValue="26340.276786688879"/>
    </cacheField>
    <cacheField name="Minimum" numFmtId="0">
      <sharedItems containsSemiMixedTypes="0" containsString="0" containsNumber="1" containsInteger="1" minValue="1729" maxValue="414420"/>
    </cacheField>
    <cacheField name="Maximum" numFmtId="0">
      <sharedItems containsSemiMixedTypes="0" containsString="0" containsNumber="1" containsInteger="1" minValue="2126" maxValue="51126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0">
  <r>
    <x v="0"/>
    <s v="2026-10-16 17:30:57"/>
    <n v="1"/>
    <x v="0"/>
    <x v="0"/>
    <x v="0"/>
    <n v="5.7959858410018601"/>
    <n v="3E+20"/>
    <n v="0"/>
    <n v="14"/>
    <n v="3"/>
    <n v="0"/>
    <s v="Unnamed ProjectEntity 1WIPEntity"/>
    <n v="10"/>
    <n v="6.6735315353875011"/>
    <n v="1.4829188547421246"/>
    <n v="0.95"/>
    <n v="1.0608162437338877"/>
    <n v="4.5894957727661101"/>
    <n v="9.5134854029509093"/>
    <n v="1.0608162437338877"/>
  </r>
  <r>
    <x v="0"/>
    <s v="2026-10-16 17:30:57"/>
    <n v="1"/>
    <x v="1"/>
    <x v="1"/>
    <x v="1"/>
    <n v="0"/>
    <n v="2E+20"/>
    <n v="0"/>
    <n v="0"/>
    <n v="0"/>
    <n v="0"/>
    <s v="Unnamed ProjectHold M1.QueueNumber WaitingQueue"/>
    <n v="10"/>
    <n v="0"/>
    <n v="0"/>
    <n v="0.95"/>
    <n v="0"/>
    <n v="0"/>
    <n v="0"/>
    <n v="0"/>
  </r>
  <r>
    <x v="0"/>
    <s v="2026-10-16 17:30:57"/>
    <n v="1"/>
    <x v="2"/>
    <x v="1"/>
    <x v="1"/>
    <n v="0"/>
    <n v="2E+20"/>
    <n v="0"/>
    <n v="0"/>
    <n v="0"/>
    <n v="0"/>
    <s v="Unnamed ProjectHold M2.QueueNumber WaitingQueue"/>
    <n v="10"/>
    <n v="0"/>
    <n v="0"/>
    <n v="0.95"/>
    <n v="0"/>
    <n v="0"/>
    <n v="0"/>
    <n v="0"/>
  </r>
  <r>
    <x v="0"/>
    <s v="2026-10-16 17:30:57"/>
    <n v="1"/>
    <x v="3"/>
    <x v="1"/>
    <x v="1"/>
    <n v="0"/>
    <n v="2E+20"/>
    <n v="0"/>
    <n v="0"/>
    <n v="0"/>
    <n v="0"/>
    <s v="Unnamed ProjectHold M3.QueueNumber WaitingQueue"/>
    <n v="10"/>
    <n v="0"/>
    <n v="0"/>
    <n v="0.95"/>
    <n v="0"/>
    <n v="0"/>
    <n v="0"/>
    <n v="0"/>
  </r>
  <r>
    <x v="0"/>
    <s v="2026-10-16 17:30:57"/>
    <n v="1"/>
    <x v="4"/>
    <x v="1"/>
    <x v="1"/>
    <n v="0"/>
    <n v="2E+20"/>
    <n v="0"/>
    <n v="0"/>
    <n v="0"/>
    <n v="0"/>
    <s v="Unnamed ProjectHold M4.QueueNumber WaitingQueue"/>
    <n v="10"/>
    <n v="0"/>
    <n v="0"/>
    <n v="0.95"/>
    <n v="0"/>
    <n v="0"/>
    <n v="0"/>
    <n v="0"/>
  </r>
  <r>
    <x v="0"/>
    <s v="2026-10-16 17:30:57"/>
    <n v="1"/>
    <x v="5"/>
    <x v="1"/>
    <x v="1"/>
    <n v="0"/>
    <n v="2E+20"/>
    <n v="0"/>
    <n v="0"/>
    <n v="0"/>
    <n v="0"/>
    <s v="Unnamed ProjectHold M5.QueueNumber WaitingQueue"/>
    <n v="10"/>
    <n v="0"/>
    <n v="0"/>
    <n v="0.95"/>
    <n v="0"/>
    <n v="0"/>
    <n v="0"/>
    <n v="0"/>
  </r>
  <r>
    <x v="0"/>
    <s v="2026-10-16 17:30:57"/>
    <n v="1"/>
    <x v="6"/>
    <x v="2"/>
    <x v="2"/>
    <n v="0.374267024592987"/>
    <n v="2E+20"/>
    <n v="0"/>
    <n v="1"/>
    <n v="0"/>
    <n v="0"/>
    <s v="Unnamed ProjectM1Instantaneous UtilizationResource"/>
    <n v="10"/>
    <n v="0.35418637725041224"/>
    <n v="3.3453936231241439E-2"/>
    <n v="0.95"/>
    <n v="2.3931504314920794E-2"/>
    <n v="0.29539806709730798"/>
    <n v="0.39865120046345498"/>
    <n v="2.3931504314920794E-2"/>
  </r>
  <r>
    <x v="0"/>
    <s v="2026-10-16 17:30:57"/>
    <n v="1"/>
    <x v="6"/>
    <x v="3"/>
    <x v="2"/>
    <n v="0.74853404918597299"/>
    <n v="2E+20"/>
    <n v="0"/>
    <n v="2"/>
    <n v="0"/>
    <n v="0"/>
    <s v="Unnamed ProjectM1Number BusyResource"/>
    <n v="10"/>
    <n v="0.70837275450082438"/>
    <n v="6.6907872462483045E-2"/>
    <n v="0.95"/>
    <n v="4.7863008629841705E-2"/>
    <n v="0.59079613419461596"/>
    <n v="0.79730240092691096"/>
    <n v="4.7863008629841705E-2"/>
  </r>
  <r>
    <x v="0"/>
    <s v="2026-10-16 17:30:57"/>
    <n v="1"/>
    <x v="6"/>
    <x v="4"/>
    <x v="2"/>
    <n v="2"/>
    <n v="2E+20"/>
    <n v="2"/>
    <n v="2"/>
    <n v="2"/>
    <n v="0"/>
    <s v="Unnamed ProjectM1Number ScheduledResource"/>
    <n v="10"/>
    <n v="2"/>
    <n v="0"/>
    <n v="0.95"/>
    <n v="0"/>
    <n v="2"/>
    <n v="2"/>
    <n v="0"/>
  </r>
  <r>
    <x v="0"/>
    <s v="2026-10-16 17:30:57"/>
    <n v="1"/>
    <x v="7"/>
    <x v="1"/>
    <x v="1"/>
    <n v="0.111569495659238"/>
    <n v="2E+20"/>
    <n v="0"/>
    <n v="4"/>
    <n v="0"/>
    <n v="0"/>
    <s v="Unnamed ProjectM1.QNumber WaitingQueue"/>
    <n v="10"/>
    <n v="8.2638825969756052E-2"/>
    <n v="2.9983492659856659E-2"/>
    <n v="0.95"/>
    <n v="2.1448898539349195E-2"/>
    <n v="3.4990004496426703E-2"/>
    <n v="0.13146637852281401"/>
    <n v="2.1448898539349195E-2"/>
  </r>
  <r>
    <x v="0"/>
    <s v="2026-10-16 17:30:57"/>
    <n v="1"/>
    <x v="8"/>
    <x v="2"/>
    <x v="2"/>
    <n v="0.80516328442467799"/>
    <n v="2E+20"/>
    <n v="0"/>
    <n v="1"/>
    <n v="1"/>
    <n v="0"/>
    <s v="Unnamed ProjectM2Instantaneous UtilizationResource"/>
    <n v="10"/>
    <n v="0.79069410142096264"/>
    <n v="8.4677985904895448E-2"/>
    <n v="0.95"/>
    <n v="6.0574982000753563E-2"/>
    <n v="0.62412916158771403"/>
    <n v="0.92247891730008102"/>
    <n v="6.0574982000753563E-2"/>
  </r>
  <r>
    <x v="0"/>
    <s v="2026-10-16 17:30:57"/>
    <n v="1"/>
    <x v="8"/>
    <x v="3"/>
    <x v="2"/>
    <n v="0.80516328442467799"/>
    <n v="2E+20"/>
    <n v="0"/>
    <n v="1"/>
    <n v="1"/>
    <n v="0"/>
    <s v="Unnamed ProjectM2Number BusyResource"/>
    <n v="10"/>
    <n v="0.79069410142096264"/>
    <n v="8.4677985904895448E-2"/>
    <n v="0.95"/>
    <n v="6.0574982000753563E-2"/>
    <n v="0.62412916158771403"/>
    <n v="0.92247891730008102"/>
    <n v="6.0574982000753563E-2"/>
  </r>
  <r>
    <x v="0"/>
    <s v="2026-10-16 17:30:57"/>
    <n v="1"/>
    <x v="8"/>
    <x v="4"/>
    <x v="2"/>
    <n v="1"/>
    <n v="2E+20"/>
    <n v="1"/>
    <n v="1"/>
    <n v="1"/>
    <n v="0"/>
    <s v="Unnamed ProjectM2Number ScheduledResource"/>
    <n v="10"/>
    <n v="1"/>
    <n v="0"/>
    <n v="0.95"/>
    <n v="0"/>
    <n v="1"/>
    <n v="1"/>
    <n v="0"/>
  </r>
  <r>
    <x v="0"/>
    <s v="2026-10-16 17:30:57"/>
    <n v="1"/>
    <x v="9"/>
    <x v="1"/>
    <x v="1"/>
    <n v="1.0667053587189701"/>
    <n v="2E+20"/>
    <n v="0"/>
    <n v="6"/>
    <n v="0"/>
    <n v="0"/>
    <s v="Unnamed ProjectM2.QNumber WaitingQueue"/>
    <n v="10"/>
    <n v="1.9414248775037748"/>
    <n v="1.0999712931753487"/>
    <n v="0.95"/>
    <n v="0.78687206094246831"/>
    <n v="0.64368437614034602"/>
    <n v="3.96038812902029"/>
    <n v="0.78687206094246831"/>
  </r>
  <r>
    <x v="0"/>
    <s v="2026-10-16 17:30:57"/>
    <n v="1"/>
    <x v="10"/>
    <x v="2"/>
    <x v="2"/>
    <n v="0.365889664505329"/>
    <n v="4.33433939418192E-2"/>
    <n v="0"/>
    <n v="1"/>
    <n v="0"/>
    <n v="0"/>
    <s v="Unnamed ProjectM3Instantaneous UtilizationResource"/>
    <n v="10"/>
    <n v="0.38204498745219106"/>
    <n v="2.9603647703352595E-2"/>
    <n v="0.95"/>
    <n v="2.1177173826515884E-2"/>
    <n v="0.32566726436532201"/>
    <n v="0.42511230467838501"/>
    <n v="2.1177173826515884E-2"/>
  </r>
  <r>
    <x v="0"/>
    <s v="2026-10-16 17:30:57"/>
    <n v="1"/>
    <x v="10"/>
    <x v="3"/>
    <x v="2"/>
    <n v="0.73177932901065901"/>
    <n v="8.6686787883638303E-2"/>
    <n v="0"/>
    <n v="2"/>
    <n v="0"/>
    <n v="0"/>
    <s v="Unnamed ProjectM3Number BusyResource"/>
    <n v="10"/>
    <n v="0.76408997490438202"/>
    <n v="5.9207295406705232E-2"/>
    <n v="0.95"/>
    <n v="4.2354347653031796E-2"/>
    <n v="0.65133452873064301"/>
    <n v="0.85022460935677002"/>
    <n v="4.2354347653031796E-2"/>
  </r>
  <r>
    <x v="0"/>
    <s v="2026-10-16 17:30:57"/>
    <n v="1"/>
    <x v="10"/>
    <x v="4"/>
    <x v="2"/>
    <n v="2"/>
    <n v="2E+20"/>
    <n v="2"/>
    <n v="2"/>
    <n v="2"/>
    <n v="0"/>
    <s v="Unnamed ProjectM3Number ScheduledResource"/>
    <n v="10"/>
    <n v="2"/>
    <n v="0"/>
    <n v="0.95"/>
    <n v="0"/>
    <n v="2"/>
    <n v="2"/>
    <n v="0"/>
  </r>
  <r>
    <x v="0"/>
    <s v="2026-10-16 17:30:57"/>
    <n v="1"/>
    <x v="11"/>
    <x v="1"/>
    <x v="1"/>
    <n v="1.7524485227114101E-2"/>
    <n v="2E+20"/>
    <n v="0"/>
    <n v="1"/>
    <n v="0"/>
    <n v="0"/>
    <s v="Unnamed ProjectM3.QNumber WaitingQueue"/>
    <n v="10"/>
    <n v="2.5183140573256935E-2"/>
    <n v="6.5933898933538881E-3"/>
    <n v="0.95"/>
    <n v="4.7166269939678878E-3"/>
    <n v="1.7183032756251101E-2"/>
    <n v="3.3093677405251203E-2"/>
    <n v="4.7166269939678878E-3"/>
  </r>
  <r>
    <x v="0"/>
    <s v="2026-10-16 17:30:57"/>
    <n v="1"/>
    <x v="12"/>
    <x v="2"/>
    <x v="2"/>
    <n v="0.65457885237446001"/>
    <n v="2E+20"/>
    <n v="0"/>
    <n v="1"/>
    <n v="1"/>
    <n v="0"/>
    <s v="Unnamed ProjectM4Instantaneous UtilizationResource"/>
    <n v="10"/>
    <n v="0.68948907951108873"/>
    <n v="7.0099805521104841E-2"/>
    <n v="0.95"/>
    <n v="5.0146379986722875E-2"/>
    <n v="0.59708526729729605"/>
    <n v="0.81511052462014799"/>
    <n v="5.0146379986722875E-2"/>
  </r>
  <r>
    <x v="0"/>
    <s v="2026-10-16 17:30:57"/>
    <n v="1"/>
    <x v="12"/>
    <x v="3"/>
    <x v="2"/>
    <n v="0.65457885237446001"/>
    <n v="2E+20"/>
    <n v="0"/>
    <n v="1"/>
    <n v="1"/>
    <n v="0"/>
    <s v="Unnamed ProjectM4Number BusyResource"/>
    <n v="10"/>
    <n v="0.68948907951108873"/>
    <n v="7.0099805521104841E-2"/>
    <n v="0.95"/>
    <n v="5.0146379986722875E-2"/>
    <n v="0.59708526729729605"/>
    <n v="0.81511052462014799"/>
    <n v="5.0146379986722875E-2"/>
  </r>
  <r>
    <x v="0"/>
    <s v="2026-10-16 17:30:57"/>
    <n v="1"/>
    <x v="12"/>
    <x v="4"/>
    <x v="2"/>
    <n v="1"/>
    <n v="2E+20"/>
    <n v="1"/>
    <n v="1"/>
    <n v="1"/>
    <n v="0"/>
    <s v="Unnamed ProjectM4Number ScheduledResource"/>
    <n v="10"/>
    <n v="1"/>
    <n v="0"/>
    <n v="0.95"/>
    <n v="0"/>
    <n v="1"/>
    <n v="1"/>
    <n v="0"/>
  </r>
  <r>
    <x v="0"/>
    <s v="2026-10-16 17:30:57"/>
    <n v="1"/>
    <x v="13"/>
    <x v="1"/>
    <x v="1"/>
    <n v="0.91655757479631095"/>
    <n v="2E+20"/>
    <n v="0"/>
    <n v="7"/>
    <n v="0"/>
    <n v="0"/>
    <s v="Unnamed ProjectM4.QNumber WaitingQueue"/>
    <n v="10"/>
    <n v="0.92596780474390472"/>
    <n v="0.23565784373506599"/>
    <n v="0.95"/>
    <n v="0.16857946596203516"/>
    <n v="0.61954382246291895"/>
    <n v="1.4060201140591599"/>
    <n v="0.16857946596203516"/>
  </r>
  <r>
    <x v="0"/>
    <s v="2026-10-16 17:30:57"/>
    <n v="1"/>
    <x v="14"/>
    <x v="2"/>
    <x v="2"/>
    <n v="0.35101185739494301"/>
    <n v="3E+20"/>
    <n v="0"/>
    <n v="1"/>
    <n v="0.5"/>
    <n v="0"/>
    <s v="Unnamed ProjectM5Instantaneous UtilizationResource"/>
    <n v="10"/>
    <n v="0.35254112855323727"/>
    <n v="2.0819740340978523E-2"/>
    <n v="0.95"/>
    <n v="1.4893545033435028E-2"/>
    <n v="0.319082016284436"/>
    <n v="0.391918845838306"/>
    <n v="1.4893545033435028E-2"/>
  </r>
  <r>
    <x v="0"/>
    <s v="2026-10-16 17:30:57"/>
    <n v="1"/>
    <x v="14"/>
    <x v="3"/>
    <x v="2"/>
    <n v="0.70202371478988701"/>
    <n v="3E+20"/>
    <n v="0"/>
    <n v="2"/>
    <n v="1"/>
    <n v="0"/>
    <s v="Unnamed ProjectM5Number BusyResource"/>
    <n v="10"/>
    <n v="0.70508225710647443"/>
    <n v="4.1639480681956775E-2"/>
    <n v="0.95"/>
    <n v="2.9787090066869859E-2"/>
    <n v="0.638164032568872"/>
    <n v="0.78383769167661099"/>
    <n v="2.9787090066869859E-2"/>
  </r>
  <r>
    <x v="0"/>
    <s v="2026-10-16 17:30:57"/>
    <n v="1"/>
    <x v="14"/>
    <x v="4"/>
    <x v="2"/>
    <n v="2"/>
    <n v="2E+20"/>
    <n v="2"/>
    <n v="2"/>
    <n v="2"/>
    <n v="0"/>
    <s v="Unnamed ProjectM5Number ScheduledResource"/>
    <n v="10"/>
    <n v="2"/>
    <n v="0"/>
    <n v="0.95"/>
    <n v="0"/>
    <n v="2"/>
    <n v="2"/>
    <n v="0"/>
  </r>
  <r>
    <x v="0"/>
    <s v="2026-10-16 17:30:57"/>
    <n v="1"/>
    <x v="15"/>
    <x v="1"/>
    <x v="1"/>
    <n v="4.1549696814558397E-2"/>
    <n v="2E+20"/>
    <n v="0"/>
    <n v="2"/>
    <n v="0"/>
    <n v="0"/>
    <s v="Unnamed ProjectM5.QNumber WaitingQueue"/>
    <n v="10"/>
    <n v="4.0588719153078524E-2"/>
    <n v="2.3271584618520549E-2"/>
    <n v="0.95"/>
    <n v="1.6647488769739371E-2"/>
    <n v="1.58912341215269E-2"/>
    <n v="9.0065456910795705E-2"/>
    <n v="1.6647488769739371E-2"/>
  </r>
  <r>
    <x v="0"/>
    <s v="2026-10-16 17:30:57"/>
    <n v="2"/>
    <x v="0"/>
    <x v="0"/>
    <x v="0"/>
    <n v="6.6831759782678501"/>
    <n v="3E+20"/>
    <n v="1"/>
    <n v="15"/>
    <n v="1"/>
    <n v="0"/>
    <s v="Unnamed ProjectEntity 1WIPEntity"/>
    <n v="10"/>
    <n v="6.6735315353875011"/>
    <n v="1.4829188547421246"/>
    <n v="0.95"/>
    <n v="1.0608162437338877"/>
    <n v="4.5894957727661101"/>
    <n v="9.5134854029509093"/>
    <n v="1.0608162437338877"/>
  </r>
  <r>
    <x v="0"/>
    <s v="2026-10-16 17:30:57"/>
    <n v="2"/>
    <x v="1"/>
    <x v="1"/>
    <x v="1"/>
    <n v="0"/>
    <n v="2E+20"/>
    <n v="0"/>
    <n v="0"/>
    <n v="0"/>
    <n v="0"/>
    <s v="Unnamed ProjectHold M1.QueueNumber WaitingQueue"/>
    <n v="10"/>
    <n v="0"/>
    <n v="0"/>
    <n v="0.95"/>
    <n v="0"/>
    <n v="0"/>
    <n v="0"/>
    <n v="0"/>
  </r>
  <r>
    <x v="0"/>
    <s v="2026-10-16 17:30:57"/>
    <n v="2"/>
    <x v="2"/>
    <x v="1"/>
    <x v="1"/>
    <n v="0"/>
    <n v="2E+20"/>
    <n v="0"/>
    <n v="0"/>
    <n v="0"/>
    <n v="0"/>
    <s v="Unnamed ProjectHold M2.QueueNumber WaitingQueue"/>
    <n v="10"/>
    <n v="0"/>
    <n v="0"/>
    <n v="0.95"/>
    <n v="0"/>
    <n v="0"/>
    <n v="0"/>
    <n v="0"/>
  </r>
  <r>
    <x v="0"/>
    <s v="2026-10-16 17:30:57"/>
    <n v="2"/>
    <x v="3"/>
    <x v="1"/>
    <x v="1"/>
    <n v="0"/>
    <n v="2E+20"/>
    <n v="0"/>
    <n v="0"/>
    <n v="0"/>
    <n v="0"/>
    <s v="Unnamed ProjectHold M3.QueueNumber WaitingQueue"/>
    <n v="10"/>
    <n v="0"/>
    <n v="0"/>
    <n v="0.95"/>
    <n v="0"/>
    <n v="0"/>
    <n v="0"/>
    <n v="0"/>
  </r>
  <r>
    <x v="0"/>
    <s v="2026-10-16 17:30:57"/>
    <n v="2"/>
    <x v="4"/>
    <x v="1"/>
    <x v="1"/>
    <n v="0"/>
    <n v="2E+20"/>
    <n v="0"/>
    <n v="0"/>
    <n v="0"/>
    <n v="0"/>
    <s v="Unnamed ProjectHold M4.QueueNumber WaitingQueue"/>
    <n v="10"/>
    <n v="0"/>
    <n v="0"/>
    <n v="0.95"/>
    <n v="0"/>
    <n v="0"/>
    <n v="0"/>
    <n v="0"/>
  </r>
  <r>
    <x v="0"/>
    <s v="2026-10-16 17:30:57"/>
    <n v="2"/>
    <x v="5"/>
    <x v="1"/>
    <x v="1"/>
    <n v="0"/>
    <n v="2E+20"/>
    <n v="0"/>
    <n v="0"/>
    <n v="0"/>
    <n v="0"/>
    <s v="Unnamed ProjectHold M5.QueueNumber WaitingQueue"/>
    <n v="10"/>
    <n v="0"/>
    <n v="0"/>
    <n v="0.95"/>
    <n v="0"/>
    <n v="0"/>
    <n v="0"/>
    <n v="0"/>
  </r>
  <r>
    <x v="0"/>
    <s v="2026-10-16 17:30:57"/>
    <n v="2"/>
    <x v="6"/>
    <x v="2"/>
    <x v="2"/>
    <n v="0.39865120046345498"/>
    <n v="2E+20"/>
    <n v="0"/>
    <n v="1"/>
    <n v="0"/>
    <n v="0"/>
    <s v="Unnamed ProjectM1Instantaneous UtilizationResource"/>
    <n v="10"/>
    <n v="0.35418637725041224"/>
    <n v="3.3453936231241439E-2"/>
    <n v="0.95"/>
    <n v="2.3931504314920794E-2"/>
    <n v="0.29539806709730798"/>
    <n v="0.39865120046345498"/>
    <n v="2.3931504314920794E-2"/>
  </r>
  <r>
    <x v="0"/>
    <s v="2026-10-16 17:30:57"/>
    <n v="2"/>
    <x v="6"/>
    <x v="3"/>
    <x v="2"/>
    <n v="0.79730240092691096"/>
    <n v="2E+20"/>
    <n v="0"/>
    <n v="2"/>
    <n v="0"/>
    <n v="0"/>
    <s v="Unnamed ProjectM1Number BusyResource"/>
    <n v="10"/>
    <n v="0.70837275450082438"/>
    <n v="6.6907872462483045E-2"/>
    <n v="0.95"/>
    <n v="4.7863008629841705E-2"/>
    <n v="0.59079613419461596"/>
    <n v="0.79730240092691096"/>
    <n v="4.7863008629841705E-2"/>
  </r>
  <r>
    <x v="0"/>
    <s v="2026-10-16 17:30:57"/>
    <n v="2"/>
    <x v="6"/>
    <x v="4"/>
    <x v="2"/>
    <n v="2"/>
    <n v="2E+20"/>
    <n v="2"/>
    <n v="2"/>
    <n v="2"/>
    <n v="0"/>
    <s v="Unnamed ProjectM1Number ScheduledResource"/>
    <n v="10"/>
    <n v="2"/>
    <n v="0"/>
    <n v="0.95"/>
    <n v="0"/>
    <n v="2"/>
    <n v="2"/>
    <n v="0"/>
  </r>
  <r>
    <x v="0"/>
    <s v="2026-10-16 17:30:57"/>
    <n v="2"/>
    <x v="7"/>
    <x v="1"/>
    <x v="1"/>
    <n v="0.13146637852281401"/>
    <n v="2E+20"/>
    <n v="0"/>
    <n v="5"/>
    <n v="0"/>
    <n v="0"/>
    <s v="Unnamed ProjectM1.QNumber WaitingQueue"/>
    <n v="10"/>
    <n v="8.2638825969756052E-2"/>
    <n v="2.9983492659856659E-2"/>
    <n v="0.95"/>
    <n v="2.1448898539349195E-2"/>
    <n v="3.4990004496426703E-2"/>
    <n v="0.13146637852281401"/>
    <n v="2.1448898539349195E-2"/>
  </r>
  <r>
    <x v="0"/>
    <s v="2026-10-16 17:30:57"/>
    <n v="2"/>
    <x v="8"/>
    <x v="2"/>
    <x v="2"/>
    <n v="0.82897598860260902"/>
    <n v="2E+20"/>
    <n v="0"/>
    <n v="1"/>
    <n v="0"/>
    <n v="0"/>
    <s v="Unnamed ProjectM2Instantaneous UtilizationResource"/>
    <n v="10"/>
    <n v="0.79069410142096264"/>
    <n v="8.4677985904895448E-2"/>
    <n v="0.95"/>
    <n v="6.0574982000753563E-2"/>
    <n v="0.62412916158771403"/>
    <n v="0.92247891730008102"/>
    <n v="6.0574982000753563E-2"/>
  </r>
  <r>
    <x v="0"/>
    <s v="2026-10-16 17:30:57"/>
    <n v="2"/>
    <x v="8"/>
    <x v="3"/>
    <x v="2"/>
    <n v="0.82897598860260902"/>
    <n v="2E+20"/>
    <n v="0"/>
    <n v="1"/>
    <n v="0"/>
    <n v="0"/>
    <s v="Unnamed ProjectM2Number BusyResource"/>
    <n v="10"/>
    <n v="0.79069410142096264"/>
    <n v="8.4677985904895448E-2"/>
    <n v="0.95"/>
    <n v="6.0574982000753563E-2"/>
    <n v="0.62412916158771403"/>
    <n v="0.92247891730008102"/>
    <n v="6.0574982000753563E-2"/>
  </r>
  <r>
    <x v="0"/>
    <s v="2026-10-16 17:30:57"/>
    <n v="2"/>
    <x v="8"/>
    <x v="4"/>
    <x v="2"/>
    <n v="1"/>
    <n v="2E+20"/>
    <n v="1"/>
    <n v="1"/>
    <n v="1"/>
    <n v="0"/>
    <s v="Unnamed ProjectM2Number ScheduledResource"/>
    <n v="10"/>
    <n v="1"/>
    <n v="0"/>
    <n v="0.95"/>
    <n v="0"/>
    <n v="1"/>
    <n v="1"/>
    <n v="0"/>
  </r>
  <r>
    <x v="0"/>
    <s v="2026-10-16 17:30:57"/>
    <n v="2"/>
    <x v="9"/>
    <x v="1"/>
    <x v="1"/>
    <n v="1.8028831410399799"/>
    <n v="2E+20"/>
    <n v="0"/>
    <n v="7"/>
    <n v="0"/>
    <n v="0"/>
    <s v="Unnamed ProjectM2.QNumber WaitingQueue"/>
    <n v="10"/>
    <n v="1.9414248775037748"/>
    <n v="1.0999712931753487"/>
    <n v="0.95"/>
    <n v="0.78687206094246831"/>
    <n v="0.64368437614034602"/>
    <n v="3.96038812902029"/>
    <n v="0.78687206094246831"/>
  </r>
  <r>
    <x v="0"/>
    <s v="2026-10-16 17:30:57"/>
    <n v="2"/>
    <x v="10"/>
    <x v="2"/>
    <x v="2"/>
    <n v="0.38473638633557899"/>
    <n v="2E+20"/>
    <n v="0"/>
    <n v="1"/>
    <n v="0"/>
    <n v="0"/>
    <s v="Unnamed ProjectM3Instantaneous UtilizationResource"/>
    <n v="10"/>
    <n v="0.38204498745219106"/>
    <n v="2.9603647703352595E-2"/>
    <n v="0.95"/>
    <n v="2.1177173826515884E-2"/>
    <n v="0.32566726436532201"/>
    <n v="0.42511230467838501"/>
    <n v="2.1177173826515884E-2"/>
  </r>
  <r>
    <x v="0"/>
    <s v="2026-10-16 17:30:57"/>
    <n v="2"/>
    <x v="10"/>
    <x v="3"/>
    <x v="2"/>
    <n v="0.76947277267115899"/>
    <n v="2E+20"/>
    <n v="0"/>
    <n v="2"/>
    <n v="0"/>
    <n v="0"/>
    <s v="Unnamed ProjectM3Number BusyResource"/>
    <n v="10"/>
    <n v="0.76408997490438202"/>
    <n v="5.9207295406705232E-2"/>
    <n v="0.95"/>
    <n v="4.2354347653031796E-2"/>
    <n v="0.65133452873064301"/>
    <n v="0.85022460935677002"/>
    <n v="4.2354347653031796E-2"/>
  </r>
  <r>
    <x v="0"/>
    <s v="2026-10-16 17:30:57"/>
    <n v="2"/>
    <x v="10"/>
    <x v="4"/>
    <x v="2"/>
    <n v="2"/>
    <n v="2E+20"/>
    <n v="2"/>
    <n v="2"/>
    <n v="2"/>
    <n v="0"/>
    <s v="Unnamed ProjectM3Number ScheduledResource"/>
    <n v="10"/>
    <n v="2"/>
    <n v="0"/>
    <n v="0.95"/>
    <n v="0"/>
    <n v="2"/>
    <n v="2"/>
    <n v="0"/>
  </r>
  <r>
    <x v="0"/>
    <s v="2026-10-16 17:30:57"/>
    <n v="2"/>
    <x v="11"/>
    <x v="1"/>
    <x v="1"/>
    <n v="2.7978912998663698E-2"/>
    <n v="2E+20"/>
    <n v="0"/>
    <n v="2"/>
    <n v="0"/>
    <n v="0"/>
    <s v="Unnamed ProjectM3.QNumber WaitingQueue"/>
    <n v="10"/>
    <n v="2.5183140573256935E-2"/>
    <n v="6.5933898933538881E-3"/>
    <n v="0.95"/>
    <n v="4.7166269939678878E-3"/>
    <n v="1.7183032756251101E-2"/>
    <n v="3.3093677405251203E-2"/>
    <n v="4.7166269939678878E-3"/>
  </r>
  <r>
    <x v="0"/>
    <s v="2026-10-16 17:30:57"/>
    <n v="2"/>
    <x v="12"/>
    <x v="2"/>
    <x v="2"/>
    <n v="0.73360482887559197"/>
    <n v="2E+20"/>
    <n v="0"/>
    <n v="1"/>
    <n v="0"/>
    <n v="0"/>
    <s v="Unnamed ProjectM4Instantaneous UtilizationResource"/>
    <n v="10"/>
    <n v="0.68948907951108873"/>
    <n v="7.0099805521104841E-2"/>
    <n v="0.95"/>
    <n v="5.0146379986722875E-2"/>
    <n v="0.59708526729729605"/>
    <n v="0.81511052462014799"/>
    <n v="5.0146379986722875E-2"/>
  </r>
  <r>
    <x v="0"/>
    <s v="2026-10-16 17:30:57"/>
    <n v="2"/>
    <x v="12"/>
    <x v="3"/>
    <x v="2"/>
    <n v="0.73360482887559197"/>
    <n v="2E+20"/>
    <n v="0"/>
    <n v="1"/>
    <n v="0"/>
    <n v="0"/>
    <s v="Unnamed ProjectM4Number BusyResource"/>
    <n v="10"/>
    <n v="0.68948907951108873"/>
    <n v="7.0099805521104841E-2"/>
    <n v="0.95"/>
    <n v="5.0146379986722875E-2"/>
    <n v="0.59708526729729605"/>
    <n v="0.81511052462014799"/>
    <n v="5.0146379986722875E-2"/>
  </r>
  <r>
    <x v="0"/>
    <s v="2026-10-16 17:30:57"/>
    <n v="2"/>
    <x v="12"/>
    <x v="4"/>
    <x v="2"/>
    <n v="1"/>
    <n v="2E+20"/>
    <n v="1"/>
    <n v="1"/>
    <n v="1"/>
    <n v="0"/>
    <s v="Unnamed ProjectM4Number ScheduledResource"/>
    <n v="10"/>
    <n v="1"/>
    <n v="0"/>
    <n v="0.95"/>
    <n v="0"/>
    <n v="1"/>
    <n v="1"/>
    <n v="0"/>
  </r>
  <r>
    <x v="0"/>
    <s v="2026-10-16 17:30:57"/>
    <n v="2"/>
    <x v="13"/>
    <x v="1"/>
    <x v="1"/>
    <n v="0.88709256134396997"/>
    <n v="2E+20"/>
    <n v="0"/>
    <n v="6"/>
    <n v="0"/>
    <n v="0"/>
    <s v="Unnamed ProjectM4.QNumber WaitingQueue"/>
    <n v="10"/>
    <n v="0.92596780474390472"/>
    <n v="0.23565784373506599"/>
    <n v="0.95"/>
    <n v="0.16857946596203516"/>
    <n v="0.61954382246291895"/>
    <n v="1.4060201140591599"/>
    <n v="0.16857946596203516"/>
  </r>
  <r>
    <x v="0"/>
    <s v="2026-10-16 17:30:57"/>
    <n v="2"/>
    <x v="14"/>
    <x v="2"/>
    <x v="2"/>
    <n v="0.34124280661036899"/>
    <n v="5.0441405536385799E-2"/>
    <n v="0"/>
    <n v="1"/>
    <n v="0.5"/>
    <n v="0"/>
    <s v="Unnamed ProjectM5Instantaneous UtilizationResource"/>
    <n v="10"/>
    <n v="0.35254112855323727"/>
    <n v="2.0819740340978523E-2"/>
    <n v="0.95"/>
    <n v="1.4893545033435028E-2"/>
    <n v="0.319082016284436"/>
    <n v="0.391918845838306"/>
    <n v="1.4893545033435028E-2"/>
  </r>
  <r>
    <x v="0"/>
    <s v="2026-10-16 17:30:57"/>
    <n v="2"/>
    <x v="14"/>
    <x v="3"/>
    <x v="2"/>
    <n v="0.68248561322073797"/>
    <n v="0.100882811072772"/>
    <n v="0"/>
    <n v="2"/>
    <n v="1"/>
    <n v="0"/>
    <s v="Unnamed ProjectM5Number BusyResource"/>
    <n v="10"/>
    <n v="0.70508225710647443"/>
    <n v="4.1639480681956775E-2"/>
    <n v="0.95"/>
    <n v="2.9787090066869859E-2"/>
    <n v="0.638164032568872"/>
    <n v="0.78383769167661099"/>
    <n v="2.9787090066869859E-2"/>
  </r>
  <r>
    <x v="0"/>
    <s v="2026-10-16 17:30:57"/>
    <n v="2"/>
    <x v="14"/>
    <x v="4"/>
    <x v="2"/>
    <n v="2"/>
    <n v="2E+20"/>
    <n v="2"/>
    <n v="2"/>
    <n v="2"/>
    <n v="0"/>
    <s v="Unnamed ProjectM5Number ScheduledResource"/>
    <n v="10"/>
    <n v="2"/>
    <n v="0"/>
    <n v="0.95"/>
    <n v="0"/>
    <n v="2"/>
    <n v="2"/>
    <n v="0"/>
  </r>
  <r>
    <x v="0"/>
    <s v="2026-10-16 17:30:57"/>
    <n v="2"/>
    <x v="15"/>
    <x v="1"/>
    <x v="1"/>
    <n v="2.1913380065410999E-2"/>
    <n v="2E+20"/>
    <n v="0"/>
    <n v="2"/>
    <n v="0"/>
    <n v="0"/>
    <s v="Unnamed ProjectM5.QNumber WaitingQueue"/>
    <n v="10"/>
    <n v="4.0588719153078524E-2"/>
    <n v="2.3271584618520549E-2"/>
    <n v="0.95"/>
    <n v="1.6647488769739371E-2"/>
    <n v="1.58912341215269E-2"/>
    <n v="9.0065456910795705E-2"/>
    <n v="1.6647488769739371E-2"/>
  </r>
  <r>
    <x v="0"/>
    <s v="2026-10-16 17:30:57"/>
    <n v="3"/>
    <x v="0"/>
    <x v="0"/>
    <x v="0"/>
    <n v="9.5134854029509093"/>
    <n v="3E+20"/>
    <n v="0"/>
    <n v="21"/>
    <n v="0"/>
    <n v="0"/>
    <s v="Unnamed ProjectEntity 1WIPEntity"/>
    <n v="10"/>
    <n v="6.6735315353875011"/>
    <n v="1.4829188547421246"/>
    <n v="0.95"/>
    <n v="1.0608162437338877"/>
    <n v="4.5894957727661101"/>
    <n v="9.5134854029509093"/>
    <n v="1.0608162437338877"/>
  </r>
  <r>
    <x v="0"/>
    <s v="2026-10-16 17:30:57"/>
    <n v="3"/>
    <x v="1"/>
    <x v="1"/>
    <x v="1"/>
    <n v="0"/>
    <n v="2E+20"/>
    <n v="0"/>
    <n v="0"/>
    <n v="0"/>
    <n v="0"/>
    <s v="Unnamed ProjectHold M1.QueueNumber WaitingQueue"/>
    <n v="10"/>
    <n v="0"/>
    <n v="0"/>
    <n v="0.95"/>
    <n v="0"/>
    <n v="0"/>
    <n v="0"/>
    <n v="0"/>
  </r>
  <r>
    <x v="0"/>
    <s v="2026-10-16 17:30:57"/>
    <n v="3"/>
    <x v="2"/>
    <x v="1"/>
    <x v="1"/>
    <n v="0"/>
    <n v="2E+20"/>
    <n v="0"/>
    <n v="0"/>
    <n v="0"/>
    <n v="0"/>
    <s v="Unnamed ProjectHold M2.QueueNumber WaitingQueue"/>
    <n v="10"/>
    <n v="0"/>
    <n v="0"/>
    <n v="0.95"/>
    <n v="0"/>
    <n v="0"/>
    <n v="0"/>
    <n v="0"/>
  </r>
  <r>
    <x v="0"/>
    <s v="2026-10-16 17:30:57"/>
    <n v="3"/>
    <x v="3"/>
    <x v="1"/>
    <x v="1"/>
    <n v="0"/>
    <n v="2E+20"/>
    <n v="0"/>
    <n v="0"/>
    <n v="0"/>
    <n v="0"/>
    <s v="Unnamed ProjectHold M3.QueueNumber WaitingQueue"/>
    <n v="10"/>
    <n v="0"/>
    <n v="0"/>
    <n v="0.95"/>
    <n v="0"/>
    <n v="0"/>
    <n v="0"/>
    <n v="0"/>
  </r>
  <r>
    <x v="0"/>
    <s v="2026-10-16 17:30:57"/>
    <n v="3"/>
    <x v="4"/>
    <x v="1"/>
    <x v="1"/>
    <n v="0"/>
    <n v="2E+20"/>
    <n v="0"/>
    <n v="0"/>
    <n v="0"/>
    <n v="0"/>
    <s v="Unnamed ProjectHold M4.QueueNumber WaitingQueue"/>
    <n v="10"/>
    <n v="0"/>
    <n v="0"/>
    <n v="0.95"/>
    <n v="0"/>
    <n v="0"/>
    <n v="0"/>
    <n v="0"/>
  </r>
  <r>
    <x v="0"/>
    <s v="2026-10-16 17:30:57"/>
    <n v="3"/>
    <x v="5"/>
    <x v="1"/>
    <x v="1"/>
    <n v="0"/>
    <n v="2E+20"/>
    <n v="0"/>
    <n v="0"/>
    <n v="0"/>
    <n v="0"/>
    <s v="Unnamed ProjectHold M5.QueueNumber WaitingQueue"/>
    <n v="10"/>
    <n v="0"/>
    <n v="0"/>
    <n v="0.95"/>
    <n v="0"/>
    <n v="0"/>
    <n v="0"/>
    <n v="0"/>
  </r>
  <r>
    <x v="0"/>
    <s v="2026-10-16 17:30:57"/>
    <n v="3"/>
    <x v="6"/>
    <x v="2"/>
    <x v="2"/>
    <n v="0.37410580793237402"/>
    <n v="2E+20"/>
    <n v="0"/>
    <n v="1"/>
    <n v="0"/>
    <n v="0"/>
    <s v="Unnamed ProjectM1Instantaneous UtilizationResource"/>
    <n v="10"/>
    <n v="0.35418637725041224"/>
    <n v="3.3453936231241439E-2"/>
    <n v="0.95"/>
    <n v="2.3931504314920794E-2"/>
    <n v="0.29539806709730798"/>
    <n v="0.39865120046345498"/>
    <n v="2.3931504314920794E-2"/>
  </r>
  <r>
    <x v="0"/>
    <s v="2026-10-16 17:30:57"/>
    <n v="3"/>
    <x v="6"/>
    <x v="3"/>
    <x v="2"/>
    <n v="0.74821161586474705"/>
    <n v="2E+20"/>
    <n v="0"/>
    <n v="2"/>
    <n v="0"/>
    <n v="0"/>
    <s v="Unnamed ProjectM1Number BusyResource"/>
    <n v="10"/>
    <n v="0.70837275450082438"/>
    <n v="6.6907872462483045E-2"/>
    <n v="0.95"/>
    <n v="4.7863008629841705E-2"/>
    <n v="0.59079613419461596"/>
    <n v="0.79730240092691096"/>
    <n v="4.7863008629841705E-2"/>
  </r>
  <r>
    <x v="0"/>
    <s v="2026-10-16 17:30:57"/>
    <n v="3"/>
    <x v="6"/>
    <x v="4"/>
    <x v="2"/>
    <n v="2"/>
    <n v="2E+20"/>
    <n v="2"/>
    <n v="2"/>
    <n v="2"/>
    <n v="0"/>
    <s v="Unnamed ProjectM1Number ScheduledResource"/>
    <n v="10"/>
    <n v="2"/>
    <n v="0"/>
    <n v="0.95"/>
    <n v="0"/>
    <n v="2"/>
    <n v="2"/>
    <n v="0"/>
  </r>
  <r>
    <x v="0"/>
    <s v="2026-10-16 17:30:57"/>
    <n v="3"/>
    <x v="7"/>
    <x v="1"/>
    <x v="1"/>
    <n v="0.10878068130863899"/>
    <n v="2E+20"/>
    <n v="0"/>
    <n v="3"/>
    <n v="0"/>
    <n v="0"/>
    <s v="Unnamed ProjectM1.QNumber WaitingQueue"/>
    <n v="10"/>
    <n v="8.2638825969756052E-2"/>
    <n v="2.9983492659856659E-2"/>
    <n v="0.95"/>
    <n v="2.1448898539349195E-2"/>
    <n v="3.4990004496426703E-2"/>
    <n v="0.13146637852281401"/>
    <n v="2.1448898539349195E-2"/>
  </r>
  <r>
    <x v="0"/>
    <s v="2026-10-16 17:30:57"/>
    <n v="3"/>
    <x v="8"/>
    <x v="2"/>
    <x v="2"/>
    <n v="0.84140710301871302"/>
    <n v="2E+20"/>
    <n v="0"/>
    <n v="1"/>
    <n v="0"/>
    <n v="0"/>
    <s v="Unnamed ProjectM2Instantaneous UtilizationResource"/>
    <n v="10"/>
    <n v="0.79069410142096264"/>
    <n v="8.4677985904895448E-2"/>
    <n v="0.95"/>
    <n v="6.0574982000753563E-2"/>
    <n v="0.62412916158771403"/>
    <n v="0.92247891730008102"/>
    <n v="6.0574982000753563E-2"/>
  </r>
  <r>
    <x v="0"/>
    <s v="2026-10-16 17:30:57"/>
    <n v="3"/>
    <x v="8"/>
    <x v="3"/>
    <x v="2"/>
    <n v="0.84140710301871302"/>
    <n v="2E+20"/>
    <n v="0"/>
    <n v="1"/>
    <n v="0"/>
    <n v="0"/>
    <s v="Unnamed ProjectM2Number BusyResource"/>
    <n v="10"/>
    <n v="0.79069410142096264"/>
    <n v="8.4677985904895448E-2"/>
    <n v="0.95"/>
    <n v="6.0574982000753563E-2"/>
    <n v="0.62412916158771403"/>
    <n v="0.92247891730008102"/>
    <n v="6.0574982000753563E-2"/>
  </r>
  <r>
    <x v="0"/>
    <s v="2026-10-16 17:30:57"/>
    <n v="3"/>
    <x v="8"/>
    <x v="4"/>
    <x v="2"/>
    <n v="1"/>
    <n v="2E+20"/>
    <n v="1"/>
    <n v="1"/>
    <n v="1"/>
    <n v="0"/>
    <s v="Unnamed ProjectM2Number ScheduledResource"/>
    <n v="10"/>
    <n v="1"/>
    <n v="0"/>
    <n v="0.95"/>
    <n v="0"/>
    <n v="1"/>
    <n v="1"/>
    <n v="0"/>
  </r>
  <r>
    <x v="0"/>
    <s v="2026-10-16 17:30:57"/>
    <n v="3"/>
    <x v="9"/>
    <x v="1"/>
    <x v="1"/>
    <n v="3.96038812902029"/>
    <n v="2E+20"/>
    <n v="0"/>
    <n v="15"/>
    <n v="0"/>
    <n v="0"/>
    <s v="Unnamed ProjectM2.QNumber WaitingQueue"/>
    <n v="10"/>
    <n v="1.9414248775037748"/>
    <n v="1.0999712931753487"/>
    <n v="0.95"/>
    <n v="0.78687206094246831"/>
    <n v="0.64368437614034602"/>
    <n v="3.96038812902029"/>
    <n v="0.78687206094246831"/>
  </r>
  <r>
    <x v="0"/>
    <s v="2026-10-16 17:30:57"/>
    <n v="3"/>
    <x v="10"/>
    <x v="2"/>
    <x v="2"/>
    <n v="0.41804638971782199"/>
    <n v="4.4015430209533003E-2"/>
    <n v="0"/>
    <n v="1"/>
    <n v="0"/>
    <n v="0"/>
    <s v="Unnamed ProjectM3Instantaneous UtilizationResource"/>
    <n v="10"/>
    <n v="0.38204498745219106"/>
    <n v="2.9603647703352595E-2"/>
    <n v="0.95"/>
    <n v="2.1177173826515884E-2"/>
    <n v="0.32566726436532201"/>
    <n v="0.42511230467838501"/>
    <n v="2.1177173826515884E-2"/>
  </r>
  <r>
    <x v="0"/>
    <s v="2026-10-16 17:30:57"/>
    <n v="3"/>
    <x v="10"/>
    <x v="3"/>
    <x v="2"/>
    <n v="0.83609277943564397"/>
    <n v="8.8030860419066007E-2"/>
    <n v="0"/>
    <n v="2"/>
    <n v="0"/>
    <n v="0"/>
    <s v="Unnamed ProjectM3Number BusyResource"/>
    <n v="10"/>
    <n v="0.76408997490438202"/>
    <n v="5.9207295406705232E-2"/>
    <n v="0.95"/>
    <n v="4.2354347653031796E-2"/>
    <n v="0.65133452873064301"/>
    <n v="0.85022460935677002"/>
    <n v="4.2354347653031796E-2"/>
  </r>
  <r>
    <x v="0"/>
    <s v="2026-10-16 17:30:57"/>
    <n v="3"/>
    <x v="10"/>
    <x v="4"/>
    <x v="2"/>
    <n v="2"/>
    <n v="2E+20"/>
    <n v="2"/>
    <n v="2"/>
    <n v="2"/>
    <n v="0"/>
    <s v="Unnamed ProjectM3Number ScheduledResource"/>
    <n v="10"/>
    <n v="2"/>
    <n v="0"/>
    <n v="0.95"/>
    <n v="0"/>
    <n v="2"/>
    <n v="2"/>
    <n v="0"/>
  </r>
  <r>
    <x v="0"/>
    <s v="2026-10-16 17:30:57"/>
    <n v="3"/>
    <x v="11"/>
    <x v="1"/>
    <x v="1"/>
    <n v="3.3093677405251203E-2"/>
    <n v="2E+20"/>
    <n v="0"/>
    <n v="2"/>
    <n v="0"/>
    <n v="0"/>
    <s v="Unnamed ProjectM3.QNumber WaitingQueue"/>
    <n v="10"/>
    <n v="2.5183140573256935E-2"/>
    <n v="6.5933898933538881E-3"/>
    <n v="0.95"/>
    <n v="4.7166269939678878E-3"/>
    <n v="1.7183032756251101E-2"/>
    <n v="3.3093677405251203E-2"/>
    <n v="4.7166269939678878E-3"/>
  </r>
  <r>
    <x v="0"/>
    <s v="2026-10-16 17:30:57"/>
    <n v="3"/>
    <x v="12"/>
    <x v="2"/>
    <x v="2"/>
    <n v="0.81511052462014799"/>
    <n v="2E+20"/>
    <n v="0"/>
    <n v="1"/>
    <n v="0"/>
    <n v="0"/>
    <s v="Unnamed ProjectM4Instantaneous UtilizationResource"/>
    <n v="10"/>
    <n v="0.68948907951108873"/>
    <n v="7.0099805521104841E-2"/>
    <n v="0.95"/>
    <n v="5.0146379986722875E-2"/>
    <n v="0.59708526729729605"/>
    <n v="0.81511052462014799"/>
    <n v="5.0146379986722875E-2"/>
  </r>
  <r>
    <x v="0"/>
    <s v="2026-10-16 17:30:57"/>
    <n v="3"/>
    <x v="12"/>
    <x v="3"/>
    <x v="2"/>
    <n v="0.81511052462014799"/>
    <n v="2E+20"/>
    <n v="0"/>
    <n v="1"/>
    <n v="0"/>
    <n v="0"/>
    <s v="Unnamed ProjectM4Number BusyResource"/>
    <n v="10"/>
    <n v="0.68948907951108873"/>
    <n v="7.0099805521104841E-2"/>
    <n v="0.95"/>
    <n v="5.0146379986722875E-2"/>
    <n v="0.59708526729729605"/>
    <n v="0.81511052462014799"/>
    <n v="5.0146379986722875E-2"/>
  </r>
  <r>
    <x v="0"/>
    <s v="2026-10-16 17:30:57"/>
    <n v="3"/>
    <x v="12"/>
    <x v="4"/>
    <x v="2"/>
    <n v="1"/>
    <n v="2E+20"/>
    <n v="1"/>
    <n v="1"/>
    <n v="1"/>
    <n v="0"/>
    <s v="Unnamed ProjectM4Number ScheduledResource"/>
    <n v="10"/>
    <n v="1"/>
    <n v="0"/>
    <n v="0.95"/>
    <n v="0"/>
    <n v="1"/>
    <n v="1"/>
    <n v="0"/>
  </r>
  <r>
    <x v="0"/>
    <s v="2026-10-16 17:30:57"/>
    <n v="3"/>
    <x v="13"/>
    <x v="1"/>
    <x v="1"/>
    <n v="1.4060201140591599"/>
    <n v="2E+20"/>
    <n v="0"/>
    <n v="8"/>
    <n v="0"/>
    <n v="0"/>
    <s v="Unnamed ProjectM4.QNumber WaitingQueue"/>
    <n v="10"/>
    <n v="0.92596780474390472"/>
    <n v="0.23565784373506599"/>
    <n v="0.95"/>
    <n v="0.16857946596203516"/>
    <n v="0.61954382246291895"/>
    <n v="1.4060201140591599"/>
    <n v="0.16857946596203516"/>
  </r>
  <r>
    <x v="0"/>
    <s v="2026-10-16 17:30:57"/>
    <n v="3"/>
    <x v="14"/>
    <x v="2"/>
    <x v="2"/>
    <n v="0.36499970126903097"/>
    <n v="4.4968976535676199E-2"/>
    <n v="0"/>
    <n v="1"/>
    <n v="0"/>
    <n v="0"/>
    <s v="Unnamed ProjectM5Instantaneous UtilizationResource"/>
    <n v="10"/>
    <n v="0.35254112855323727"/>
    <n v="2.0819740340978523E-2"/>
    <n v="0.95"/>
    <n v="1.4893545033435028E-2"/>
    <n v="0.319082016284436"/>
    <n v="0.391918845838306"/>
    <n v="1.4893545033435028E-2"/>
  </r>
  <r>
    <x v="0"/>
    <s v="2026-10-16 17:30:57"/>
    <n v="3"/>
    <x v="14"/>
    <x v="3"/>
    <x v="2"/>
    <n v="0.72999940253806095"/>
    <n v="8.99379530713523E-2"/>
    <n v="0"/>
    <n v="2"/>
    <n v="0"/>
    <n v="0"/>
    <s v="Unnamed ProjectM5Number BusyResource"/>
    <n v="10"/>
    <n v="0.70508225710647443"/>
    <n v="4.1639480681956775E-2"/>
    <n v="0.95"/>
    <n v="2.9787090066869859E-2"/>
    <n v="0.638164032568872"/>
    <n v="0.78383769167661099"/>
    <n v="2.9787090066869859E-2"/>
  </r>
  <r>
    <x v="0"/>
    <s v="2026-10-16 17:30:57"/>
    <n v="3"/>
    <x v="14"/>
    <x v="4"/>
    <x v="2"/>
    <n v="2"/>
    <n v="2E+20"/>
    <n v="2"/>
    <n v="2"/>
    <n v="2"/>
    <n v="0"/>
    <s v="Unnamed ProjectM5Number ScheduledResource"/>
    <n v="10"/>
    <n v="2"/>
    <n v="0"/>
    <n v="0.95"/>
    <n v="0"/>
    <n v="2"/>
    <n v="2"/>
    <n v="0"/>
  </r>
  <r>
    <x v="0"/>
    <s v="2026-10-16 17:30:57"/>
    <n v="3"/>
    <x v="15"/>
    <x v="1"/>
    <x v="1"/>
    <n v="3.4381375680261901E-2"/>
    <n v="2E+20"/>
    <n v="0"/>
    <n v="2"/>
    <n v="0"/>
    <n v="0"/>
    <s v="Unnamed ProjectM5.QNumber WaitingQueue"/>
    <n v="10"/>
    <n v="4.0588719153078524E-2"/>
    <n v="2.3271584618520549E-2"/>
    <n v="0.95"/>
    <n v="1.6647488769739371E-2"/>
    <n v="1.58912341215269E-2"/>
    <n v="9.0065456910795705E-2"/>
    <n v="1.6647488769739371E-2"/>
  </r>
  <r>
    <x v="0"/>
    <s v="2026-10-16 17:30:57"/>
    <n v="4"/>
    <x v="0"/>
    <x v="0"/>
    <x v="0"/>
    <n v="7.5580498013511699"/>
    <n v="3E+20"/>
    <n v="0"/>
    <n v="16"/>
    <n v="5"/>
    <n v="0"/>
    <s v="Unnamed ProjectEntity 1WIPEntity"/>
    <n v="10"/>
    <n v="6.6735315353875011"/>
    <n v="1.4829188547421246"/>
    <n v="0.95"/>
    <n v="1.0608162437338877"/>
    <n v="4.5894957727661101"/>
    <n v="9.5134854029509093"/>
    <n v="1.0608162437338877"/>
  </r>
  <r>
    <x v="0"/>
    <s v="2026-10-16 17:30:57"/>
    <n v="4"/>
    <x v="1"/>
    <x v="1"/>
    <x v="1"/>
    <n v="0"/>
    <n v="2E+20"/>
    <n v="0"/>
    <n v="0"/>
    <n v="0"/>
    <n v="0"/>
    <s v="Unnamed ProjectHold M1.QueueNumber WaitingQueue"/>
    <n v="10"/>
    <n v="0"/>
    <n v="0"/>
    <n v="0.95"/>
    <n v="0"/>
    <n v="0"/>
    <n v="0"/>
    <n v="0"/>
  </r>
  <r>
    <x v="0"/>
    <s v="2026-10-16 17:30:57"/>
    <n v="4"/>
    <x v="2"/>
    <x v="1"/>
    <x v="1"/>
    <n v="0"/>
    <n v="2E+20"/>
    <n v="0"/>
    <n v="0"/>
    <n v="0"/>
    <n v="0"/>
    <s v="Unnamed ProjectHold M2.QueueNumber WaitingQueue"/>
    <n v="10"/>
    <n v="0"/>
    <n v="0"/>
    <n v="0.95"/>
    <n v="0"/>
    <n v="0"/>
    <n v="0"/>
    <n v="0"/>
  </r>
  <r>
    <x v="0"/>
    <s v="2026-10-16 17:30:57"/>
    <n v="4"/>
    <x v="3"/>
    <x v="1"/>
    <x v="1"/>
    <n v="0"/>
    <n v="2E+20"/>
    <n v="0"/>
    <n v="0"/>
    <n v="0"/>
    <n v="0"/>
    <s v="Unnamed ProjectHold M3.QueueNumber WaitingQueue"/>
    <n v="10"/>
    <n v="0"/>
    <n v="0"/>
    <n v="0.95"/>
    <n v="0"/>
    <n v="0"/>
    <n v="0"/>
    <n v="0"/>
  </r>
  <r>
    <x v="0"/>
    <s v="2026-10-16 17:30:57"/>
    <n v="4"/>
    <x v="4"/>
    <x v="1"/>
    <x v="1"/>
    <n v="0"/>
    <n v="2E+20"/>
    <n v="0"/>
    <n v="0"/>
    <n v="0"/>
    <n v="0"/>
    <s v="Unnamed ProjectHold M4.QueueNumber WaitingQueue"/>
    <n v="10"/>
    <n v="0"/>
    <n v="0"/>
    <n v="0.95"/>
    <n v="0"/>
    <n v="0"/>
    <n v="0"/>
    <n v="0"/>
  </r>
  <r>
    <x v="0"/>
    <s v="2026-10-16 17:30:57"/>
    <n v="4"/>
    <x v="5"/>
    <x v="1"/>
    <x v="1"/>
    <n v="0"/>
    <n v="2E+20"/>
    <n v="0"/>
    <n v="0"/>
    <n v="0"/>
    <n v="0"/>
    <s v="Unnamed ProjectHold M5.QueueNumber WaitingQueue"/>
    <n v="10"/>
    <n v="0"/>
    <n v="0"/>
    <n v="0.95"/>
    <n v="0"/>
    <n v="0"/>
    <n v="0"/>
    <n v="0"/>
  </r>
  <r>
    <x v="0"/>
    <s v="2026-10-16 17:30:57"/>
    <n v="4"/>
    <x v="6"/>
    <x v="2"/>
    <x v="2"/>
    <n v="0.34358290173219702"/>
    <n v="2E+20"/>
    <n v="0"/>
    <n v="1"/>
    <n v="0"/>
    <n v="0"/>
    <s v="Unnamed ProjectM1Instantaneous UtilizationResource"/>
    <n v="10"/>
    <n v="0.35418637725041224"/>
    <n v="3.3453936231241439E-2"/>
    <n v="0.95"/>
    <n v="2.3931504314920794E-2"/>
    <n v="0.29539806709730798"/>
    <n v="0.39865120046345498"/>
    <n v="2.3931504314920794E-2"/>
  </r>
  <r>
    <x v="0"/>
    <s v="2026-10-16 17:30:57"/>
    <n v="4"/>
    <x v="6"/>
    <x v="3"/>
    <x v="2"/>
    <n v="0.68716580346439404"/>
    <n v="2E+20"/>
    <n v="0"/>
    <n v="2"/>
    <n v="0"/>
    <n v="0"/>
    <s v="Unnamed ProjectM1Number BusyResource"/>
    <n v="10"/>
    <n v="0.70837275450082438"/>
    <n v="6.6907872462483045E-2"/>
    <n v="0.95"/>
    <n v="4.7863008629841705E-2"/>
    <n v="0.59079613419461596"/>
    <n v="0.79730240092691096"/>
    <n v="4.7863008629841705E-2"/>
  </r>
  <r>
    <x v="0"/>
    <s v="2026-10-16 17:30:57"/>
    <n v="4"/>
    <x v="6"/>
    <x v="4"/>
    <x v="2"/>
    <n v="2"/>
    <n v="2E+20"/>
    <n v="2"/>
    <n v="2"/>
    <n v="2"/>
    <n v="0"/>
    <s v="Unnamed ProjectM1Number ScheduledResource"/>
    <n v="10"/>
    <n v="2"/>
    <n v="0"/>
    <n v="0.95"/>
    <n v="0"/>
    <n v="2"/>
    <n v="2"/>
    <n v="0"/>
  </r>
  <r>
    <x v="0"/>
    <s v="2026-10-16 17:30:57"/>
    <n v="4"/>
    <x v="7"/>
    <x v="1"/>
    <x v="1"/>
    <n v="7.7447952154727107E-2"/>
    <n v="2E+20"/>
    <n v="0"/>
    <n v="3"/>
    <n v="0"/>
    <n v="0"/>
    <s v="Unnamed ProjectM1.QNumber WaitingQueue"/>
    <n v="10"/>
    <n v="8.2638825969756052E-2"/>
    <n v="2.9983492659856659E-2"/>
    <n v="0.95"/>
    <n v="2.1448898539349195E-2"/>
    <n v="3.4990004496426703E-2"/>
    <n v="0.13146637852281401"/>
    <n v="2.1448898539349195E-2"/>
  </r>
  <r>
    <x v="0"/>
    <s v="2026-10-16 17:30:57"/>
    <n v="4"/>
    <x v="8"/>
    <x v="2"/>
    <x v="2"/>
    <n v="0.92247891730008102"/>
    <n v="2E+20"/>
    <n v="0"/>
    <n v="1"/>
    <n v="0"/>
    <n v="0"/>
    <s v="Unnamed ProjectM2Instantaneous UtilizationResource"/>
    <n v="10"/>
    <n v="0.79069410142096264"/>
    <n v="8.4677985904895448E-2"/>
    <n v="0.95"/>
    <n v="6.0574982000753563E-2"/>
    <n v="0.62412916158771403"/>
    <n v="0.92247891730008102"/>
    <n v="6.0574982000753563E-2"/>
  </r>
  <r>
    <x v="0"/>
    <s v="2026-10-16 17:30:57"/>
    <n v="4"/>
    <x v="8"/>
    <x v="3"/>
    <x v="2"/>
    <n v="0.92247891730008102"/>
    <n v="2E+20"/>
    <n v="0"/>
    <n v="1"/>
    <n v="0"/>
    <n v="0"/>
    <s v="Unnamed ProjectM2Number BusyResource"/>
    <n v="10"/>
    <n v="0.79069410142096264"/>
    <n v="8.4677985904895448E-2"/>
    <n v="0.95"/>
    <n v="6.0574982000753563E-2"/>
    <n v="0.62412916158771403"/>
    <n v="0.92247891730008102"/>
    <n v="6.0574982000753563E-2"/>
  </r>
  <r>
    <x v="0"/>
    <s v="2026-10-16 17:30:57"/>
    <n v="4"/>
    <x v="8"/>
    <x v="4"/>
    <x v="2"/>
    <n v="1"/>
    <n v="2E+20"/>
    <n v="1"/>
    <n v="1"/>
    <n v="1"/>
    <n v="0"/>
    <s v="Unnamed ProjectM2Number ScheduledResource"/>
    <n v="10"/>
    <n v="1"/>
    <n v="0"/>
    <n v="0.95"/>
    <n v="0"/>
    <n v="1"/>
    <n v="1"/>
    <n v="0"/>
  </r>
  <r>
    <x v="0"/>
    <s v="2026-10-16 17:30:57"/>
    <n v="4"/>
    <x v="9"/>
    <x v="1"/>
    <x v="1"/>
    <n v="2.5280485046261498"/>
    <n v="2E+20"/>
    <n v="0"/>
    <n v="8"/>
    <n v="0"/>
    <n v="0"/>
    <s v="Unnamed ProjectM2.QNumber WaitingQueue"/>
    <n v="10"/>
    <n v="1.9414248775037748"/>
    <n v="1.0999712931753487"/>
    <n v="0.95"/>
    <n v="0.78687206094246831"/>
    <n v="0.64368437614034602"/>
    <n v="3.96038812902029"/>
    <n v="0.78687206094246831"/>
  </r>
  <r>
    <x v="0"/>
    <s v="2026-10-16 17:30:57"/>
    <n v="4"/>
    <x v="10"/>
    <x v="2"/>
    <x v="2"/>
    <n v="0.42511230467838501"/>
    <n v="3.9593484879993E-2"/>
    <n v="0"/>
    <n v="1"/>
    <n v="1"/>
    <n v="0"/>
    <s v="Unnamed ProjectM3Instantaneous UtilizationResource"/>
    <n v="10"/>
    <n v="0.38204498745219106"/>
    <n v="2.9603647703352595E-2"/>
    <n v="0.95"/>
    <n v="2.1177173826515884E-2"/>
    <n v="0.32566726436532201"/>
    <n v="0.42511230467838501"/>
    <n v="2.1177173826515884E-2"/>
  </r>
  <r>
    <x v="0"/>
    <s v="2026-10-16 17:30:57"/>
    <n v="4"/>
    <x v="10"/>
    <x v="3"/>
    <x v="2"/>
    <n v="0.85022460935677002"/>
    <n v="7.9186969759986001E-2"/>
    <n v="0"/>
    <n v="2"/>
    <n v="2"/>
    <n v="0"/>
    <s v="Unnamed ProjectM3Number BusyResource"/>
    <n v="10"/>
    <n v="0.76408997490438202"/>
    <n v="5.9207295406705232E-2"/>
    <n v="0.95"/>
    <n v="4.2354347653031796E-2"/>
    <n v="0.65133452873064301"/>
    <n v="0.85022460935677002"/>
    <n v="4.2354347653031796E-2"/>
  </r>
  <r>
    <x v="0"/>
    <s v="2026-10-16 17:30:57"/>
    <n v="4"/>
    <x v="10"/>
    <x v="4"/>
    <x v="2"/>
    <n v="2"/>
    <n v="2E+20"/>
    <n v="2"/>
    <n v="2"/>
    <n v="2"/>
    <n v="0"/>
    <s v="Unnamed ProjectM3Number ScheduledResource"/>
    <n v="10"/>
    <n v="2"/>
    <n v="0"/>
    <n v="0.95"/>
    <n v="0"/>
    <n v="2"/>
    <n v="2"/>
    <n v="0"/>
  </r>
  <r>
    <x v="0"/>
    <s v="2026-10-16 17:30:57"/>
    <n v="4"/>
    <x v="11"/>
    <x v="1"/>
    <x v="1"/>
    <n v="2.5823409873283298E-2"/>
    <n v="2E+20"/>
    <n v="0"/>
    <n v="2"/>
    <n v="0"/>
    <n v="0"/>
    <s v="Unnamed ProjectM3.QNumber WaitingQueue"/>
    <n v="10"/>
    <n v="2.5183140573256935E-2"/>
    <n v="6.5933898933538881E-3"/>
    <n v="0.95"/>
    <n v="4.7166269939678878E-3"/>
    <n v="1.7183032756251101E-2"/>
    <n v="3.3093677405251203E-2"/>
    <n v="4.7166269939678878E-3"/>
  </r>
  <r>
    <x v="0"/>
    <s v="2026-10-16 17:30:57"/>
    <n v="4"/>
    <x v="12"/>
    <x v="2"/>
    <x v="2"/>
    <n v="0.717308496239496"/>
    <n v="2E+20"/>
    <n v="0"/>
    <n v="1"/>
    <n v="0"/>
    <n v="0"/>
    <s v="Unnamed ProjectM4Instantaneous UtilizationResource"/>
    <n v="10"/>
    <n v="0.68948907951108873"/>
    <n v="7.0099805521104841E-2"/>
    <n v="0.95"/>
    <n v="5.0146379986722875E-2"/>
    <n v="0.59708526729729605"/>
    <n v="0.81511052462014799"/>
    <n v="5.0146379986722875E-2"/>
  </r>
  <r>
    <x v="0"/>
    <s v="2026-10-16 17:30:57"/>
    <n v="4"/>
    <x v="12"/>
    <x v="3"/>
    <x v="2"/>
    <n v="0.717308496239496"/>
    <n v="2E+20"/>
    <n v="0"/>
    <n v="1"/>
    <n v="0"/>
    <n v="0"/>
    <s v="Unnamed ProjectM4Number BusyResource"/>
    <n v="10"/>
    <n v="0.68948907951108873"/>
    <n v="7.0099805521104841E-2"/>
    <n v="0.95"/>
    <n v="5.0146379986722875E-2"/>
    <n v="0.59708526729729605"/>
    <n v="0.81511052462014799"/>
    <n v="5.0146379986722875E-2"/>
  </r>
  <r>
    <x v="0"/>
    <s v="2026-10-16 17:30:57"/>
    <n v="4"/>
    <x v="12"/>
    <x v="4"/>
    <x v="2"/>
    <n v="1"/>
    <n v="2E+20"/>
    <n v="1"/>
    <n v="1"/>
    <n v="1"/>
    <n v="0"/>
    <s v="Unnamed ProjectM4Number ScheduledResource"/>
    <n v="10"/>
    <n v="1"/>
    <n v="0"/>
    <n v="0.95"/>
    <n v="0"/>
    <n v="1"/>
    <n v="1"/>
    <n v="0"/>
  </r>
  <r>
    <x v="0"/>
    <s v="2026-10-16 17:30:57"/>
    <n v="4"/>
    <x v="13"/>
    <x v="1"/>
    <x v="1"/>
    <n v="0.89668284499758499"/>
    <n v="2E+20"/>
    <n v="0"/>
    <n v="8"/>
    <n v="0"/>
    <n v="0"/>
    <s v="Unnamed ProjectM4.QNumber WaitingQueue"/>
    <n v="10"/>
    <n v="0.92596780474390472"/>
    <n v="0.23565784373506599"/>
    <n v="0.95"/>
    <n v="0.16857946596203516"/>
    <n v="0.61954382246291895"/>
    <n v="1.4060201140591599"/>
    <n v="0.16857946596203516"/>
  </r>
  <r>
    <x v="0"/>
    <s v="2026-10-16 17:30:57"/>
    <n v="4"/>
    <x v="14"/>
    <x v="2"/>
    <x v="2"/>
    <n v="0.391918845838306"/>
    <n v="4.1192173584510001E-2"/>
    <n v="0"/>
    <n v="1"/>
    <n v="1"/>
    <n v="0"/>
    <s v="Unnamed ProjectM5Instantaneous UtilizationResource"/>
    <n v="10"/>
    <n v="0.35254112855323727"/>
    <n v="2.0819740340978523E-2"/>
    <n v="0.95"/>
    <n v="1.4893545033435028E-2"/>
    <n v="0.319082016284436"/>
    <n v="0.391918845838306"/>
    <n v="1.4893545033435028E-2"/>
  </r>
  <r>
    <x v="0"/>
    <s v="2026-10-16 17:30:57"/>
    <n v="4"/>
    <x v="14"/>
    <x v="3"/>
    <x v="2"/>
    <n v="0.78383769167661099"/>
    <n v="8.2384347169019906E-2"/>
    <n v="0"/>
    <n v="2"/>
    <n v="2"/>
    <n v="0"/>
    <s v="Unnamed ProjectM5Number BusyResource"/>
    <n v="10"/>
    <n v="0.70508225710647443"/>
    <n v="4.1639480681956775E-2"/>
    <n v="0.95"/>
    <n v="2.9787090066869859E-2"/>
    <n v="0.638164032568872"/>
    <n v="0.78383769167661099"/>
    <n v="2.9787090066869859E-2"/>
  </r>
  <r>
    <x v="0"/>
    <s v="2026-10-16 17:30:57"/>
    <n v="4"/>
    <x v="14"/>
    <x v="4"/>
    <x v="2"/>
    <n v="2"/>
    <n v="2E+20"/>
    <n v="2"/>
    <n v="2"/>
    <n v="2"/>
    <n v="0"/>
    <s v="Unnamed ProjectM5Number ScheduledResource"/>
    <n v="10"/>
    <n v="2"/>
    <n v="0"/>
    <n v="0.95"/>
    <n v="0"/>
    <n v="2"/>
    <n v="2"/>
    <n v="0"/>
  </r>
  <r>
    <x v="0"/>
    <s v="2026-10-16 17:30:57"/>
    <n v="4"/>
    <x v="15"/>
    <x v="1"/>
    <x v="1"/>
    <n v="6.9031571662083097E-2"/>
    <n v="2E+20"/>
    <n v="0"/>
    <n v="4"/>
    <n v="1"/>
    <n v="0"/>
    <s v="Unnamed ProjectM5.QNumber WaitingQueue"/>
    <n v="10"/>
    <n v="4.0588719153078524E-2"/>
    <n v="2.3271584618520549E-2"/>
    <n v="0.95"/>
    <n v="1.6647488769739371E-2"/>
    <n v="1.58912341215269E-2"/>
    <n v="9.0065456910795705E-2"/>
    <n v="1.6647488769739371E-2"/>
  </r>
  <r>
    <x v="0"/>
    <s v="2026-10-16 17:30:57"/>
    <n v="5"/>
    <x v="0"/>
    <x v="0"/>
    <x v="0"/>
    <n v="4.5894957727661101"/>
    <n v="3E+20"/>
    <n v="0"/>
    <n v="13"/>
    <n v="11"/>
    <n v="0"/>
    <s v="Unnamed ProjectEntity 1WIPEntity"/>
    <n v="10"/>
    <n v="6.6735315353875011"/>
    <n v="1.4829188547421246"/>
    <n v="0.95"/>
    <n v="1.0608162437338877"/>
    <n v="4.5894957727661101"/>
    <n v="9.5134854029509093"/>
    <n v="1.0608162437338877"/>
  </r>
  <r>
    <x v="0"/>
    <s v="2026-10-16 17:30:57"/>
    <n v="5"/>
    <x v="1"/>
    <x v="1"/>
    <x v="1"/>
    <n v="0"/>
    <n v="2E+20"/>
    <n v="0"/>
    <n v="0"/>
    <n v="0"/>
    <n v="0"/>
    <s v="Unnamed ProjectHold M1.QueueNumber WaitingQueue"/>
    <n v="10"/>
    <n v="0"/>
    <n v="0"/>
    <n v="0.95"/>
    <n v="0"/>
    <n v="0"/>
    <n v="0"/>
    <n v="0"/>
  </r>
  <r>
    <x v="0"/>
    <s v="2026-10-16 17:30:57"/>
    <n v="5"/>
    <x v="2"/>
    <x v="1"/>
    <x v="1"/>
    <n v="0"/>
    <n v="2E+20"/>
    <n v="0"/>
    <n v="0"/>
    <n v="0"/>
    <n v="0"/>
    <s v="Unnamed ProjectHold M2.QueueNumber WaitingQueue"/>
    <n v="10"/>
    <n v="0"/>
    <n v="0"/>
    <n v="0.95"/>
    <n v="0"/>
    <n v="0"/>
    <n v="0"/>
    <n v="0"/>
  </r>
  <r>
    <x v="0"/>
    <s v="2026-10-16 17:30:57"/>
    <n v="5"/>
    <x v="3"/>
    <x v="1"/>
    <x v="1"/>
    <n v="0"/>
    <n v="2E+20"/>
    <n v="0"/>
    <n v="0"/>
    <n v="0"/>
    <n v="0"/>
    <s v="Unnamed ProjectHold M3.QueueNumber WaitingQueue"/>
    <n v="10"/>
    <n v="0"/>
    <n v="0"/>
    <n v="0.95"/>
    <n v="0"/>
    <n v="0"/>
    <n v="0"/>
    <n v="0"/>
  </r>
  <r>
    <x v="0"/>
    <s v="2026-10-16 17:30:57"/>
    <n v="5"/>
    <x v="4"/>
    <x v="1"/>
    <x v="1"/>
    <n v="0"/>
    <n v="2E+20"/>
    <n v="0"/>
    <n v="0"/>
    <n v="0"/>
    <n v="0"/>
    <s v="Unnamed ProjectHold M4.QueueNumber WaitingQueue"/>
    <n v="10"/>
    <n v="0"/>
    <n v="0"/>
    <n v="0.95"/>
    <n v="0"/>
    <n v="0"/>
    <n v="0"/>
    <n v="0"/>
  </r>
  <r>
    <x v="0"/>
    <s v="2026-10-16 17:30:57"/>
    <n v="5"/>
    <x v="5"/>
    <x v="1"/>
    <x v="1"/>
    <n v="0"/>
    <n v="2E+20"/>
    <n v="0"/>
    <n v="0"/>
    <n v="0"/>
    <n v="0"/>
    <s v="Unnamed ProjectHold M5.QueueNumber WaitingQueue"/>
    <n v="10"/>
    <n v="0"/>
    <n v="0"/>
    <n v="0.95"/>
    <n v="0"/>
    <n v="0"/>
    <n v="0"/>
    <n v="0"/>
  </r>
  <r>
    <x v="0"/>
    <s v="2026-10-16 17:30:57"/>
    <n v="5"/>
    <x v="6"/>
    <x v="2"/>
    <x v="2"/>
    <n v="0.29539806709730798"/>
    <n v="2E+20"/>
    <n v="0"/>
    <n v="1"/>
    <n v="0.5"/>
    <n v="0"/>
    <s v="Unnamed ProjectM1Instantaneous UtilizationResource"/>
    <n v="10"/>
    <n v="0.35418637725041224"/>
    <n v="3.3453936231241439E-2"/>
    <n v="0.95"/>
    <n v="2.3931504314920794E-2"/>
    <n v="0.29539806709730798"/>
    <n v="0.39865120046345498"/>
    <n v="2.3931504314920794E-2"/>
  </r>
  <r>
    <x v="0"/>
    <s v="2026-10-16 17:30:57"/>
    <n v="5"/>
    <x v="6"/>
    <x v="3"/>
    <x v="2"/>
    <n v="0.59079613419461596"/>
    <n v="2E+20"/>
    <n v="0"/>
    <n v="2"/>
    <n v="1"/>
    <n v="0"/>
    <s v="Unnamed ProjectM1Number BusyResource"/>
    <n v="10"/>
    <n v="0.70837275450082438"/>
    <n v="6.6907872462483045E-2"/>
    <n v="0.95"/>
    <n v="4.7863008629841705E-2"/>
    <n v="0.59079613419461596"/>
    <n v="0.79730240092691096"/>
    <n v="4.7863008629841705E-2"/>
  </r>
  <r>
    <x v="0"/>
    <s v="2026-10-16 17:30:57"/>
    <n v="5"/>
    <x v="6"/>
    <x v="4"/>
    <x v="2"/>
    <n v="2"/>
    <n v="2E+20"/>
    <n v="2"/>
    <n v="2"/>
    <n v="2"/>
    <n v="0"/>
    <s v="Unnamed ProjectM1Number ScheduledResource"/>
    <n v="10"/>
    <n v="2"/>
    <n v="0"/>
    <n v="0.95"/>
    <n v="0"/>
    <n v="2"/>
    <n v="2"/>
    <n v="0"/>
  </r>
  <r>
    <x v="0"/>
    <s v="2026-10-16 17:30:57"/>
    <n v="5"/>
    <x v="7"/>
    <x v="1"/>
    <x v="1"/>
    <n v="5.0897579825160202E-2"/>
    <n v="2E+20"/>
    <n v="0"/>
    <n v="3"/>
    <n v="0"/>
    <n v="0"/>
    <s v="Unnamed ProjectM1.QNumber WaitingQueue"/>
    <n v="10"/>
    <n v="8.2638825969756052E-2"/>
    <n v="2.9983492659856659E-2"/>
    <n v="0.95"/>
    <n v="2.1448898539349195E-2"/>
    <n v="3.4990004496426703E-2"/>
    <n v="0.13146637852281401"/>
    <n v="2.1448898539349195E-2"/>
  </r>
  <r>
    <x v="0"/>
    <s v="2026-10-16 17:30:57"/>
    <n v="5"/>
    <x v="8"/>
    <x v="2"/>
    <x v="2"/>
    <n v="0.62412916158771403"/>
    <n v="2E+20"/>
    <n v="0"/>
    <n v="1"/>
    <n v="1"/>
    <n v="0"/>
    <s v="Unnamed ProjectM2Instantaneous UtilizationResource"/>
    <n v="10"/>
    <n v="0.79069410142096264"/>
    <n v="8.4677985904895448E-2"/>
    <n v="0.95"/>
    <n v="6.0574982000753563E-2"/>
    <n v="0.62412916158771403"/>
    <n v="0.92247891730008102"/>
    <n v="6.0574982000753563E-2"/>
  </r>
  <r>
    <x v="0"/>
    <s v="2026-10-16 17:30:57"/>
    <n v="5"/>
    <x v="8"/>
    <x v="3"/>
    <x v="2"/>
    <n v="0.62412916158771403"/>
    <n v="2E+20"/>
    <n v="0"/>
    <n v="1"/>
    <n v="1"/>
    <n v="0"/>
    <s v="Unnamed ProjectM2Number BusyResource"/>
    <n v="10"/>
    <n v="0.79069410142096264"/>
    <n v="8.4677985904895448E-2"/>
    <n v="0.95"/>
    <n v="6.0574982000753563E-2"/>
    <n v="0.62412916158771403"/>
    <n v="0.92247891730008102"/>
    <n v="6.0574982000753563E-2"/>
  </r>
  <r>
    <x v="0"/>
    <s v="2026-10-16 17:30:57"/>
    <n v="5"/>
    <x v="8"/>
    <x v="4"/>
    <x v="2"/>
    <n v="1"/>
    <n v="2E+20"/>
    <n v="1"/>
    <n v="1"/>
    <n v="1"/>
    <n v="0"/>
    <s v="Unnamed ProjectM2Number ScheduledResource"/>
    <n v="10"/>
    <n v="1"/>
    <n v="0"/>
    <n v="0.95"/>
    <n v="0"/>
    <n v="1"/>
    <n v="1"/>
    <n v="0"/>
  </r>
  <r>
    <x v="0"/>
    <s v="2026-10-16 17:30:57"/>
    <n v="5"/>
    <x v="9"/>
    <x v="1"/>
    <x v="1"/>
    <n v="0.64368437614034602"/>
    <n v="2E+20"/>
    <n v="0"/>
    <n v="4"/>
    <n v="2"/>
    <n v="0"/>
    <s v="Unnamed ProjectM2.QNumber WaitingQueue"/>
    <n v="10"/>
    <n v="1.9414248775037748"/>
    <n v="1.0999712931753487"/>
    <n v="0.95"/>
    <n v="0.78687206094246831"/>
    <n v="0.64368437614034602"/>
    <n v="3.96038812902029"/>
    <n v="0.78687206094246831"/>
  </r>
  <r>
    <x v="0"/>
    <s v="2026-10-16 17:30:57"/>
    <n v="5"/>
    <x v="10"/>
    <x v="2"/>
    <x v="2"/>
    <n v="0.32566726436532201"/>
    <n v="2E+20"/>
    <n v="0"/>
    <n v="1"/>
    <n v="0"/>
    <n v="0"/>
    <s v="Unnamed ProjectM3Instantaneous UtilizationResource"/>
    <n v="10"/>
    <n v="0.38204498745219106"/>
    <n v="2.9603647703352595E-2"/>
    <n v="0.95"/>
    <n v="2.1177173826515884E-2"/>
    <n v="0.32566726436532201"/>
    <n v="0.42511230467838501"/>
    <n v="2.1177173826515884E-2"/>
  </r>
  <r>
    <x v="0"/>
    <s v="2026-10-16 17:30:57"/>
    <n v="5"/>
    <x v="10"/>
    <x v="3"/>
    <x v="2"/>
    <n v="0.65133452873064301"/>
    <n v="2E+20"/>
    <n v="0"/>
    <n v="2"/>
    <n v="0"/>
    <n v="0"/>
    <s v="Unnamed ProjectM3Number BusyResource"/>
    <n v="10"/>
    <n v="0.76408997490438202"/>
    <n v="5.9207295406705232E-2"/>
    <n v="0.95"/>
    <n v="4.2354347653031796E-2"/>
    <n v="0.65133452873064301"/>
    <n v="0.85022460935677002"/>
    <n v="4.2354347653031796E-2"/>
  </r>
  <r>
    <x v="0"/>
    <s v="2026-10-16 17:30:57"/>
    <n v="5"/>
    <x v="10"/>
    <x v="4"/>
    <x v="2"/>
    <n v="2"/>
    <n v="2E+20"/>
    <n v="2"/>
    <n v="2"/>
    <n v="2"/>
    <n v="0"/>
    <s v="Unnamed ProjectM3Number ScheduledResource"/>
    <n v="10"/>
    <n v="2"/>
    <n v="0"/>
    <n v="0.95"/>
    <n v="0"/>
    <n v="2"/>
    <n v="2"/>
    <n v="0"/>
  </r>
  <r>
    <x v="0"/>
    <s v="2026-10-16 17:30:57"/>
    <n v="5"/>
    <x v="11"/>
    <x v="1"/>
    <x v="1"/>
    <n v="1.8506648324325602E-2"/>
    <n v="2E+20"/>
    <n v="0"/>
    <n v="1"/>
    <n v="0"/>
    <n v="0"/>
    <s v="Unnamed ProjectM3.QNumber WaitingQueue"/>
    <n v="10"/>
    <n v="2.5183140573256935E-2"/>
    <n v="6.5933898933538881E-3"/>
    <n v="0.95"/>
    <n v="4.7166269939678878E-3"/>
    <n v="1.7183032756251101E-2"/>
    <n v="3.3093677405251203E-2"/>
    <n v="4.7166269939678878E-3"/>
  </r>
  <r>
    <x v="0"/>
    <s v="2026-10-16 17:30:57"/>
    <n v="5"/>
    <x v="12"/>
    <x v="2"/>
    <x v="2"/>
    <n v="0.60529230314451898"/>
    <n v="2E+20"/>
    <n v="0"/>
    <n v="1"/>
    <n v="1"/>
    <n v="0"/>
    <s v="Unnamed ProjectM4Instantaneous UtilizationResource"/>
    <n v="10"/>
    <n v="0.68948907951108873"/>
    <n v="7.0099805521104841E-2"/>
    <n v="0.95"/>
    <n v="5.0146379986722875E-2"/>
    <n v="0.59708526729729605"/>
    <n v="0.81511052462014799"/>
    <n v="5.0146379986722875E-2"/>
  </r>
  <r>
    <x v="0"/>
    <s v="2026-10-16 17:30:57"/>
    <n v="5"/>
    <x v="12"/>
    <x v="3"/>
    <x v="2"/>
    <n v="0.60529230314451898"/>
    <n v="2E+20"/>
    <n v="0"/>
    <n v="1"/>
    <n v="1"/>
    <n v="0"/>
    <s v="Unnamed ProjectM4Number BusyResource"/>
    <n v="10"/>
    <n v="0.68948907951108873"/>
    <n v="7.0099805521104841E-2"/>
    <n v="0.95"/>
    <n v="5.0146379986722875E-2"/>
    <n v="0.59708526729729605"/>
    <n v="0.81511052462014799"/>
    <n v="5.0146379986722875E-2"/>
  </r>
  <r>
    <x v="0"/>
    <s v="2026-10-16 17:30:57"/>
    <n v="5"/>
    <x v="12"/>
    <x v="4"/>
    <x v="2"/>
    <n v="1"/>
    <n v="2E+20"/>
    <n v="1"/>
    <n v="1"/>
    <n v="1"/>
    <n v="0"/>
    <s v="Unnamed ProjectM4Number ScheduledResource"/>
    <n v="10"/>
    <n v="1"/>
    <n v="0"/>
    <n v="0.95"/>
    <n v="0"/>
    <n v="1"/>
    <n v="1"/>
    <n v="0"/>
  </r>
  <r>
    <x v="0"/>
    <s v="2026-10-16 17:30:57"/>
    <n v="5"/>
    <x v="13"/>
    <x v="1"/>
    <x v="1"/>
    <n v="0.700022328630587"/>
    <n v="2E+20"/>
    <n v="0"/>
    <n v="7"/>
    <n v="4"/>
    <n v="0"/>
    <s v="Unnamed ProjectM4.QNumber WaitingQueue"/>
    <n v="10"/>
    <n v="0.92596780474390472"/>
    <n v="0.23565784373506599"/>
    <n v="0.95"/>
    <n v="0.16857946596203516"/>
    <n v="0.61954382246291895"/>
    <n v="1.4060201140591599"/>
    <n v="0.16857946596203516"/>
  </r>
  <r>
    <x v="0"/>
    <s v="2026-10-16 17:30:57"/>
    <n v="5"/>
    <x v="14"/>
    <x v="2"/>
    <x v="2"/>
    <n v="0.32936941916130702"/>
    <n v="4.9569086054238702E-2"/>
    <n v="0"/>
    <n v="1"/>
    <n v="1"/>
    <n v="0"/>
    <s v="Unnamed ProjectM5Instantaneous UtilizationResource"/>
    <n v="10"/>
    <n v="0.35254112855323727"/>
    <n v="2.0819740340978523E-2"/>
    <n v="0.95"/>
    <n v="1.4893545033435028E-2"/>
    <n v="0.319082016284436"/>
    <n v="0.391918845838306"/>
    <n v="1.4893545033435028E-2"/>
  </r>
  <r>
    <x v="0"/>
    <s v="2026-10-16 17:30:57"/>
    <n v="5"/>
    <x v="14"/>
    <x v="3"/>
    <x v="2"/>
    <n v="0.65873883832261304"/>
    <n v="9.9138172108477404E-2"/>
    <n v="0"/>
    <n v="2"/>
    <n v="2"/>
    <n v="0"/>
    <s v="Unnamed ProjectM5Number BusyResource"/>
    <n v="10"/>
    <n v="0.70508225710647443"/>
    <n v="4.1639480681956775E-2"/>
    <n v="0.95"/>
    <n v="2.9787090066869859E-2"/>
    <n v="0.638164032568872"/>
    <n v="0.78383769167661099"/>
    <n v="2.9787090066869859E-2"/>
  </r>
  <r>
    <x v="0"/>
    <s v="2026-10-16 17:30:57"/>
    <n v="5"/>
    <x v="14"/>
    <x v="4"/>
    <x v="2"/>
    <n v="2"/>
    <n v="2E+20"/>
    <n v="2"/>
    <n v="2"/>
    <n v="2"/>
    <n v="0"/>
    <s v="Unnamed ProjectM5Number ScheduledResource"/>
    <n v="10"/>
    <n v="2"/>
    <n v="0"/>
    <n v="0.95"/>
    <n v="0"/>
    <n v="2"/>
    <n v="2"/>
    <n v="0"/>
  </r>
  <r>
    <x v="0"/>
    <s v="2026-10-16 17:30:57"/>
    <n v="5"/>
    <x v="15"/>
    <x v="1"/>
    <x v="1"/>
    <n v="4.6093873865585402E-2"/>
    <n v="2E+20"/>
    <n v="0"/>
    <n v="4"/>
    <n v="0"/>
    <n v="0"/>
    <s v="Unnamed ProjectM5.QNumber WaitingQueue"/>
    <n v="10"/>
    <n v="4.0588719153078524E-2"/>
    <n v="2.3271584618520549E-2"/>
    <n v="0.95"/>
    <n v="1.6647488769739371E-2"/>
    <n v="1.58912341215269E-2"/>
    <n v="9.0065456910795705E-2"/>
    <n v="1.6647488769739371E-2"/>
  </r>
  <r>
    <x v="0"/>
    <s v="2026-10-16 17:30:57"/>
    <n v="6"/>
    <x v="0"/>
    <x v="0"/>
    <x v="0"/>
    <n v="6.6062166316540001"/>
    <n v="3E+20"/>
    <n v="1"/>
    <n v="16"/>
    <n v="9"/>
    <n v="0"/>
    <s v="Unnamed ProjectEntity 1WIPEntity"/>
    <n v="10"/>
    <n v="6.6735315353875011"/>
    <n v="1.4829188547421246"/>
    <n v="0.95"/>
    <n v="1.0608162437338877"/>
    <n v="4.5894957727661101"/>
    <n v="9.5134854029509093"/>
    <n v="1.0608162437338877"/>
  </r>
  <r>
    <x v="0"/>
    <s v="2026-10-16 17:30:57"/>
    <n v="6"/>
    <x v="1"/>
    <x v="1"/>
    <x v="1"/>
    <n v="0"/>
    <n v="2E+20"/>
    <n v="0"/>
    <n v="0"/>
    <n v="0"/>
    <n v="0"/>
    <s v="Unnamed ProjectHold M1.QueueNumber WaitingQueue"/>
    <n v="10"/>
    <n v="0"/>
    <n v="0"/>
    <n v="0.95"/>
    <n v="0"/>
    <n v="0"/>
    <n v="0"/>
    <n v="0"/>
  </r>
  <r>
    <x v="0"/>
    <s v="2026-10-16 17:30:57"/>
    <n v="6"/>
    <x v="2"/>
    <x v="1"/>
    <x v="1"/>
    <n v="0"/>
    <n v="2E+20"/>
    <n v="0"/>
    <n v="0"/>
    <n v="0"/>
    <n v="0"/>
    <s v="Unnamed ProjectHold M2.QueueNumber WaitingQueue"/>
    <n v="10"/>
    <n v="0"/>
    <n v="0"/>
    <n v="0.95"/>
    <n v="0"/>
    <n v="0"/>
    <n v="0"/>
    <n v="0"/>
  </r>
  <r>
    <x v="0"/>
    <s v="2026-10-16 17:30:57"/>
    <n v="6"/>
    <x v="3"/>
    <x v="1"/>
    <x v="1"/>
    <n v="0"/>
    <n v="2E+20"/>
    <n v="0"/>
    <n v="0"/>
    <n v="0"/>
    <n v="0"/>
    <s v="Unnamed ProjectHold M3.QueueNumber WaitingQueue"/>
    <n v="10"/>
    <n v="0"/>
    <n v="0"/>
    <n v="0.95"/>
    <n v="0"/>
    <n v="0"/>
    <n v="0"/>
    <n v="0"/>
  </r>
  <r>
    <x v="0"/>
    <s v="2026-10-16 17:30:57"/>
    <n v="6"/>
    <x v="4"/>
    <x v="1"/>
    <x v="1"/>
    <n v="0"/>
    <n v="2E+20"/>
    <n v="0"/>
    <n v="0"/>
    <n v="0"/>
    <n v="0"/>
    <s v="Unnamed ProjectHold M4.QueueNumber WaitingQueue"/>
    <n v="10"/>
    <n v="0"/>
    <n v="0"/>
    <n v="0.95"/>
    <n v="0"/>
    <n v="0"/>
    <n v="0"/>
    <n v="0"/>
  </r>
  <r>
    <x v="0"/>
    <s v="2026-10-16 17:30:57"/>
    <n v="6"/>
    <x v="5"/>
    <x v="1"/>
    <x v="1"/>
    <n v="0"/>
    <n v="2E+20"/>
    <n v="0"/>
    <n v="0"/>
    <n v="0"/>
    <n v="0"/>
    <s v="Unnamed ProjectHold M5.QueueNumber WaitingQueue"/>
    <n v="10"/>
    <n v="0"/>
    <n v="0"/>
    <n v="0.95"/>
    <n v="0"/>
    <n v="0"/>
    <n v="0"/>
    <n v="0"/>
  </r>
  <r>
    <x v="0"/>
    <s v="2026-10-16 17:30:57"/>
    <n v="6"/>
    <x v="6"/>
    <x v="2"/>
    <x v="2"/>
    <n v="0.34507357353450202"/>
    <n v="2E+20"/>
    <n v="0"/>
    <n v="1"/>
    <n v="0.5"/>
    <n v="0"/>
    <s v="Unnamed ProjectM1Instantaneous UtilizationResource"/>
    <n v="10"/>
    <n v="0.35418637725041224"/>
    <n v="3.3453936231241439E-2"/>
    <n v="0.95"/>
    <n v="2.3931504314920794E-2"/>
    <n v="0.29539806709730798"/>
    <n v="0.39865120046345498"/>
    <n v="2.3931504314920794E-2"/>
  </r>
  <r>
    <x v="0"/>
    <s v="2026-10-16 17:30:57"/>
    <n v="6"/>
    <x v="6"/>
    <x v="3"/>
    <x v="2"/>
    <n v="0.69014714706900404"/>
    <n v="2E+20"/>
    <n v="0"/>
    <n v="2"/>
    <n v="1"/>
    <n v="0"/>
    <s v="Unnamed ProjectM1Number BusyResource"/>
    <n v="10"/>
    <n v="0.70837275450082438"/>
    <n v="6.6907872462483045E-2"/>
    <n v="0.95"/>
    <n v="4.7863008629841705E-2"/>
    <n v="0.59079613419461596"/>
    <n v="0.79730240092691096"/>
    <n v="4.7863008629841705E-2"/>
  </r>
  <r>
    <x v="0"/>
    <s v="2026-10-16 17:30:57"/>
    <n v="6"/>
    <x v="6"/>
    <x v="4"/>
    <x v="2"/>
    <n v="2"/>
    <n v="2E+20"/>
    <n v="2"/>
    <n v="2"/>
    <n v="2"/>
    <n v="0"/>
    <s v="Unnamed ProjectM1Number ScheduledResource"/>
    <n v="10"/>
    <n v="2"/>
    <n v="0"/>
    <n v="0.95"/>
    <n v="0"/>
    <n v="2"/>
    <n v="2"/>
    <n v="0"/>
  </r>
  <r>
    <x v="0"/>
    <s v="2026-10-16 17:30:57"/>
    <n v="6"/>
    <x v="7"/>
    <x v="1"/>
    <x v="1"/>
    <n v="3.4990004496426703E-2"/>
    <n v="2E+20"/>
    <n v="0"/>
    <n v="2"/>
    <n v="0"/>
    <n v="0"/>
    <s v="Unnamed ProjectM1.QNumber WaitingQueue"/>
    <n v="10"/>
    <n v="8.2638825969756052E-2"/>
    <n v="2.9983492659856659E-2"/>
    <n v="0.95"/>
    <n v="2.1448898539349195E-2"/>
    <n v="3.4990004496426703E-2"/>
    <n v="0.13146637852281401"/>
    <n v="2.1448898539349195E-2"/>
  </r>
  <r>
    <x v="0"/>
    <s v="2026-10-16 17:30:57"/>
    <n v="6"/>
    <x v="8"/>
    <x v="2"/>
    <x v="2"/>
    <n v="0.82323740090020403"/>
    <n v="2E+20"/>
    <n v="0"/>
    <n v="1"/>
    <n v="1"/>
    <n v="0"/>
    <s v="Unnamed ProjectM2Instantaneous UtilizationResource"/>
    <n v="10"/>
    <n v="0.79069410142096264"/>
    <n v="8.4677985904895448E-2"/>
    <n v="0.95"/>
    <n v="6.0574982000753563E-2"/>
    <n v="0.62412916158771403"/>
    <n v="0.92247891730008102"/>
    <n v="6.0574982000753563E-2"/>
  </r>
  <r>
    <x v="0"/>
    <s v="2026-10-16 17:30:57"/>
    <n v="6"/>
    <x v="8"/>
    <x v="3"/>
    <x v="2"/>
    <n v="0.82323740090020403"/>
    <n v="2E+20"/>
    <n v="0"/>
    <n v="1"/>
    <n v="1"/>
    <n v="0"/>
    <s v="Unnamed ProjectM2Number BusyResource"/>
    <n v="10"/>
    <n v="0.79069410142096264"/>
    <n v="8.4677985904895448E-2"/>
    <n v="0.95"/>
    <n v="6.0574982000753563E-2"/>
    <n v="0.62412916158771403"/>
    <n v="0.92247891730008102"/>
    <n v="6.0574982000753563E-2"/>
  </r>
  <r>
    <x v="0"/>
    <s v="2026-10-16 17:30:57"/>
    <n v="6"/>
    <x v="8"/>
    <x v="4"/>
    <x v="2"/>
    <n v="1"/>
    <n v="2E+20"/>
    <n v="1"/>
    <n v="1"/>
    <n v="1"/>
    <n v="0"/>
    <s v="Unnamed ProjectM2Number ScheduledResource"/>
    <n v="10"/>
    <n v="1"/>
    <n v="0"/>
    <n v="0.95"/>
    <n v="0"/>
    <n v="1"/>
    <n v="1"/>
    <n v="0"/>
  </r>
  <r>
    <x v="0"/>
    <s v="2026-10-16 17:30:57"/>
    <n v="6"/>
    <x v="9"/>
    <x v="1"/>
    <x v="1"/>
    <n v="1.7112270440261701"/>
    <n v="2E+20"/>
    <n v="0"/>
    <n v="9"/>
    <n v="1"/>
    <n v="0"/>
    <s v="Unnamed ProjectM2.QNumber WaitingQueue"/>
    <n v="10"/>
    <n v="1.9414248775037748"/>
    <n v="1.0999712931753487"/>
    <n v="0.95"/>
    <n v="0.78687206094246831"/>
    <n v="0.64368437614034602"/>
    <n v="3.96038812902029"/>
    <n v="0.78687206094246831"/>
  </r>
  <r>
    <x v="0"/>
    <s v="2026-10-16 17:30:57"/>
    <n v="6"/>
    <x v="10"/>
    <x v="2"/>
    <x v="2"/>
    <n v="0.39092037028876497"/>
    <n v="4.7629988723500799E-2"/>
    <n v="0"/>
    <n v="1"/>
    <n v="1"/>
    <n v="0"/>
    <s v="Unnamed ProjectM3Instantaneous UtilizationResource"/>
    <n v="10"/>
    <n v="0.38204498745219106"/>
    <n v="2.9603647703352595E-2"/>
    <n v="0.95"/>
    <n v="2.1177173826515884E-2"/>
    <n v="0.32566726436532201"/>
    <n v="0.42511230467838501"/>
    <n v="2.1177173826515884E-2"/>
  </r>
  <r>
    <x v="0"/>
    <s v="2026-10-16 17:30:57"/>
    <n v="6"/>
    <x v="10"/>
    <x v="3"/>
    <x v="2"/>
    <n v="0.78184074057752995"/>
    <n v="9.5259977447001598E-2"/>
    <n v="0"/>
    <n v="2"/>
    <n v="2"/>
    <n v="0"/>
    <s v="Unnamed ProjectM3Number BusyResource"/>
    <n v="10"/>
    <n v="0.76408997490438202"/>
    <n v="5.9207295406705232E-2"/>
    <n v="0.95"/>
    <n v="4.2354347653031796E-2"/>
    <n v="0.65133452873064301"/>
    <n v="0.85022460935677002"/>
    <n v="4.2354347653031796E-2"/>
  </r>
  <r>
    <x v="0"/>
    <s v="2026-10-16 17:30:57"/>
    <n v="6"/>
    <x v="10"/>
    <x v="4"/>
    <x v="2"/>
    <n v="2"/>
    <n v="2E+20"/>
    <n v="2"/>
    <n v="2"/>
    <n v="2"/>
    <n v="0"/>
    <s v="Unnamed ProjectM3Number ScheduledResource"/>
    <n v="10"/>
    <n v="2"/>
    <n v="0"/>
    <n v="0.95"/>
    <n v="0"/>
    <n v="2"/>
    <n v="2"/>
    <n v="0"/>
  </r>
  <r>
    <x v="0"/>
    <s v="2026-10-16 17:30:57"/>
    <n v="6"/>
    <x v="11"/>
    <x v="1"/>
    <x v="1"/>
    <n v="1.7183032756251101E-2"/>
    <n v="2E+20"/>
    <n v="0"/>
    <n v="1"/>
    <n v="0"/>
    <n v="0"/>
    <s v="Unnamed ProjectM3.QNumber WaitingQueue"/>
    <n v="10"/>
    <n v="2.5183140573256935E-2"/>
    <n v="6.5933898933538881E-3"/>
    <n v="0.95"/>
    <n v="4.7166269939678878E-3"/>
    <n v="1.7183032756251101E-2"/>
    <n v="3.3093677405251203E-2"/>
    <n v="4.7166269939678878E-3"/>
  </r>
  <r>
    <x v="0"/>
    <s v="2026-10-16 17:30:57"/>
    <n v="6"/>
    <x v="12"/>
    <x v="2"/>
    <x v="2"/>
    <n v="0.71830326862960303"/>
    <n v="2E+20"/>
    <n v="0"/>
    <n v="1"/>
    <n v="1"/>
    <n v="0"/>
    <s v="Unnamed ProjectM4Instantaneous UtilizationResource"/>
    <n v="10"/>
    <n v="0.68948907951108873"/>
    <n v="7.0099805521104841E-2"/>
    <n v="0.95"/>
    <n v="5.0146379986722875E-2"/>
    <n v="0.59708526729729605"/>
    <n v="0.81511052462014799"/>
    <n v="5.0146379986722875E-2"/>
  </r>
  <r>
    <x v="0"/>
    <s v="2026-10-16 17:30:57"/>
    <n v="6"/>
    <x v="12"/>
    <x v="3"/>
    <x v="2"/>
    <n v="0.71830326862960303"/>
    <n v="2E+20"/>
    <n v="0"/>
    <n v="1"/>
    <n v="1"/>
    <n v="0"/>
    <s v="Unnamed ProjectM4Number BusyResource"/>
    <n v="10"/>
    <n v="0.68948907951108873"/>
    <n v="7.0099805521104841E-2"/>
    <n v="0.95"/>
    <n v="5.0146379986722875E-2"/>
    <n v="0.59708526729729605"/>
    <n v="0.81511052462014799"/>
    <n v="5.0146379986722875E-2"/>
  </r>
  <r>
    <x v="0"/>
    <s v="2026-10-16 17:30:57"/>
    <n v="6"/>
    <x v="12"/>
    <x v="4"/>
    <x v="2"/>
    <n v="1"/>
    <n v="2E+20"/>
    <n v="1"/>
    <n v="1"/>
    <n v="1"/>
    <n v="0"/>
    <s v="Unnamed ProjectM4Number ScheduledResource"/>
    <n v="10"/>
    <n v="1"/>
    <n v="0"/>
    <n v="0.95"/>
    <n v="0"/>
    <n v="1"/>
    <n v="1"/>
    <n v="0"/>
  </r>
  <r>
    <x v="0"/>
    <s v="2026-10-16 17:30:57"/>
    <n v="6"/>
    <x v="13"/>
    <x v="1"/>
    <x v="1"/>
    <n v="1.08363590415651"/>
    <n v="2E+20"/>
    <n v="0"/>
    <n v="9"/>
    <n v="2"/>
    <n v="0"/>
    <s v="Unnamed ProjectM4.QNumber WaitingQueue"/>
    <n v="10"/>
    <n v="0.92596780474390472"/>
    <n v="0.23565784373506599"/>
    <n v="0.95"/>
    <n v="0.16857946596203516"/>
    <n v="0.61954382246291895"/>
    <n v="1.4060201140591599"/>
    <n v="0.16857946596203516"/>
  </r>
  <r>
    <x v="0"/>
    <s v="2026-10-16 17:30:57"/>
    <n v="6"/>
    <x v="14"/>
    <x v="2"/>
    <x v="2"/>
    <n v="0.36488042746038601"/>
    <n v="4.2789202633829397E-2"/>
    <n v="0"/>
    <n v="1"/>
    <n v="0.5"/>
    <n v="0"/>
    <s v="Unnamed ProjectM5Instantaneous UtilizationResource"/>
    <n v="10"/>
    <n v="0.35254112855323727"/>
    <n v="2.0819740340978523E-2"/>
    <n v="0.95"/>
    <n v="1.4893545033435028E-2"/>
    <n v="0.319082016284436"/>
    <n v="0.391918845838306"/>
    <n v="1.4893545033435028E-2"/>
  </r>
  <r>
    <x v="0"/>
    <s v="2026-10-16 17:30:57"/>
    <n v="6"/>
    <x v="14"/>
    <x v="3"/>
    <x v="2"/>
    <n v="0.72976085492077103"/>
    <n v="8.5578405267658794E-2"/>
    <n v="0"/>
    <n v="2"/>
    <n v="1"/>
    <n v="0"/>
    <s v="Unnamed ProjectM5Number BusyResource"/>
    <n v="10"/>
    <n v="0.70508225710647443"/>
    <n v="4.1639480681956775E-2"/>
    <n v="0.95"/>
    <n v="2.9787090066869859E-2"/>
    <n v="0.638164032568872"/>
    <n v="0.78383769167661099"/>
    <n v="2.9787090066869859E-2"/>
  </r>
  <r>
    <x v="0"/>
    <s v="2026-10-16 17:30:57"/>
    <n v="6"/>
    <x v="14"/>
    <x v="4"/>
    <x v="2"/>
    <n v="2"/>
    <n v="2E+20"/>
    <n v="2"/>
    <n v="2"/>
    <n v="2"/>
    <n v="0"/>
    <s v="Unnamed ProjectM5Number ScheduledResource"/>
    <n v="10"/>
    <n v="2"/>
    <n v="0"/>
    <n v="0.95"/>
    <n v="0"/>
    <n v="2"/>
    <n v="2"/>
    <n v="0"/>
  </r>
  <r>
    <x v="0"/>
    <s v="2026-10-16 17:30:57"/>
    <n v="6"/>
    <x v="15"/>
    <x v="1"/>
    <x v="1"/>
    <n v="1.58912341215269E-2"/>
    <n v="2E+20"/>
    <n v="0"/>
    <n v="2"/>
    <n v="0"/>
    <n v="0"/>
    <s v="Unnamed ProjectM5.QNumber WaitingQueue"/>
    <n v="10"/>
    <n v="4.0588719153078524E-2"/>
    <n v="2.3271584618520549E-2"/>
    <n v="0.95"/>
    <n v="1.6647488769739371E-2"/>
    <n v="1.58912341215269E-2"/>
    <n v="9.0065456910795705E-2"/>
    <n v="1.6647488769739371E-2"/>
  </r>
  <r>
    <x v="0"/>
    <s v="2026-10-16 17:30:57"/>
    <n v="7"/>
    <x v="0"/>
    <x v="0"/>
    <x v="0"/>
    <n v="4.94564672961185"/>
    <n v="3E+20"/>
    <n v="0"/>
    <n v="14"/>
    <n v="2"/>
    <n v="0"/>
    <s v="Unnamed ProjectEntity 1WIPEntity"/>
    <n v="10"/>
    <n v="6.6735315353875011"/>
    <n v="1.4829188547421246"/>
    <n v="0.95"/>
    <n v="1.0608162437338877"/>
    <n v="4.5894957727661101"/>
    <n v="9.5134854029509093"/>
    <n v="1.0608162437338877"/>
  </r>
  <r>
    <x v="0"/>
    <s v="2026-10-16 17:30:57"/>
    <n v="7"/>
    <x v="1"/>
    <x v="1"/>
    <x v="1"/>
    <n v="0"/>
    <n v="2E+20"/>
    <n v="0"/>
    <n v="0"/>
    <n v="0"/>
    <n v="0"/>
    <s v="Unnamed ProjectHold M1.QueueNumber WaitingQueue"/>
    <n v="10"/>
    <n v="0"/>
    <n v="0"/>
    <n v="0.95"/>
    <n v="0"/>
    <n v="0"/>
    <n v="0"/>
    <n v="0"/>
  </r>
  <r>
    <x v="0"/>
    <s v="2026-10-16 17:30:57"/>
    <n v="7"/>
    <x v="2"/>
    <x v="1"/>
    <x v="1"/>
    <n v="0"/>
    <n v="2E+20"/>
    <n v="0"/>
    <n v="0"/>
    <n v="0"/>
    <n v="0"/>
    <s v="Unnamed ProjectHold M2.QueueNumber WaitingQueue"/>
    <n v="10"/>
    <n v="0"/>
    <n v="0"/>
    <n v="0.95"/>
    <n v="0"/>
    <n v="0"/>
    <n v="0"/>
    <n v="0"/>
  </r>
  <r>
    <x v="0"/>
    <s v="2026-10-16 17:30:57"/>
    <n v="7"/>
    <x v="3"/>
    <x v="1"/>
    <x v="1"/>
    <n v="0"/>
    <n v="2E+20"/>
    <n v="0"/>
    <n v="0"/>
    <n v="0"/>
    <n v="0"/>
    <s v="Unnamed ProjectHold M3.QueueNumber WaitingQueue"/>
    <n v="10"/>
    <n v="0"/>
    <n v="0"/>
    <n v="0.95"/>
    <n v="0"/>
    <n v="0"/>
    <n v="0"/>
    <n v="0"/>
  </r>
  <r>
    <x v="0"/>
    <s v="2026-10-16 17:30:57"/>
    <n v="7"/>
    <x v="4"/>
    <x v="1"/>
    <x v="1"/>
    <n v="0"/>
    <n v="2E+20"/>
    <n v="0"/>
    <n v="0"/>
    <n v="0"/>
    <n v="0"/>
    <s v="Unnamed ProjectHold M4.QueueNumber WaitingQueue"/>
    <n v="10"/>
    <n v="0"/>
    <n v="0"/>
    <n v="0.95"/>
    <n v="0"/>
    <n v="0"/>
    <n v="0"/>
    <n v="0"/>
  </r>
  <r>
    <x v="0"/>
    <s v="2026-10-16 17:30:57"/>
    <n v="7"/>
    <x v="5"/>
    <x v="1"/>
    <x v="1"/>
    <n v="0"/>
    <n v="2E+20"/>
    <n v="0"/>
    <n v="0"/>
    <n v="0"/>
    <n v="0"/>
    <s v="Unnamed ProjectHold M5.QueueNumber WaitingQueue"/>
    <n v="10"/>
    <n v="0"/>
    <n v="0"/>
    <n v="0.95"/>
    <n v="0"/>
    <n v="0"/>
    <n v="0"/>
    <n v="0"/>
  </r>
  <r>
    <x v="0"/>
    <s v="2026-10-16 17:30:57"/>
    <n v="7"/>
    <x v="6"/>
    <x v="2"/>
    <x v="2"/>
    <n v="0.307504592385202"/>
    <n v="2E+20"/>
    <n v="0"/>
    <n v="1"/>
    <n v="0"/>
    <n v="0"/>
    <s v="Unnamed ProjectM1Instantaneous UtilizationResource"/>
    <n v="10"/>
    <n v="0.35418637725041224"/>
    <n v="3.3453936231241439E-2"/>
    <n v="0.95"/>
    <n v="2.3931504314920794E-2"/>
    <n v="0.29539806709730798"/>
    <n v="0.39865120046345498"/>
    <n v="2.3931504314920794E-2"/>
  </r>
  <r>
    <x v="0"/>
    <s v="2026-10-16 17:30:57"/>
    <n v="7"/>
    <x v="6"/>
    <x v="3"/>
    <x v="2"/>
    <n v="0.61500918477040301"/>
    <n v="2E+20"/>
    <n v="0"/>
    <n v="2"/>
    <n v="0"/>
    <n v="0"/>
    <s v="Unnamed ProjectM1Number BusyResource"/>
    <n v="10"/>
    <n v="0.70837275450082438"/>
    <n v="6.6907872462483045E-2"/>
    <n v="0.95"/>
    <n v="4.7863008629841705E-2"/>
    <n v="0.59079613419461596"/>
    <n v="0.79730240092691096"/>
    <n v="4.7863008629841705E-2"/>
  </r>
  <r>
    <x v="0"/>
    <s v="2026-10-16 17:30:57"/>
    <n v="7"/>
    <x v="6"/>
    <x v="4"/>
    <x v="2"/>
    <n v="2"/>
    <n v="2E+20"/>
    <n v="2"/>
    <n v="2"/>
    <n v="2"/>
    <n v="0"/>
    <s v="Unnamed ProjectM1Number ScheduledResource"/>
    <n v="10"/>
    <n v="2"/>
    <n v="0"/>
    <n v="0.95"/>
    <n v="0"/>
    <n v="2"/>
    <n v="2"/>
    <n v="0"/>
  </r>
  <r>
    <x v="0"/>
    <s v="2026-10-16 17:30:57"/>
    <n v="7"/>
    <x v="7"/>
    <x v="1"/>
    <x v="1"/>
    <n v="8.1723221917591002E-2"/>
    <n v="2E+20"/>
    <n v="0"/>
    <n v="4"/>
    <n v="0"/>
    <n v="0"/>
    <s v="Unnamed ProjectM1.QNumber WaitingQueue"/>
    <n v="10"/>
    <n v="8.2638825969756052E-2"/>
    <n v="2.9983492659856659E-2"/>
    <n v="0.95"/>
    <n v="2.1448898539349195E-2"/>
    <n v="3.4990004496426703E-2"/>
    <n v="0.13146637852281401"/>
    <n v="2.1448898539349195E-2"/>
  </r>
  <r>
    <x v="0"/>
    <s v="2026-10-16 17:30:57"/>
    <n v="7"/>
    <x v="8"/>
    <x v="2"/>
    <x v="2"/>
    <n v="0.69174424328472295"/>
    <n v="2E+20"/>
    <n v="0"/>
    <n v="1"/>
    <n v="1"/>
    <n v="0"/>
    <s v="Unnamed ProjectM2Instantaneous UtilizationResource"/>
    <n v="10"/>
    <n v="0.79069410142096264"/>
    <n v="8.4677985904895448E-2"/>
    <n v="0.95"/>
    <n v="6.0574982000753563E-2"/>
    <n v="0.62412916158771403"/>
    <n v="0.92247891730008102"/>
    <n v="6.0574982000753563E-2"/>
  </r>
  <r>
    <x v="0"/>
    <s v="2026-10-16 17:30:57"/>
    <n v="7"/>
    <x v="8"/>
    <x v="3"/>
    <x v="2"/>
    <n v="0.69174424328472295"/>
    <n v="2E+20"/>
    <n v="0"/>
    <n v="1"/>
    <n v="1"/>
    <n v="0"/>
    <s v="Unnamed ProjectM2Number BusyResource"/>
    <n v="10"/>
    <n v="0.79069410142096264"/>
    <n v="8.4677985904895448E-2"/>
    <n v="0.95"/>
    <n v="6.0574982000753563E-2"/>
    <n v="0.62412916158771403"/>
    <n v="0.92247891730008102"/>
    <n v="6.0574982000753563E-2"/>
  </r>
  <r>
    <x v="0"/>
    <s v="2026-10-16 17:30:57"/>
    <n v="7"/>
    <x v="8"/>
    <x v="4"/>
    <x v="2"/>
    <n v="1"/>
    <n v="2E+20"/>
    <n v="1"/>
    <n v="1"/>
    <n v="1"/>
    <n v="0"/>
    <s v="Unnamed ProjectM2Number ScheduledResource"/>
    <n v="10"/>
    <n v="1"/>
    <n v="0"/>
    <n v="0.95"/>
    <n v="0"/>
    <n v="1"/>
    <n v="1"/>
    <n v="0"/>
  </r>
  <r>
    <x v="0"/>
    <s v="2026-10-16 17:30:57"/>
    <n v="7"/>
    <x v="9"/>
    <x v="1"/>
    <x v="1"/>
    <n v="0.648900457261402"/>
    <n v="2E+20"/>
    <n v="0"/>
    <n v="4"/>
    <n v="0"/>
    <n v="0"/>
    <s v="Unnamed ProjectM2.QNumber WaitingQueue"/>
    <n v="10"/>
    <n v="1.9414248775037748"/>
    <n v="1.0999712931753487"/>
    <n v="0.95"/>
    <n v="0.78687206094246831"/>
    <n v="0.64368437614034602"/>
    <n v="3.96038812902029"/>
    <n v="0.78687206094246831"/>
  </r>
  <r>
    <x v="0"/>
    <s v="2026-10-16 17:30:57"/>
    <n v="7"/>
    <x v="10"/>
    <x v="2"/>
    <x v="2"/>
    <n v="0.36937393500093302"/>
    <n v="2E+20"/>
    <n v="0"/>
    <n v="1"/>
    <n v="0.5"/>
    <n v="0"/>
    <s v="Unnamed ProjectM3Instantaneous UtilizationResource"/>
    <n v="10"/>
    <n v="0.38204498745219106"/>
    <n v="2.9603647703352595E-2"/>
    <n v="0.95"/>
    <n v="2.1177173826515884E-2"/>
    <n v="0.32566726436532201"/>
    <n v="0.42511230467838501"/>
    <n v="2.1177173826515884E-2"/>
  </r>
  <r>
    <x v="0"/>
    <s v="2026-10-16 17:30:57"/>
    <n v="7"/>
    <x v="10"/>
    <x v="3"/>
    <x v="2"/>
    <n v="0.73874787000186504"/>
    <n v="2E+20"/>
    <n v="0"/>
    <n v="2"/>
    <n v="1"/>
    <n v="0"/>
    <s v="Unnamed ProjectM3Number BusyResource"/>
    <n v="10"/>
    <n v="0.76408997490438202"/>
    <n v="5.9207295406705232E-2"/>
    <n v="0.95"/>
    <n v="4.2354347653031796E-2"/>
    <n v="0.65133452873064301"/>
    <n v="0.85022460935677002"/>
    <n v="4.2354347653031796E-2"/>
  </r>
  <r>
    <x v="0"/>
    <s v="2026-10-16 17:30:57"/>
    <n v="7"/>
    <x v="10"/>
    <x v="4"/>
    <x v="2"/>
    <n v="2"/>
    <n v="2E+20"/>
    <n v="2"/>
    <n v="2"/>
    <n v="2"/>
    <n v="0"/>
    <s v="Unnamed ProjectM3Number ScheduledResource"/>
    <n v="10"/>
    <n v="2"/>
    <n v="0"/>
    <n v="0.95"/>
    <n v="0"/>
    <n v="2"/>
    <n v="2"/>
    <n v="0"/>
  </r>
  <r>
    <x v="0"/>
    <s v="2026-10-16 17:30:57"/>
    <n v="7"/>
    <x v="11"/>
    <x v="1"/>
    <x v="1"/>
    <n v="2.9064977154107399E-2"/>
    <n v="2E+20"/>
    <n v="0"/>
    <n v="2"/>
    <n v="0"/>
    <n v="0"/>
    <s v="Unnamed ProjectM3.QNumber WaitingQueue"/>
    <n v="10"/>
    <n v="2.5183140573256935E-2"/>
    <n v="6.5933898933538881E-3"/>
    <n v="0.95"/>
    <n v="4.7166269939678878E-3"/>
    <n v="1.7183032756251101E-2"/>
    <n v="3.3093677405251203E-2"/>
    <n v="4.7166269939678878E-3"/>
  </r>
  <r>
    <x v="0"/>
    <s v="2026-10-16 17:30:57"/>
    <n v="7"/>
    <x v="12"/>
    <x v="2"/>
    <x v="2"/>
    <n v="0.61163391044335702"/>
    <n v="2E+20"/>
    <n v="0"/>
    <n v="1"/>
    <n v="0"/>
    <n v="0"/>
    <s v="Unnamed ProjectM4Instantaneous UtilizationResource"/>
    <n v="10"/>
    <n v="0.68948907951108873"/>
    <n v="7.0099805521104841E-2"/>
    <n v="0.95"/>
    <n v="5.0146379986722875E-2"/>
    <n v="0.59708526729729605"/>
    <n v="0.81511052462014799"/>
    <n v="5.0146379986722875E-2"/>
  </r>
  <r>
    <x v="0"/>
    <s v="2026-10-16 17:30:57"/>
    <n v="7"/>
    <x v="12"/>
    <x v="3"/>
    <x v="2"/>
    <n v="0.61163391044335702"/>
    <n v="2E+20"/>
    <n v="0"/>
    <n v="1"/>
    <n v="0"/>
    <n v="0"/>
    <s v="Unnamed ProjectM4Number BusyResource"/>
    <n v="10"/>
    <n v="0.68948907951108873"/>
    <n v="7.0099805521104841E-2"/>
    <n v="0.95"/>
    <n v="5.0146379986722875E-2"/>
    <n v="0.59708526729729605"/>
    <n v="0.81511052462014799"/>
    <n v="5.0146379986722875E-2"/>
  </r>
  <r>
    <x v="0"/>
    <s v="2026-10-16 17:30:57"/>
    <n v="7"/>
    <x v="12"/>
    <x v="4"/>
    <x v="2"/>
    <n v="1"/>
    <n v="2E+20"/>
    <n v="1"/>
    <n v="1"/>
    <n v="1"/>
    <n v="0"/>
    <s v="Unnamed ProjectM4Number ScheduledResource"/>
    <n v="10"/>
    <n v="1"/>
    <n v="0"/>
    <n v="0.95"/>
    <n v="0"/>
    <n v="1"/>
    <n v="1"/>
    <n v="0"/>
  </r>
  <r>
    <x v="0"/>
    <s v="2026-10-16 17:30:57"/>
    <n v="7"/>
    <x v="13"/>
    <x v="1"/>
    <x v="1"/>
    <n v="0.80016628384350297"/>
    <n v="2E+20"/>
    <n v="0"/>
    <n v="6"/>
    <n v="0"/>
    <n v="0"/>
    <s v="Unnamed ProjectM4.QNumber WaitingQueue"/>
    <n v="10"/>
    <n v="0.92596780474390472"/>
    <n v="0.23565784373506599"/>
    <n v="0.95"/>
    <n v="0.16857946596203516"/>
    <n v="0.61954382246291895"/>
    <n v="1.4060201140591599"/>
    <n v="0.16857946596203516"/>
  </r>
  <r>
    <x v="0"/>
    <s v="2026-10-16 17:30:57"/>
    <n v="7"/>
    <x v="14"/>
    <x v="2"/>
    <x v="2"/>
    <n v="0.34474851090540098"/>
    <n v="4.7384694908339603E-2"/>
    <n v="0"/>
    <n v="1"/>
    <n v="0"/>
    <n v="0"/>
    <s v="Unnamed ProjectM5Instantaneous UtilizationResource"/>
    <n v="10"/>
    <n v="0.35254112855323727"/>
    <n v="2.0819740340978523E-2"/>
    <n v="0.95"/>
    <n v="1.4893545033435028E-2"/>
    <n v="0.319082016284436"/>
    <n v="0.391918845838306"/>
    <n v="1.4893545033435028E-2"/>
  </r>
  <r>
    <x v="0"/>
    <s v="2026-10-16 17:30:57"/>
    <n v="7"/>
    <x v="14"/>
    <x v="3"/>
    <x v="2"/>
    <n v="0.68949702181080297"/>
    <n v="9.4769389816679206E-2"/>
    <n v="0"/>
    <n v="2"/>
    <n v="0"/>
    <n v="0"/>
    <s v="Unnamed ProjectM5Number BusyResource"/>
    <n v="10"/>
    <n v="0.70508225710647443"/>
    <n v="4.1639480681956775E-2"/>
    <n v="0.95"/>
    <n v="2.9787090066869859E-2"/>
    <n v="0.638164032568872"/>
    <n v="0.78383769167661099"/>
    <n v="2.9787090066869859E-2"/>
  </r>
  <r>
    <x v="0"/>
    <s v="2026-10-16 17:30:57"/>
    <n v="7"/>
    <x v="14"/>
    <x v="4"/>
    <x v="2"/>
    <n v="2"/>
    <n v="2E+20"/>
    <n v="2"/>
    <n v="2"/>
    <n v="2"/>
    <n v="0"/>
    <s v="Unnamed ProjectM5Number ScheduledResource"/>
    <n v="10"/>
    <n v="2"/>
    <n v="0"/>
    <n v="0.95"/>
    <n v="0"/>
    <n v="2"/>
    <n v="2"/>
    <n v="0"/>
  </r>
  <r>
    <x v="0"/>
    <s v="2026-10-16 17:30:57"/>
    <n v="7"/>
    <x v="15"/>
    <x v="1"/>
    <x v="1"/>
    <n v="3.91595591240953E-2"/>
    <n v="2E+20"/>
    <n v="0"/>
    <n v="2"/>
    <n v="0"/>
    <n v="0"/>
    <s v="Unnamed ProjectM5.QNumber WaitingQueue"/>
    <n v="10"/>
    <n v="4.0588719153078524E-2"/>
    <n v="2.3271584618520549E-2"/>
    <n v="0.95"/>
    <n v="1.6647488769739371E-2"/>
    <n v="1.58912341215269E-2"/>
    <n v="9.0065456910795705E-2"/>
    <n v="1.6647488769739371E-2"/>
  </r>
  <r>
    <x v="0"/>
    <s v="2026-10-16 17:30:57"/>
    <n v="8"/>
    <x v="0"/>
    <x v="0"/>
    <x v="0"/>
    <n v="8.2111180299106792"/>
    <n v="3E+20"/>
    <n v="0"/>
    <n v="19"/>
    <n v="6"/>
    <n v="0"/>
    <s v="Unnamed ProjectEntity 1WIPEntity"/>
    <n v="10"/>
    <n v="6.6735315353875011"/>
    <n v="1.4829188547421246"/>
    <n v="0.95"/>
    <n v="1.0608162437338877"/>
    <n v="4.5894957727661101"/>
    <n v="9.5134854029509093"/>
    <n v="1.0608162437338877"/>
  </r>
  <r>
    <x v="0"/>
    <s v="2026-10-16 17:30:57"/>
    <n v="8"/>
    <x v="1"/>
    <x v="1"/>
    <x v="1"/>
    <n v="0"/>
    <n v="2E+20"/>
    <n v="0"/>
    <n v="0"/>
    <n v="0"/>
    <n v="0"/>
    <s v="Unnamed ProjectHold M1.QueueNumber WaitingQueue"/>
    <n v="10"/>
    <n v="0"/>
    <n v="0"/>
    <n v="0.95"/>
    <n v="0"/>
    <n v="0"/>
    <n v="0"/>
    <n v="0"/>
  </r>
  <r>
    <x v="0"/>
    <s v="2026-10-16 17:30:57"/>
    <n v="8"/>
    <x v="2"/>
    <x v="1"/>
    <x v="1"/>
    <n v="0"/>
    <n v="2E+20"/>
    <n v="0"/>
    <n v="0"/>
    <n v="0"/>
    <n v="0"/>
    <s v="Unnamed ProjectHold M2.QueueNumber WaitingQueue"/>
    <n v="10"/>
    <n v="0"/>
    <n v="0"/>
    <n v="0.95"/>
    <n v="0"/>
    <n v="0"/>
    <n v="0"/>
    <n v="0"/>
  </r>
  <r>
    <x v="0"/>
    <s v="2026-10-16 17:30:57"/>
    <n v="8"/>
    <x v="3"/>
    <x v="1"/>
    <x v="1"/>
    <n v="0"/>
    <n v="2E+20"/>
    <n v="0"/>
    <n v="0"/>
    <n v="0"/>
    <n v="0"/>
    <s v="Unnamed ProjectHold M3.QueueNumber WaitingQueue"/>
    <n v="10"/>
    <n v="0"/>
    <n v="0"/>
    <n v="0.95"/>
    <n v="0"/>
    <n v="0"/>
    <n v="0"/>
    <n v="0"/>
  </r>
  <r>
    <x v="0"/>
    <s v="2026-10-16 17:30:57"/>
    <n v="8"/>
    <x v="4"/>
    <x v="1"/>
    <x v="1"/>
    <n v="0"/>
    <n v="2E+20"/>
    <n v="0"/>
    <n v="0"/>
    <n v="0"/>
    <n v="0"/>
    <s v="Unnamed ProjectHold M4.QueueNumber WaitingQueue"/>
    <n v="10"/>
    <n v="0"/>
    <n v="0"/>
    <n v="0.95"/>
    <n v="0"/>
    <n v="0"/>
    <n v="0"/>
    <n v="0"/>
  </r>
  <r>
    <x v="0"/>
    <s v="2026-10-16 17:30:57"/>
    <n v="8"/>
    <x v="5"/>
    <x v="1"/>
    <x v="1"/>
    <n v="0"/>
    <n v="2E+20"/>
    <n v="0"/>
    <n v="0"/>
    <n v="0"/>
    <n v="0"/>
    <s v="Unnamed ProjectHold M5.QueueNumber WaitingQueue"/>
    <n v="10"/>
    <n v="0"/>
    <n v="0"/>
    <n v="0.95"/>
    <n v="0"/>
    <n v="0"/>
    <n v="0"/>
    <n v="0"/>
  </r>
  <r>
    <x v="0"/>
    <s v="2026-10-16 17:30:57"/>
    <n v="8"/>
    <x v="6"/>
    <x v="2"/>
    <x v="2"/>
    <n v="0.369814401497774"/>
    <n v="2E+20"/>
    <n v="0"/>
    <n v="1"/>
    <n v="0"/>
    <n v="0"/>
    <s v="Unnamed ProjectM1Instantaneous UtilizationResource"/>
    <n v="10"/>
    <n v="0.35418637725041224"/>
    <n v="3.3453936231241439E-2"/>
    <n v="0.95"/>
    <n v="2.3931504314920794E-2"/>
    <n v="0.29539806709730798"/>
    <n v="0.39865120046345498"/>
    <n v="2.3931504314920794E-2"/>
  </r>
  <r>
    <x v="0"/>
    <s v="2026-10-16 17:30:57"/>
    <n v="8"/>
    <x v="6"/>
    <x v="3"/>
    <x v="2"/>
    <n v="0.73962880299554801"/>
    <n v="2E+20"/>
    <n v="0"/>
    <n v="2"/>
    <n v="0"/>
    <n v="0"/>
    <s v="Unnamed ProjectM1Number BusyResource"/>
    <n v="10"/>
    <n v="0.70837275450082438"/>
    <n v="6.6907872462483045E-2"/>
    <n v="0.95"/>
    <n v="4.7863008629841705E-2"/>
    <n v="0.59079613419461596"/>
    <n v="0.79730240092691096"/>
    <n v="4.7863008629841705E-2"/>
  </r>
  <r>
    <x v="0"/>
    <s v="2026-10-16 17:30:57"/>
    <n v="8"/>
    <x v="6"/>
    <x v="4"/>
    <x v="2"/>
    <n v="2"/>
    <n v="2E+20"/>
    <n v="2"/>
    <n v="2"/>
    <n v="2"/>
    <n v="0"/>
    <s v="Unnamed ProjectM1Number ScheduledResource"/>
    <n v="10"/>
    <n v="2"/>
    <n v="0"/>
    <n v="0.95"/>
    <n v="0"/>
    <n v="2"/>
    <n v="2"/>
    <n v="0"/>
  </r>
  <r>
    <x v="0"/>
    <s v="2026-10-16 17:30:57"/>
    <n v="8"/>
    <x v="7"/>
    <x v="1"/>
    <x v="1"/>
    <n v="5.8272676928987299E-2"/>
    <n v="2E+20"/>
    <n v="0"/>
    <n v="3"/>
    <n v="0"/>
    <n v="0"/>
    <s v="Unnamed ProjectM1.QNumber WaitingQueue"/>
    <n v="10"/>
    <n v="8.2638825969756052E-2"/>
    <n v="2.9983492659856659E-2"/>
    <n v="0.95"/>
    <n v="2.1448898539349195E-2"/>
    <n v="3.4990004496426703E-2"/>
    <n v="0.13146637852281401"/>
    <n v="2.1448898539349195E-2"/>
  </r>
  <r>
    <x v="0"/>
    <s v="2026-10-16 17:30:57"/>
    <n v="8"/>
    <x v="8"/>
    <x v="2"/>
    <x v="2"/>
    <n v="0.83828275425939103"/>
    <n v="2E+20"/>
    <n v="0"/>
    <n v="1"/>
    <n v="1"/>
    <n v="0"/>
    <s v="Unnamed ProjectM2Instantaneous UtilizationResource"/>
    <n v="10"/>
    <n v="0.79069410142096264"/>
    <n v="8.4677985904895448E-2"/>
    <n v="0.95"/>
    <n v="6.0574982000753563E-2"/>
    <n v="0.62412916158771403"/>
    <n v="0.92247891730008102"/>
    <n v="6.0574982000753563E-2"/>
  </r>
  <r>
    <x v="0"/>
    <s v="2026-10-16 17:30:57"/>
    <n v="8"/>
    <x v="8"/>
    <x v="3"/>
    <x v="2"/>
    <n v="0.83828275425939103"/>
    <n v="2E+20"/>
    <n v="0"/>
    <n v="1"/>
    <n v="1"/>
    <n v="0"/>
    <s v="Unnamed ProjectM2Number BusyResource"/>
    <n v="10"/>
    <n v="0.79069410142096264"/>
    <n v="8.4677985904895448E-2"/>
    <n v="0.95"/>
    <n v="6.0574982000753563E-2"/>
    <n v="0.62412916158771403"/>
    <n v="0.92247891730008102"/>
    <n v="6.0574982000753563E-2"/>
  </r>
  <r>
    <x v="0"/>
    <s v="2026-10-16 17:30:57"/>
    <n v="8"/>
    <x v="8"/>
    <x v="4"/>
    <x v="2"/>
    <n v="1"/>
    <n v="2E+20"/>
    <n v="1"/>
    <n v="1"/>
    <n v="1"/>
    <n v="0"/>
    <s v="Unnamed ProjectM2Number ScheduledResource"/>
    <n v="10"/>
    <n v="1"/>
    <n v="0"/>
    <n v="0.95"/>
    <n v="0"/>
    <n v="1"/>
    <n v="1"/>
    <n v="0"/>
  </r>
  <r>
    <x v="0"/>
    <s v="2026-10-16 17:30:57"/>
    <n v="8"/>
    <x v="9"/>
    <x v="1"/>
    <x v="1"/>
    <n v="3.43785650987471"/>
    <n v="2E+20"/>
    <n v="0"/>
    <n v="12"/>
    <n v="2"/>
    <n v="0"/>
    <s v="Unnamed ProjectM2.QNumber WaitingQueue"/>
    <n v="10"/>
    <n v="1.9414248775037748"/>
    <n v="1.0999712931753487"/>
    <n v="0.95"/>
    <n v="0.78687206094246831"/>
    <n v="0.64368437614034602"/>
    <n v="3.96038812902029"/>
    <n v="0.78687206094246831"/>
  </r>
  <r>
    <x v="0"/>
    <s v="2026-10-16 17:30:57"/>
    <n v="8"/>
    <x v="10"/>
    <x v="2"/>
    <x v="2"/>
    <n v="0.405961415248211"/>
    <n v="4.6584393890820003E-2"/>
    <n v="0"/>
    <n v="1"/>
    <n v="0.5"/>
    <n v="0"/>
    <s v="Unnamed ProjectM3Instantaneous UtilizationResource"/>
    <n v="10"/>
    <n v="0.38204498745219106"/>
    <n v="2.9603647703352595E-2"/>
    <n v="0.95"/>
    <n v="2.1177173826515884E-2"/>
    <n v="0.32566726436532201"/>
    <n v="0.42511230467838501"/>
    <n v="2.1177173826515884E-2"/>
  </r>
  <r>
    <x v="0"/>
    <s v="2026-10-16 17:30:57"/>
    <n v="8"/>
    <x v="10"/>
    <x v="3"/>
    <x v="2"/>
    <n v="0.811922830496421"/>
    <n v="9.3168787781639895E-2"/>
    <n v="0"/>
    <n v="2"/>
    <n v="1"/>
    <n v="0"/>
    <s v="Unnamed ProjectM3Number BusyResource"/>
    <n v="10"/>
    <n v="0.76408997490438202"/>
    <n v="5.9207295406705232E-2"/>
    <n v="0.95"/>
    <n v="4.2354347653031796E-2"/>
    <n v="0.65133452873064301"/>
    <n v="0.85022460935677002"/>
    <n v="4.2354347653031796E-2"/>
  </r>
  <r>
    <x v="0"/>
    <s v="2026-10-16 17:30:57"/>
    <n v="8"/>
    <x v="10"/>
    <x v="4"/>
    <x v="2"/>
    <n v="2"/>
    <n v="2E+20"/>
    <n v="2"/>
    <n v="2"/>
    <n v="2"/>
    <n v="0"/>
    <s v="Unnamed ProjectM3Number ScheduledResource"/>
    <n v="10"/>
    <n v="2"/>
    <n v="0"/>
    <n v="0.95"/>
    <n v="0"/>
    <n v="2"/>
    <n v="2"/>
    <n v="0"/>
  </r>
  <r>
    <x v="0"/>
    <s v="2026-10-16 17:30:57"/>
    <n v="8"/>
    <x v="11"/>
    <x v="1"/>
    <x v="1"/>
    <n v="3.2548181546733397E-2"/>
    <n v="2E+20"/>
    <n v="0"/>
    <n v="2"/>
    <n v="0"/>
    <n v="0"/>
    <s v="Unnamed ProjectM3.QNumber WaitingQueue"/>
    <n v="10"/>
    <n v="2.5183140573256935E-2"/>
    <n v="6.5933898933538881E-3"/>
    <n v="0.95"/>
    <n v="4.7166269939678878E-3"/>
    <n v="1.7183032756251101E-2"/>
    <n v="3.3093677405251203E-2"/>
    <n v="4.7166269939678878E-3"/>
  </r>
  <r>
    <x v="0"/>
    <s v="2026-10-16 17:30:57"/>
    <n v="8"/>
    <x v="12"/>
    <x v="2"/>
    <x v="2"/>
    <n v="0.71980118711186403"/>
    <n v="2E+20"/>
    <n v="0"/>
    <n v="1"/>
    <n v="0"/>
    <n v="0"/>
    <s v="Unnamed ProjectM4Instantaneous UtilizationResource"/>
    <n v="10"/>
    <n v="0.68948907951108873"/>
    <n v="7.0099805521104841E-2"/>
    <n v="0.95"/>
    <n v="5.0146379986722875E-2"/>
    <n v="0.59708526729729605"/>
    <n v="0.81511052462014799"/>
    <n v="5.0146379986722875E-2"/>
  </r>
  <r>
    <x v="0"/>
    <s v="2026-10-16 17:30:57"/>
    <n v="8"/>
    <x v="12"/>
    <x v="3"/>
    <x v="2"/>
    <n v="0.71980118711186403"/>
    <n v="2E+20"/>
    <n v="0"/>
    <n v="1"/>
    <n v="0"/>
    <n v="0"/>
    <s v="Unnamed ProjectM4Number BusyResource"/>
    <n v="10"/>
    <n v="0.68948907951108873"/>
    <n v="7.0099805521104841E-2"/>
    <n v="0.95"/>
    <n v="5.0146379986722875E-2"/>
    <n v="0.59708526729729605"/>
    <n v="0.81511052462014799"/>
    <n v="5.0146379986722875E-2"/>
  </r>
  <r>
    <x v="0"/>
    <s v="2026-10-16 17:30:57"/>
    <n v="8"/>
    <x v="12"/>
    <x v="4"/>
    <x v="2"/>
    <n v="1"/>
    <n v="2E+20"/>
    <n v="1"/>
    <n v="1"/>
    <n v="1"/>
    <n v="0"/>
    <s v="Unnamed ProjectM4Number ScheduledResource"/>
    <n v="10"/>
    <n v="1"/>
    <n v="0"/>
    <n v="0.95"/>
    <n v="0"/>
    <n v="1"/>
    <n v="1"/>
    <n v="0"/>
  </r>
  <r>
    <x v="0"/>
    <s v="2026-10-16 17:30:57"/>
    <n v="8"/>
    <x v="13"/>
    <x v="1"/>
    <x v="1"/>
    <n v="0.77944367742144105"/>
    <n v="2E+20"/>
    <n v="0"/>
    <n v="8"/>
    <n v="0"/>
    <n v="0"/>
    <s v="Unnamed ProjectM4.QNumber WaitingQueue"/>
    <n v="10"/>
    <n v="0.92596780474390472"/>
    <n v="0.23565784373506599"/>
    <n v="0.95"/>
    <n v="0.16857946596203516"/>
    <n v="0.61954382246291895"/>
    <n v="1.4060201140591599"/>
    <n v="0.16857946596203516"/>
  </r>
  <r>
    <x v="0"/>
    <s v="2026-10-16 17:30:57"/>
    <n v="8"/>
    <x v="14"/>
    <x v="2"/>
    <x v="2"/>
    <n v="0.35164797618239602"/>
    <n v="4.8603374232487902E-2"/>
    <n v="0"/>
    <n v="1"/>
    <n v="1"/>
    <n v="0"/>
    <s v="Unnamed ProjectM5Instantaneous UtilizationResource"/>
    <n v="10"/>
    <n v="0.35254112855323727"/>
    <n v="2.0819740340978523E-2"/>
    <n v="0.95"/>
    <n v="1.4893545033435028E-2"/>
    <n v="0.319082016284436"/>
    <n v="0.391918845838306"/>
    <n v="1.4893545033435028E-2"/>
  </r>
  <r>
    <x v="0"/>
    <s v="2026-10-16 17:30:57"/>
    <n v="8"/>
    <x v="14"/>
    <x v="3"/>
    <x v="2"/>
    <n v="0.70329595236479303"/>
    <n v="9.7206748464975901E-2"/>
    <n v="0"/>
    <n v="2"/>
    <n v="2"/>
    <n v="0"/>
    <s v="Unnamed ProjectM5Number BusyResource"/>
    <n v="10"/>
    <n v="0.70508225710647443"/>
    <n v="4.1639480681956775E-2"/>
    <n v="0.95"/>
    <n v="2.9787090066869859E-2"/>
    <n v="0.638164032568872"/>
    <n v="0.78383769167661099"/>
    <n v="2.9787090066869859E-2"/>
  </r>
  <r>
    <x v="0"/>
    <s v="2026-10-16 17:30:57"/>
    <n v="8"/>
    <x v="14"/>
    <x v="4"/>
    <x v="2"/>
    <n v="2"/>
    <n v="2E+20"/>
    <n v="2"/>
    <n v="2"/>
    <n v="2"/>
    <n v="0"/>
    <s v="Unnamed ProjectM5Number ScheduledResource"/>
    <n v="10"/>
    <n v="2"/>
    <n v="0"/>
    <n v="0.95"/>
    <n v="0"/>
    <n v="2"/>
    <n v="2"/>
    <n v="0"/>
  </r>
  <r>
    <x v="0"/>
    <s v="2026-10-16 17:30:57"/>
    <n v="8"/>
    <x v="15"/>
    <x v="1"/>
    <x v="1"/>
    <n v="9.0065456910795705E-2"/>
    <n v="2E+20"/>
    <n v="0"/>
    <n v="3"/>
    <n v="0"/>
    <n v="0"/>
    <s v="Unnamed ProjectM5.QNumber WaitingQueue"/>
    <n v="10"/>
    <n v="4.0588719153078524E-2"/>
    <n v="2.3271584618520549E-2"/>
    <n v="0.95"/>
    <n v="1.6647488769739371E-2"/>
    <n v="1.58912341215269E-2"/>
    <n v="9.0065456910795705E-2"/>
    <n v="1.6647488769739371E-2"/>
  </r>
  <r>
    <x v="0"/>
    <s v="2026-10-16 17:30:57"/>
    <n v="9"/>
    <x v="0"/>
    <x v="0"/>
    <x v="0"/>
    <n v="6.8304847503364101"/>
    <n v="3E+20"/>
    <n v="0"/>
    <n v="15"/>
    <n v="12"/>
    <n v="0"/>
    <s v="Unnamed ProjectEntity 1WIPEntity"/>
    <n v="10"/>
    <n v="6.6735315353875011"/>
    <n v="1.4829188547421246"/>
    <n v="0.95"/>
    <n v="1.0608162437338877"/>
    <n v="4.5894957727661101"/>
    <n v="9.5134854029509093"/>
    <n v="1.0608162437338877"/>
  </r>
  <r>
    <x v="0"/>
    <s v="2026-10-16 17:30:57"/>
    <n v="9"/>
    <x v="1"/>
    <x v="1"/>
    <x v="1"/>
    <n v="0"/>
    <n v="2E+20"/>
    <n v="0"/>
    <n v="0"/>
    <n v="0"/>
    <n v="0"/>
    <s v="Unnamed ProjectHold M1.QueueNumber WaitingQueue"/>
    <n v="10"/>
    <n v="0"/>
    <n v="0"/>
    <n v="0.95"/>
    <n v="0"/>
    <n v="0"/>
    <n v="0"/>
    <n v="0"/>
  </r>
  <r>
    <x v="0"/>
    <s v="2026-10-16 17:30:57"/>
    <n v="9"/>
    <x v="2"/>
    <x v="1"/>
    <x v="1"/>
    <n v="0"/>
    <n v="2E+20"/>
    <n v="0"/>
    <n v="0"/>
    <n v="0"/>
    <n v="0"/>
    <s v="Unnamed ProjectHold M2.QueueNumber WaitingQueue"/>
    <n v="10"/>
    <n v="0"/>
    <n v="0"/>
    <n v="0.95"/>
    <n v="0"/>
    <n v="0"/>
    <n v="0"/>
    <n v="0"/>
  </r>
  <r>
    <x v="0"/>
    <s v="2026-10-16 17:30:57"/>
    <n v="9"/>
    <x v="3"/>
    <x v="1"/>
    <x v="1"/>
    <n v="0"/>
    <n v="2E+20"/>
    <n v="0"/>
    <n v="0"/>
    <n v="0"/>
    <n v="0"/>
    <s v="Unnamed ProjectHold M3.QueueNumber WaitingQueue"/>
    <n v="10"/>
    <n v="0"/>
    <n v="0"/>
    <n v="0.95"/>
    <n v="0"/>
    <n v="0"/>
    <n v="0"/>
    <n v="0"/>
  </r>
  <r>
    <x v="0"/>
    <s v="2026-10-16 17:30:57"/>
    <n v="9"/>
    <x v="4"/>
    <x v="1"/>
    <x v="1"/>
    <n v="0"/>
    <n v="2E+20"/>
    <n v="0"/>
    <n v="0"/>
    <n v="0"/>
    <n v="0"/>
    <s v="Unnamed ProjectHold M4.QueueNumber WaitingQueue"/>
    <n v="10"/>
    <n v="0"/>
    <n v="0"/>
    <n v="0.95"/>
    <n v="0"/>
    <n v="0"/>
    <n v="0"/>
    <n v="0"/>
  </r>
  <r>
    <x v="0"/>
    <s v="2026-10-16 17:30:57"/>
    <n v="9"/>
    <x v="5"/>
    <x v="1"/>
    <x v="1"/>
    <n v="0"/>
    <n v="2E+20"/>
    <n v="0"/>
    <n v="0"/>
    <n v="0"/>
    <n v="0"/>
    <s v="Unnamed ProjectHold M5.QueueNumber WaitingQueue"/>
    <n v="10"/>
    <n v="0"/>
    <n v="0"/>
    <n v="0.95"/>
    <n v="0"/>
    <n v="0"/>
    <n v="0"/>
    <n v="0"/>
  </r>
  <r>
    <x v="0"/>
    <s v="2026-10-16 17:30:57"/>
    <n v="9"/>
    <x v="6"/>
    <x v="2"/>
    <x v="2"/>
    <n v="0.38801159974409799"/>
    <n v="2E+20"/>
    <n v="0"/>
    <n v="1"/>
    <n v="0.5"/>
    <n v="0"/>
    <s v="Unnamed ProjectM1Instantaneous UtilizationResource"/>
    <n v="10"/>
    <n v="0.35418637725041224"/>
    <n v="3.3453936231241439E-2"/>
    <n v="0.95"/>
    <n v="2.3931504314920794E-2"/>
    <n v="0.29539806709730798"/>
    <n v="0.39865120046345498"/>
    <n v="2.3931504314920794E-2"/>
  </r>
  <r>
    <x v="0"/>
    <s v="2026-10-16 17:30:57"/>
    <n v="9"/>
    <x v="6"/>
    <x v="3"/>
    <x v="2"/>
    <n v="0.77602319948819598"/>
    <n v="2E+20"/>
    <n v="0"/>
    <n v="2"/>
    <n v="1"/>
    <n v="0"/>
    <s v="Unnamed ProjectM1Number BusyResource"/>
    <n v="10"/>
    <n v="0.70837275450082438"/>
    <n v="6.6907872462483045E-2"/>
    <n v="0.95"/>
    <n v="4.7863008629841705E-2"/>
    <n v="0.59079613419461596"/>
    <n v="0.79730240092691096"/>
    <n v="4.7863008629841705E-2"/>
  </r>
  <r>
    <x v="0"/>
    <s v="2026-10-16 17:30:57"/>
    <n v="9"/>
    <x v="6"/>
    <x v="4"/>
    <x v="2"/>
    <n v="2"/>
    <n v="2E+20"/>
    <n v="2"/>
    <n v="2"/>
    <n v="2"/>
    <n v="0"/>
    <s v="Unnamed ProjectM1Number ScheduledResource"/>
    <n v="10"/>
    <n v="2"/>
    <n v="0"/>
    <n v="0.95"/>
    <n v="0"/>
    <n v="2"/>
    <n v="2"/>
    <n v="0"/>
  </r>
  <r>
    <x v="0"/>
    <s v="2026-10-16 17:30:57"/>
    <n v="9"/>
    <x v="7"/>
    <x v="1"/>
    <x v="1"/>
    <n v="7.4014266629813294E-2"/>
    <n v="2E+20"/>
    <n v="0"/>
    <n v="3"/>
    <n v="0"/>
    <n v="0"/>
    <s v="Unnamed ProjectM1.QNumber WaitingQueue"/>
    <n v="10"/>
    <n v="8.2638825969756052E-2"/>
    <n v="2.9983492659856659E-2"/>
    <n v="0.95"/>
    <n v="2.1448898539349195E-2"/>
    <n v="3.4990004496426703E-2"/>
    <n v="0.13146637852281401"/>
    <n v="2.1448898539349195E-2"/>
  </r>
  <r>
    <x v="0"/>
    <s v="2026-10-16 17:30:57"/>
    <n v="9"/>
    <x v="8"/>
    <x v="2"/>
    <x v="2"/>
    <n v="0.785976599233702"/>
    <n v="2E+20"/>
    <n v="0"/>
    <n v="1"/>
    <n v="1"/>
    <n v="0"/>
    <s v="Unnamed ProjectM2Instantaneous UtilizationResource"/>
    <n v="10"/>
    <n v="0.79069410142096264"/>
    <n v="8.4677985904895448E-2"/>
    <n v="0.95"/>
    <n v="6.0574982000753563E-2"/>
    <n v="0.62412916158771403"/>
    <n v="0.92247891730008102"/>
    <n v="6.0574982000753563E-2"/>
  </r>
  <r>
    <x v="0"/>
    <s v="2026-10-16 17:30:57"/>
    <n v="9"/>
    <x v="8"/>
    <x v="3"/>
    <x v="2"/>
    <n v="0.785976599233702"/>
    <n v="2E+20"/>
    <n v="0"/>
    <n v="1"/>
    <n v="1"/>
    <n v="0"/>
    <s v="Unnamed ProjectM2Number BusyResource"/>
    <n v="10"/>
    <n v="0.79069410142096264"/>
    <n v="8.4677985904895448E-2"/>
    <n v="0.95"/>
    <n v="6.0574982000753563E-2"/>
    <n v="0.62412916158771403"/>
    <n v="0.92247891730008102"/>
    <n v="6.0574982000753563E-2"/>
  </r>
  <r>
    <x v="0"/>
    <s v="2026-10-16 17:30:57"/>
    <n v="9"/>
    <x v="8"/>
    <x v="4"/>
    <x v="2"/>
    <n v="1"/>
    <n v="2E+20"/>
    <n v="1"/>
    <n v="1"/>
    <n v="1"/>
    <n v="0"/>
    <s v="Unnamed ProjectM2Number ScheduledResource"/>
    <n v="10"/>
    <n v="1"/>
    <n v="0"/>
    <n v="0.95"/>
    <n v="0"/>
    <n v="1"/>
    <n v="1"/>
    <n v="0"/>
  </r>
  <r>
    <x v="0"/>
    <s v="2026-10-16 17:30:57"/>
    <n v="9"/>
    <x v="9"/>
    <x v="1"/>
    <x v="1"/>
    <n v="1.77791571404792"/>
    <n v="2E+20"/>
    <n v="0"/>
    <n v="8"/>
    <n v="3"/>
    <n v="0"/>
    <s v="Unnamed ProjectM2.QNumber WaitingQueue"/>
    <n v="10"/>
    <n v="1.9414248775037748"/>
    <n v="1.0999712931753487"/>
    <n v="0.95"/>
    <n v="0.78687206094246831"/>
    <n v="0.64368437614034602"/>
    <n v="3.96038812902029"/>
    <n v="0.78687206094246831"/>
  </r>
  <r>
    <x v="0"/>
    <s v="2026-10-16 17:30:57"/>
    <n v="9"/>
    <x v="10"/>
    <x v="2"/>
    <x v="2"/>
    <n v="0.37226147107938901"/>
    <n v="3E+20"/>
    <n v="0"/>
    <n v="1"/>
    <n v="0"/>
    <n v="0"/>
    <s v="Unnamed ProjectM3Instantaneous UtilizationResource"/>
    <n v="10"/>
    <n v="0.38204498745219106"/>
    <n v="2.9603647703352595E-2"/>
    <n v="0.95"/>
    <n v="2.1177173826515884E-2"/>
    <n v="0.32566726436532201"/>
    <n v="0.42511230467838501"/>
    <n v="2.1177173826515884E-2"/>
  </r>
  <r>
    <x v="0"/>
    <s v="2026-10-16 17:30:57"/>
    <n v="9"/>
    <x v="10"/>
    <x v="3"/>
    <x v="2"/>
    <n v="0.74452294215877801"/>
    <n v="3E+20"/>
    <n v="0"/>
    <n v="2"/>
    <n v="0"/>
    <n v="0"/>
    <s v="Unnamed ProjectM3Number BusyResource"/>
    <n v="10"/>
    <n v="0.76408997490438202"/>
    <n v="5.9207295406705232E-2"/>
    <n v="0.95"/>
    <n v="4.2354347653031796E-2"/>
    <n v="0.65133452873064301"/>
    <n v="0.85022460935677002"/>
    <n v="4.2354347653031796E-2"/>
  </r>
  <r>
    <x v="0"/>
    <s v="2026-10-16 17:30:57"/>
    <n v="9"/>
    <x v="10"/>
    <x v="4"/>
    <x v="2"/>
    <n v="2"/>
    <n v="2E+20"/>
    <n v="2"/>
    <n v="2"/>
    <n v="2"/>
    <n v="0"/>
    <s v="Unnamed ProjectM3Number ScheduledResource"/>
    <n v="10"/>
    <n v="2"/>
    <n v="0"/>
    <n v="0.95"/>
    <n v="0"/>
    <n v="2"/>
    <n v="2"/>
    <n v="0"/>
  </r>
  <r>
    <x v="0"/>
    <s v="2026-10-16 17:30:57"/>
    <n v="9"/>
    <x v="11"/>
    <x v="1"/>
    <x v="1"/>
    <n v="1.85781565677464E-2"/>
    <n v="2E+20"/>
    <n v="0"/>
    <n v="1"/>
    <n v="0"/>
    <n v="0"/>
    <s v="Unnamed ProjectM3.QNumber WaitingQueue"/>
    <n v="10"/>
    <n v="2.5183140573256935E-2"/>
    <n v="6.5933898933538881E-3"/>
    <n v="0.95"/>
    <n v="4.7166269939678878E-3"/>
    <n v="1.7183032756251101E-2"/>
    <n v="3.3093677405251203E-2"/>
    <n v="4.7166269939678878E-3"/>
  </r>
  <r>
    <x v="0"/>
    <s v="2026-10-16 17:30:57"/>
    <n v="9"/>
    <x v="12"/>
    <x v="2"/>
    <x v="2"/>
    <n v="0.72217215637455201"/>
    <n v="2E+20"/>
    <n v="0"/>
    <n v="1"/>
    <n v="1"/>
    <n v="0"/>
    <s v="Unnamed ProjectM4Instantaneous UtilizationResource"/>
    <n v="10"/>
    <n v="0.68948907951108873"/>
    <n v="7.0099805521104841E-2"/>
    <n v="0.95"/>
    <n v="5.0146379986722875E-2"/>
    <n v="0.59708526729729605"/>
    <n v="0.81511052462014799"/>
    <n v="5.0146379986722875E-2"/>
  </r>
  <r>
    <x v="0"/>
    <s v="2026-10-16 17:30:57"/>
    <n v="9"/>
    <x v="12"/>
    <x v="3"/>
    <x v="2"/>
    <n v="0.72217215637455201"/>
    <n v="2E+20"/>
    <n v="0"/>
    <n v="1"/>
    <n v="1"/>
    <n v="0"/>
    <s v="Unnamed ProjectM4Number BusyResource"/>
    <n v="10"/>
    <n v="0.68948907951108873"/>
    <n v="7.0099805521104841E-2"/>
    <n v="0.95"/>
    <n v="5.0146379986722875E-2"/>
    <n v="0.59708526729729605"/>
    <n v="0.81511052462014799"/>
    <n v="5.0146379986722875E-2"/>
  </r>
  <r>
    <x v="0"/>
    <s v="2026-10-16 17:30:57"/>
    <n v="9"/>
    <x v="12"/>
    <x v="4"/>
    <x v="2"/>
    <n v="1"/>
    <n v="2E+20"/>
    <n v="1"/>
    <n v="1"/>
    <n v="1"/>
    <n v="0"/>
    <s v="Unnamed ProjectM4Number ScheduledResource"/>
    <n v="10"/>
    <n v="1"/>
    <n v="0"/>
    <n v="0.95"/>
    <n v="0"/>
    <n v="1"/>
    <n v="1"/>
    <n v="0"/>
  </r>
  <r>
    <x v="0"/>
    <s v="2026-10-16 17:30:57"/>
    <n v="9"/>
    <x v="13"/>
    <x v="1"/>
    <x v="1"/>
    <n v="1.1705129357270601"/>
    <n v="2E+20"/>
    <n v="0"/>
    <n v="6"/>
    <n v="6"/>
    <n v="0"/>
    <s v="Unnamed ProjectM4.QNumber WaitingQueue"/>
    <n v="10"/>
    <n v="0.92596780474390472"/>
    <n v="0.23565784373506599"/>
    <n v="0.95"/>
    <n v="0.16857946596203516"/>
    <n v="0.61954382246291895"/>
    <n v="1.4060201140591599"/>
    <n v="0.16857946596203516"/>
  </r>
  <r>
    <x v="0"/>
    <s v="2026-10-16 17:30:57"/>
    <n v="9"/>
    <x v="14"/>
    <x v="2"/>
    <x v="2"/>
    <n v="0.36650972442579799"/>
    <n v="3.74648248532891E-2"/>
    <n v="0"/>
    <n v="1"/>
    <n v="0"/>
    <n v="0"/>
    <s v="Unnamed ProjectM5Instantaneous UtilizationResource"/>
    <n v="10"/>
    <n v="0.35254112855323727"/>
    <n v="2.0819740340978523E-2"/>
    <n v="0.95"/>
    <n v="1.4893545033435028E-2"/>
    <n v="0.319082016284436"/>
    <n v="0.391918845838306"/>
    <n v="1.4893545033435028E-2"/>
  </r>
  <r>
    <x v="0"/>
    <s v="2026-10-16 17:30:57"/>
    <n v="9"/>
    <x v="14"/>
    <x v="3"/>
    <x v="2"/>
    <n v="0.73301944885159598"/>
    <n v="7.4929649706578103E-2"/>
    <n v="0"/>
    <n v="2"/>
    <n v="0"/>
    <n v="0"/>
    <s v="Unnamed ProjectM5Number BusyResource"/>
    <n v="10"/>
    <n v="0.70508225710647443"/>
    <n v="4.1639480681956775E-2"/>
    <n v="0.95"/>
    <n v="2.9787090066869859E-2"/>
    <n v="0.638164032568872"/>
    <n v="0.78383769167661099"/>
    <n v="2.9787090066869859E-2"/>
  </r>
  <r>
    <x v="0"/>
    <s v="2026-10-16 17:30:57"/>
    <n v="9"/>
    <x v="14"/>
    <x v="4"/>
    <x v="2"/>
    <n v="2"/>
    <n v="2E+20"/>
    <n v="2"/>
    <n v="2"/>
    <n v="2"/>
    <n v="0"/>
    <s v="Unnamed ProjectM5Number ScheduledResource"/>
    <n v="10"/>
    <n v="2"/>
    <n v="0"/>
    <n v="0.95"/>
    <n v="0"/>
    <n v="2"/>
    <n v="2"/>
    <n v="0"/>
  </r>
  <r>
    <x v="0"/>
    <s v="2026-10-16 17:30:57"/>
    <n v="9"/>
    <x v="15"/>
    <x v="1"/>
    <x v="1"/>
    <n v="2.7749331257064701E-2"/>
    <n v="2E+20"/>
    <n v="0"/>
    <n v="2"/>
    <n v="0"/>
    <n v="0"/>
    <s v="Unnamed ProjectM5.QNumber WaitingQueue"/>
    <n v="10"/>
    <n v="4.0588719153078524E-2"/>
    <n v="2.3271584618520549E-2"/>
    <n v="0.95"/>
    <n v="1.6647488769739371E-2"/>
    <n v="1.58912341215269E-2"/>
    <n v="9.0065456910795705E-2"/>
    <n v="1.6647488769739371E-2"/>
  </r>
  <r>
    <x v="0"/>
    <s v="2026-10-16 17:30:57"/>
    <n v="10"/>
    <x v="0"/>
    <x v="0"/>
    <x v="0"/>
    <n v="6.0016564160241703"/>
    <n v="3E+20"/>
    <n v="0"/>
    <n v="17"/>
    <n v="13"/>
    <n v="0"/>
    <s v="Unnamed ProjectEntity 1WIPEntity"/>
    <n v="10"/>
    <n v="6.6735315353875011"/>
    <n v="1.4829188547421246"/>
    <n v="0.95"/>
    <n v="1.0608162437338877"/>
    <n v="4.5894957727661101"/>
    <n v="9.5134854029509093"/>
    <n v="1.0608162437338877"/>
  </r>
  <r>
    <x v="0"/>
    <s v="2026-10-16 17:30:57"/>
    <n v="10"/>
    <x v="1"/>
    <x v="1"/>
    <x v="1"/>
    <n v="0"/>
    <n v="2E+20"/>
    <n v="0"/>
    <n v="0"/>
    <n v="0"/>
    <n v="0"/>
    <s v="Unnamed ProjectHold M1.QueueNumber WaitingQueue"/>
    <n v="10"/>
    <n v="0"/>
    <n v="0"/>
    <n v="0.95"/>
    <n v="0"/>
    <n v="0"/>
    <n v="0"/>
    <n v="0"/>
  </r>
  <r>
    <x v="0"/>
    <s v="2026-10-16 17:30:57"/>
    <n v="10"/>
    <x v="2"/>
    <x v="1"/>
    <x v="1"/>
    <n v="0"/>
    <n v="2E+20"/>
    <n v="0"/>
    <n v="0"/>
    <n v="0"/>
    <n v="0"/>
    <s v="Unnamed ProjectHold M2.QueueNumber WaitingQueue"/>
    <n v="10"/>
    <n v="0"/>
    <n v="0"/>
    <n v="0.95"/>
    <n v="0"/>
    <n v="0"/>
    <n v="0"/>
    <n v="0"/>
  </r>
  <r>
    <x v="0"/>
    <s v="2026-10-16 17:30:57"/>
    <n v="10"/>
    <x v="3"/>
    <x v="1"/>
    <x v="1"/>
    <n v="0"/>
    <n v="2E+20"/>
    <n v="0"/>
    <n v="0"/>
    <n v="0"/>
    <n v="0"/>
    <s v="Unnamed ProjectHold M3.QueueNumber WaitingQueue"/>
    <n v="10"/>
    <n v="0"/>
    <n v="0"/>
    <n v="0.95"/>
    <n v="0"/>
    <n v="0"/>
    <n v="0"/>
    <n v="0"/>
  </r>
  <r>
    <x v="0"/>
    <s v="2026-10-16 17:30:57"/>
    <n v="10"/>
    <x v="4"/>
    <x v="1"/>
    <x v="1"/>
    <n v="0"/>
    <n v="2E+20"/>
    <n v="0"/>
    <n v="0"/>
    <n v="0"/>
    <n v="0"/>
    <s v="Unnamed ProjectHold M4.QueueNumber WaitingQueue"/>
    <n v="10"/>
    <n v="0"/>
    <n v="0"/>
    <n v="0.95"/>
    <n v="0"/>
    <n v="0"/>
    <n v="0"/>
    <n v="0"/>
  </r>
  <r>
    <x v="0"/>
    <s v="2026-10-16 17:30:57"/>
    <n v="10"/>
    <x v="5"/>
    <x v="1"/>
    <x v="1"/>
    <n v="0"/>
    <n v="2E+20"/>
    <n v="0"/>
    <n v="0"/>
    <n v="0"/>
    <n v="0"/>
    <s v="Unnamed ProjectHold M5.QueueNumber WaitingQueue"/>
    <n v="10"/>
    <n v="0"/>
    <n v="0"/>
    <n v="0.95"/>
    <n v="0"/>
    <n v="0"/>
    <n v="0"/>
    <n v="0"/>
  </r>
  <r>
    <x v="0"/>
    <s v="2026-10-16 17:30:57"/>
    <n v="10"/>
    <x v="6"/>
    <x v="2"/>
    <x v="2"/>
    <n v="0.34545460352422602"/>
    <n v="2E+20"/>
    <n v="0"/>
    <n v="1"/>
    <n v="1"/>
    <n v="0"/>
    <s v="Unnamed ProjectM1Instantaneous UtilizationResource"/>
    <n v="10"/>
    <n v="0.35418637725041224"/>
    <n v="3.3453936231241439E-2"/>
    <n v="0.95"/>
    <n v="2.3931504314920794E-2"/>
    <n v="0.29539806709730798"/>
    <n v="0.39865120046345498"/>
    <n v="2.3931504314920794E-2"/>
  </r>
  <r>
    <x v="0"/>
    <s v="2026-10-16 17:30:57"/>
    <n v="10"/>
    <x v="6"/>
    <x v="3"/>
    <x v="2"/>
    <n v="0.69090920704845205"/>
    <n v="2E+20"/>
    <n v="0"/>
    <n v="2"/>
    <n v="2"/>
    <n v="0"/>
    <s v="Unnamed ProjectM1Number BusyResource"/>
    <n v="10"/>
    <n v="0.70837275450082438"/>
    <n v="6.6907872462483045E-2"/>
    <n v="0.95"/>
    <n v="4.7863008629841705E-2"/>
    <n v="0.59079613419461596"/>
    <n v="0.79730240092691096"/>
    <n v="4.7863008629841705E-2"/>
  </r>
  <r>
    <x v="0"/>
    <s v="2026-10-16 17:30:57"/>
    <n v="10"/>
    <x v="6"/>
    <x v="4"/>
    <x v="2"/>
    <n v="2"/>
    <n v="2E+20"/>
    <n v="2"/>
    <n v="2"/>
    <n v="2"/>
    <n v="0"/>
    <s v="Unnamed ProjectM1Number ScheduledResource"/>
    <n v="10"/>
    <n v="2"/>
    <n v="0"/>
    <n v="0.95"/>
    <n v="0"/>
    <n v="2"/>
    <n v="2"/>
    <n v="0"/>
  </r>
  <r>
    <x v="0"/>
    <s v="2026-10-16 17:30:57"/>
    <n v="10"/>
    <x v="7"/>
    <x v="1"/>
    <x v="1"/>
    <n v="9.7226002254163904E-2"/>
    <n v="2E+20"/>
    <n v="0"/>
    <n v="4"/>
    <n v="2"/>
    <n v="0"/>
    <s v="Unnamed ProjectM1.QNumber WaitingQueue"/>
    <n v="10"/>
    <n v="8.2638825969756052E-2"/>
    <n v="2.9983492659856659E-2"/>
    <n v="0.95"/>
    <n v="2.1448898539349195E-2"/>
    <n v="3.4990004496426703E-2"/>
    <n v="0.13146637852281401"/>
    <n v="2.1448898539349195E-2"/>
  </r>
  <r>
    <x v="0"/>
    <s v="2026-10-16 17:30:57"/>
    <n v="10"/>
    <x v="8"/>
    <x v="2"/>
    <x v="2"/>
    <n v="0.74554556159781105"/>
    <n v="2E+20"/>
    <n v="0"/>
    <n v="1"/>
    <n v="1"/>
    <n v="0"/>
    <s v="Unnamed ProjectM2Instantaneous UtilizationResource"/>
    <n v="10"/>
    <n v="0.79069410142096264"/>
    <n v="8.4677985904895448E-2"/>
    <n v="0.95"/>
    <n v="6.0574982000753563E-2"/>
    <n v="0.62412916158771403"/>
    <n v="0.92247891730008102"/>
    <n v="6.0574982000753563E-2"/>
  </r>
  <r>
    <x v="0"/>
    <s v="2026-10-16 17:30:57"/>
    <n v="10"/>
    <x v="8"/>
    <x v="3"/>
    <x v="2"/>
    <n v="0.74554556159781105"/>
    <n v="2E+20"/>
    <n v="0"/>
    <n v="1"/>
    <n v="1"/>
    <n v="0"/>
    <s v="Unnamed ProjectM2Number BusyResource"/>
    <n v="10"/>
    <n v="0.79069410142096264"/>
    <n v="8.4677985904895448E-2"/>
    <n v="0.95"/>
    <n v="6.0574982000753563E-2"/>
    <n v="0.62412916158771403"/>
    <n v="0.92247891730008102"/>
    <n v="6.0574982000753563E-2"/>
  </r>
  <r>
    <x v="0"/>
    <s v="2026-10-16 17:30:57"/>
    <n v="10"/>
    <x v="8"/>
    <x v="4"/>
    <x v="2"/>
    <n v="1"/>
    <n v="2E+20"/>
    <n v="1"/>
    <n v="1"/>
    <n v="1"/>
    <n v="0"/>
    <s v="Unnamed ProjectM2Number ScheduledResource"/>
    <n v="10"/>
    <n v="1"/>
    <n v="0"/>
    <n v="0.95"/>
    <n v="0"/>
    <n v="1"/>
    <n v="1"/>
    <n v="0"/>
  </r>
  <r>
    <x v="0"/>
    <s v="2026-10-16 17:30:57"/>
    <n v="10"/>
    <x v="9"/>
    <x v="1"/>
    <x v="1"/>
    <n v="1.8366395402818101"/>
    <n v="2E+20"/>
    <n v="0"/>
    <n v="8"/>
    <n v="7"/>
    <n v="0"/>
    <s v="Unnamed ProjectM2.QNumber WaitingQueue"/>
    <n v="10"/>
    <n v="1.9414248775037748"/>
    <n v="1.0999712931753487"/>
    <n v="0.95"/>
    <n v="0.78687206094246831"/>
    <n v="0.64368437614034602"/>
    <n v="3.96038812902029"/>
    <n v="0.78687206094246831"/>
  </r>
  <r>
    <x v="0"/>
    <s v="2026-10-16 17:30:57"/>
    <n v="10"/>
    <x v="10"/>
    <x v="2"/>
    <x v="2"/>
    <n v="0.36248067330217498"/>
    <n v="2E+20"/>
    <n v="0"/>
    <n v="1"/>
    <n v="0.5"/>
    <n v="0"/>
    <s v="Unnamed ProjectM3Instantaneous UtilizationResource"/>
    <n v="10"/>
    <n v="0.38204498745219106"/>
    <n v="2.9603647703352595E-2"/>
    <n v="0.95"/>
    <n v="2.1177173826515884E-2"/>
    <n v="0.32566726436532201"/>
    <n v="0.42511230467838501"/>
    <n v="2.1177173826515884E-2"/>
  </r>
  <r>
    <x v="0"/>
    <s v="2026-10-16 17:30:57"/>
    <n v="10"/>
    <x v="10"/>
    <x v="3"/>
    <x v="2"/>
    <n v="0.72496134660435096"/>
    <n v="2E+20"/>
    <n v="0"/>
    <n v="2"/>
    <n v="1"/>
    <n v="0"/>
    <s v="Unnamed ProjectM3Number BusyResource"/>
    <n v="10"/>
    <n v="0.76408997490438202"/>
    <n v="5.9207295406705232E-2"/>
    <n v="0.95"/>
    <n v="4.2354347653031796E-2"/>
    <n v="0.65133452873064301"/>
    <n v="0.85022460935677002"/>
    <n v="4.2354347653031796E-2"/>
  </r>
  <r>
    <x v="0"/>
    <s v="2026-10-16 17:30:57"/>
    <n v="10"/>
    <x v="10"/>
    <x v="4"/>
    <x v="2"/>
    <n v="2"/>
    <n v="2E+20"/>
    <n v="2"/>
    <n v="2"/>
    <n v="2"/>
    <n v="0"/>
    <s v="Unnamed ProjectM3Number ScheduledResource"/>
    <n v="10"/>
    <n v="2"/>
    <n v="0"/>
    <n v="0.95"/>
    <n v="0"/>
    <n v="2"/>
    <n v="2"/>
    <n v="0"/>
  </r>
  <r>
    <x v="0"/>
    <s v="2026-10-16 17:30:57"/>
    <n v="10"/>
    <x v="11"/>
    <x v="1"/>
    <x v="1"/>
    <n v="3.1529923879093202E-2"/>
    <n v="2E+20"/>
    <n v="0"/>
    <n v="2"/>
    <n v="0"/>
    <n v="0"/>
    <s v="Unnamed ProjectM3.QNumber WaitingQueue"/>
    <n v="10"/>
    <n v="2.5183140573256935E-2"/>
    <n v="6.5933898933538881E-3"/>
    <n v="0.95"/>
    <n v="4.7166269939678878E-3"/>
    <n v="1.7183032756251101E-2"/>
    <n v="3.3093677405251203E-2"/>
    <n v="4.7166269939678878E-3"/>
  </r>
  <r>
    <x v="0"/>
    <s v="2026-10-16 17:30:57"/>
    <n v="10"/>
    <x v="12"/>
    <x v="2"/>
    <x v="2"/>
    <n v="0.59708526729729605"/>
    <n v="2E+20"/>
    <n v="0"/>
    <n v="1"/>
    <n v="0"/>
    <n v="0"/>
    <s v="Unnamed ProjectM4Instantaneous UtilizationResource"/>
    <n v="10"/>
    <n v="0.68948907951108873"/>
    <n v="7.0099805521104841E-2"/>
    <n v="0.95"/>
    <n v="5.0146379986722875E-2"/>
    <n v="0.59708526729729605"/>
    <n v="0.81511052462014799"/>
    <n v="5.0146379986722875E-2"/>
  </r>
  <r>
    <x v="0"/>
    <s v="2026-10-16 17:30:57"/>
    <n v="10"/>
    <x v="12"/>
    <x v="3"/>
    <x v="2"/>
    <n v="0.59708526729729605"/>
    <n v="2E+20"/>
    <n v="0"/>
    <n v="1"/>
    <n v="0"/>
    <n v="0"/>
    <s v="Unnamed ProjectM4Number BusyResource"/>
    <n v="10"/>
    <n v="0.68948907951108873"/>
    <n v="7.0099805521104841E-2"/>
    <n v="0.95"/>
    <n v="5.0146379986722875E-2"/>
    <n v="0.59708526729729605"/>
    <n v="0.81511052462014799"/>
    <n v="5.0146379986722875E-2"/>
  </r>
  <r>
    <x v="0"/>
    <s v="2026-10-16 17:30:57"/>
    <n v="10"/>
    <x v="12"/>
    <x v="4"/>
    <x v="2"/>
    <n v="1"/>
    <n v="2E+20"/>
    <n v="1"/>
    <n v="1"/>
    <n v="1"/>
    <n v="0"/>
    <s v="Unnamed ProjectM4Number ScheduledResource"/>
    <n v="10"/>
    <n v="1"/>
    <n v="0"/>
    <n v="0.95"/>
    <n v="0"/>
    <n v="1"/>
    <n v="1"/>
    <n v="0"/>
  </r>
  <r>
    <x v="0"/>
    <s v="2026-10-16 17:30:57"/>
    <n v="10"/>
    <x v="13"/>
    <x v="1"/>
    <x v="1"/>
    <n v="0.61954382246291895"/>
    <n v="2E+20"/>
    <n v="0"/>
    <n v="6"/>
    <n v="0"/>
    <n v="0"/>
    <s v="Unnamed ProjectM4.QNumber WaitingQueue"/>
    <n v="10"/>
    <n v="0.92596780474390472"/>
    <n v="0.23565784373506599"/>
    <n v="0.95"/>
    <n v="0.16857946596203516"/>
    <n v="0.61954382246291895"/>
    <n v="1.4060201140591599"/>
    <n v="0.16857946596203516"/>
  </r>
  <r>
    <x v="0"/>
    <s v="2026-10-16 17:30:57"/>
    <n v="10"/>
    <x v="14"/>
    <x v="2"/>
    <x v="2"/>
    <n v="0.319082016284436"/>
    <n v="4.7254374898114397E-2"/>
    <n v="0"/>
    <n v="1"/>
    <n v="0"/>
    <n v="0"/>
    <s v="Unnamed ProjectM5Instantaneous UtilizationResource"/>
    <n v="10"/>
    <n v="0.35254112855323727"/>
    <n v="2.0819740340978523E-2"/>
    <n v="0.95"/>
    <n v="1.4893545033435028E-2"/>
    <n v="0.319082016284436"/>
    <n v="0.391918845838306"/>
    <n v="1.4893545033435028E-2"/>
  </r>
  <r>
    <x v="0"/>
    <s v="2026-10-16 17:30:57"/>
    <n v="10"/>
    <x v="14"/>
    <x v="3"/>
    <x v="2"/>
    <n v="0.638164032568872"/>
    <n v="9.4508749796228794E-2"/>
    <n v="0"/>
    <n v="2"/>
    <n v="0"/>
    <n v="0"/>
    <s v="Unnamed ProjectM5Number BusyResource"/>
    <n v="10"/>
    <n v="0.70508225710647443"/>
    <n v="4.1639480681956775E-2"/>
    <n v="0.95"/>
    <n v="2.9787090066869859E-2"/>
    <n v="0.638164032568872"/>
    <n v="0.78383769167661099"/>
    <n v="2.9787090066869859E-2"/>
  </r>
  <r>
    <x v="0"/>
    <s v="2026-10-16 17:30:57"/>
    <n v="10"/>
    <x v="14"/>
    <x v="4"/>
    <x v="2"/>
    <n v="2"/>
    <n v="2E+20"/>
    <n v="2"/>
    <n v="2"/>
    <n v="2"/>
    <n v="0"/>
    <s v="Unnamed ProjectM5Number ScheduledResource"/>
    <n v="10"/>
    <n v="2"/>
    <n v="0"/>
    <n v="0.95"/>
    <n v="0"/>
    <n v="2"/>
    <n v="2"/>
    <n v="0"/>
  </r>
  <r>
    <x v="0"/>
    <s v="2026-10-16 17:30:57"/>
    <n v="10"/>
    <x v="15"/>
    <x v="1"/>
    <x v="1"/>
    <n v="2.0051712029402799E-2"/>
    <n v="2E+20"/>
    <n v="0"/>
    <n v="3"/>
    <n v="0"/>
    <n v="0"/>
    <s v="Unnamed ProjectM5.QNumber WaitingQueue"/>
    <n v="10"/>
    <n v="4.0588719153078524E-2"/>
    <n v="2.3271584618520549E-2"/>
    <n v="0.95"/>
    <n v="1.6647488769739371E-2"/>
    <n v="1.58912341215269E-2"/>
    <n v="9.0065456910795705E-2"/>
    <n v="1.6647488769739371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0">
  <r>
    <x v="0"/>
    <s v="2026-10-16 17:30:57"/>
    <n v="1"/>
    <x v="0"/>
    <x v="0"/>
    <x v="0"/>
    <n v="0"/>
    <n v="2E+20"/>
    <n v="0"/>
    <n v="0"/>
    <n v="214"/>
    <s v="Unnamed ProjectEntity 1NVA TimeEntity"/>
    <n v="10"/>
    <n v="0"/>
    <n v="0"/>
    <n v="0.95"/>
    <n v="0"/>
    <n v="0"/>
    <n v="0"/>
    <n v="0"/>
    <n v="0"/>
    <n v="220.7"/>
    <n v="0"/>
    <n v="10"/>
    <n v="1"/>
  </r>
  <r>
    <x v="0"/>
    <s v="2026-10-16 17:30:57"/>
    <n v="1"/>
    <x v="0"/>
    <x v="1"/>
    <x v="0"/>
    <n v="37.272040242740196"/>
    <n v="2E+20"/>
    <n v="14.443621455104299"/>
    <n v="100.303736637589"/>
    <n v="214"/>
    <s v="Unnamed ProjectEntity 1Other TimeEntity"/>
    <n v="10"/>
    <n v="35.690067898217421"/>
    <n v="0.99458640379634877"/>
    <n v="0.95"/>
    <n v="0.71148425254024616"/>
    <n v="34.179375139686798"/>
    <n v="37.272040242740196"/>
    <n v="13.0948236360219"/>
    <n v="102.267336062097"/>
    <n v="220.7"/>
    <n v="0.71148425254024616"/>
    <n v="10"/>
    <n v="1"/>
  </r>
  <r>
    <x v="0"/>
    <s v="2026-10-16 17:30:57"/>
    <n v="1"/>
    <x v="0"/>
    <x v="2"/>
    <x v="0"/>
    <n v="60.069841244992702"/>
    <n v="2E+20"/>
    <n v="14.443621455104299"/>
    <n v="170.51254829757499"/>
    <n v="214"/>
    <s v="Unnamed ProjectEntity 1Total TimeEntity"/>
    <n v="10"/>
    <n v="64.532529133885035"/>
    <n v="10.887938584670717"/>
    <n v="0.95"/>
    <n v="7.7887620583286621"/>
    <n v="50.131846661260099"/>
    <n v="87.273779080717802"/>
    <n v="13.298568495813001"/>
    <n v="320.80718678977303"/>
    <n v="220.7"/>
    <n v="7.7887620583286621"/>
    <n v="10"/>
    <n v="1"/>
  </r>
  <r>
    <x v="0"/>
    <s v="2026-10-16 17:30:57"/>
    <n v="1"/>
    <x v="0"/>
    <x v="3"/>
    <x v="0"/>
    <n v="0"/>
    <n v="2E+20"/>
    <n v="0"/>
    <n v="0"/>
    <n v="214"/>
    <s v="Unnamed ProjectEntity 1Transfer TimeEntity"/>
    <n v="10"/>
    <n v="0"/>
    <n v="0"/>
    <n v="0.95"/>
    <n v="0"/>
    <n v="0"/>
    <n v="0"/>
    <n v="0"/>
    <n v="0"/>
    <n v="220.7"/>
    <n v="0"/>
    <n v="10"/>
    <n v="1"/>
  </r>
  <r>
    <x v="0"/>
    <s v="2026-10-16 17:30:57"/>
    <n v="1"/>
    <x v="0"/>
    <x v="4"/>
    <x v="0"/>
    <n v="0"/>
    <n v="2E+20"/>
    <n v="0"/>
    <n v="0"/>
    <n v="214"/>
    <s v="Unnamed ProjectEntity 1VA TimeEntity"/>
    <n v="10"/>
    <n v="0"/>
    <n v="0"/>
    <n v="0.95"/>
    <n v="0"/>
    <n v="0"/>
    <n v="0"/>
    <n v="0"/>
    <n v="0"/>
    <n v="220.7"/>
    <n v="0"/>
    <n v="10"/>
    <n v="1"/>
  </r>
  <r>
    <x v="0"/>
    <s v="2026-10-16 17:30:57"/>
    <n v="1"/>
    <x v="0"/>
    <x v="5"/>
    <x v="0"/>
    <n v="22.797801002252498"/>
    <n v="2E+20"/>
    <n v="0"/>
    <n v="116.589591933446"/>
    <n v="214"/>
    <s v="Unnamed ProjectEntity 1Wait TimeEntity"/>
    <n v="10"/>
    <n v="28.842461235667599"/>
    <n v="10.580185065953426"/>
    <n v="0.95"/>
    <n v="7.5686084533774753"/>
    <n v="15.242255352523699"/>
    <n v="50.620872918588098"/>
    <n v="0"/>
    <n v="279.27951446189297"/>
    <n v="220.7"/>
    <n v="7.5686084533774753"/>
    <n v="10"/>
    <n v="1"/>
  </r>
  <r>
    <x v="0"/>
    <s v="2026-10-16 17:30:57"/>
    <n v="2"/>
    <x v="0"/>
    <x v="0"/>
    <x v="0"/>
    <n v="0"/>
    <n v="2E+20"/>
    <n v="0"/>
    <n v="0"/>
    <n v="225"/>
    <s v="Unnamed ProjectEntity 1NVA TimeEntity"/>
    <n v="10"/>
    <n v="0"/>
    <n v="0"/>
    <n v="0.95"/>
    <n v="0"/>
    <n v="0"/>
    <n v="0"/>
    <n v="0"/>
    <n v="0"/>
    <n v="220.7"/>
    <n v="0"/>
    <n v="10"/>
    <n v="1"/>
  </r>
  <r>
    <x v="0"/>
    <s v="2026-10-16 17:30:57"/>
    <n v="2"/>
    <x v="0"/>
    <x v="1"/>
    <x v="0"/>
    <n v="36.875351560238698"/>
    <n v="2E+20"/>
    <n v="13.4225842566461"/>
    <n v="85.994446965820998"/>
    <n v="225"/>
    <s v="Unnamed ProjectEntity 1Other TimeEntity"/>
    <n v="10"/>
    <n v="35.690067898217421"/>
    <n v="0.99458640379634877"/>
    <n v="0.95"/>
    <n v="0.71148425254024616"/>
    <n v="34.179375139686798"/>
    <n v="37.272040242740196"/>
    <n v="13.0948236360219"/>
    <n v="102.267336062097"/>
    <n v="220.7"/>
    <n v="0.71148425254024616"/>
    <n v="10"/>
    <n v="1"/>
  </r>
  <r>
    <x v="0"/>
    <s v="2026-10-16 17:30:57"/>
    <n v="2"/>
    <x v="0"/>
    <x v="2"/>
    <x v="0"/>
    <n v="64.637611276371899"/>
    <n v="2E+20"/>
    <n v="16.052333432383602"/>
    <n v="201.58841983052"/>
    <n v="225"/>
    <s v="Unnamed ProjectEntity 1Total TimeEntity"/>
    <n v="10"/>
    <n v="64.532529133885035"/>
    <n v="10.887938584670717"/>
    <n v="0.95"/>
    <n v="7.7887620583286621"/>
    <n v="50.131846661260099"/>
    <n v="87.273779080717802"/>
    <n v="13.298568495813001"/>
    <n v="320.80718678977303"/>
    <n v="220.7"/>
    <n v="7.7887620583286621"/>
    <n v="10"/>
    <n v="1"/>
  </r>
  <r>
    <x v="0"/>
    <s v="2026-10-16 17:30:57"/>
    <n v="2"/>
    <x v="0"/>
    <x v="3"/>
    <x v="0"/>
    <n v="0"/>
    <n v="2E+20"/>
    <n v="0"/>
    <n v="0"/>
    <n v="225"/>
    <s v="Unnamed ProjectEntity 1Transfer TimeEntity"/>
    <n v="10"/>
    <n v="0"/>
    <n v="0"/>
    <n v="0.95"/>
    <n v="0"/>
    <n v="0"/>
    <n v="0"/>
    <n v="0"/>
    <n v="0"/>
    <n v="220.7"/>
    <n v="0"/>
    <n v="10"/>
    <n v="1"/>
  </r>
  <r>
    <x v="0"/>
    <s v="2026-10-16 17:30:57"/>
    <n v="2"/>
    <x v="0"/>
    <x v="4"/>
    <x v="0"/>
    <n v="0"/>
    <n v="2E+20"/>
    <n v="0"/>
    <n v="0"/>
    <n v="225"/>
    <s v="Unnamed ProjectEntity 1VA TimeEntity"/>
    <n v="10"/>
    <n v="0"/>
    <n v="0"/>
    <n v="0.95"/>
    <n v="0"/>
    <n v="0"/>
    <n v="0"/>
    <n v="0"/>
    <n v="0"/>
    <n v="220.7"/>
    <n v="0"/>
    <n v="10"/>
    <n v="1"/>
  </r>
  <r>
    <x v="0"/>
    <s v="2026-10-16 17:30:57"/>
    <n v="2"/>
    <x v="0"/>
    <x v="5"/>
    <x v="0"/>
    <n v="27.762259716133201"/>
    <n v="2E+20"/>
    <n v="0"/>
    <n v="153.73968177546899"/>
    <n v="225"/>
    <s v="Unnamed ProjectEntity 1Wait TimeEntity"/>
    <n v="10"/>
    <n v="28.842461235667599"/>
    <n v="10.580185065953426"/>
    <n v="0.95"/>
    <n v="7.5686084533774753"/>
    <n v="15.242255352523699"/>
    <n v="50.620872918588098"/>
    <n v="0"/>
    <n v="279.27951446189297"/>
    <n v="220.7"/>
    <n v="7.5686084533774753"/>
    <n v="10"/>
    <n v="1"/>
  </r>
  <r>
    <x v="0"/>
    <s v="2026-10-16 17:30:57"/>
    <n v="3"/>
    <x v="0"/>
    <x v="0"/>
    <x v="0"/>
    <n v="0"/>
    <n v="2E+20"/>
    <n v="0"/>
    <n v="0"/>
    <n v="237"/>
    <s v="Unnamed ProjectEntity 1NVA TimeEntity"/>
    <n v="10"/>
    <n v="0"/>
    <n v="0"/>
    <n v="0.95"/>
    <n v="0"/>
    <n v="0"/>
    <n v="0"/>
    <n v="0"/>
    <n v="0"/>
    <n v="220.7"/>
    <n v="0"/>
    <n v="10"/>
    <n v="1"/>
  </r>
  <r>
    <x v="0"/>
    <s v="2026-10-16 17:30:57"/>
    <n v="3"/>
    <x v="0"/>
    <x v="1"/>
    <x v="0"/>
    <n v="36.652906162129703"/>
    <n v="2E+20"/>
    <n v="14.6573601038492"/>
    <n v="102.267336062097"/>
    <n v="237"/>
    <s v="Unnamed ProjectEntity 1Other TimeEntity"/>
    <n v="10"/>
    <n v="35.690067898217421"/>
    <n v="0.99458640379634877"/>
    <n v="0.95"/>
    <n v="0.71148425254024616"/>
    <n v="34.179375139686798"/>
    <n v="37.272040242740196"/>
    <n v="13.0948236360219"/>
    <n v="102.267336062097"/>
    <n v="220.7"/>
    <n v="0.71148425254024616"/>
    <n v="10"/>
    <n v="1"/>
  </r>
  <r>
    <x v="0"/>
    <s v="2026-10-16 17:30:57"/>
    <n v="3"/>
    <x v="0"/>
    <x v="2"/>
    <x v="0"/>
    <n v="87.273779080717802"/>
    <n v="2E+20"/>
    <n v="14.7096057128285"/>
    <n v="320.80718678977303"/>
    <n v="237"/>
    <s v="Unnamed ProjectEntity 1Total TimeEntity"/>
    <n v="10"/>
    <n v="64.532529133885035"/>
    <n v="10.887938584670717"/>
    <n v="0.95"/>
    <n v="7.7887620583286621"/>
    <n v="50.131846661260099"/>
    <n v="87.273779080717802"/>
    <n v="13.298568495813001"/>
    <n v="320.80718678977303"/>
    <n v="220.7"/>
    <n v="7.7887620583286621"/>
    <n v="10"/>
    <n v="1"/>
  </r>
  <r>
    <x v="0"/>
    <s v="2026-10-16 17:30:57"/>
    <n v="3"/>
    <x v="0"/>
    <x v="3"/>
    <x v="0"/>
    <n v="0"/>
    <n v="2E+20"/>
    <n v="0"/>
    <n v="0"/>
    <n v="237"/>
    <s v="Unnamed ProjectEntity 1Transfer TimeEntity"/>
    <n v="10"/>
    <n v="0"/>
    <n v="0"/>
    <n v="0.95"/>
    <n v="0"/>
    <n v="0"/>
    <n v="0"/>
    <n v="0"/>
    <n v="0"/>
    <n v="220.7"/>
    <n v="0"/>
    <n v="10"/>
    <n v="1"/>
  </r>
  <r>
    <x v="0"/>
    <s v="2026-10-16 17:30:57"/>
    <n v="3"/>
    <x v="0"/>
    <x v="4"/>
    <x v="0"/>
    <n v="0"/>
    <n v="2E+20"/>
    <n v="0"/>
    <n v="0"/>
    <n v="237"/>
    <s v="Unnamed ProjectEntity 1VA TimeEntity"/>
    <n v="10"/>
    <n v="0"/>
    <n v="0"/>
    <n v="0.95"/>
    <n v="0"/>
    <n v="0"/>
    <n v="0"/>
    <n v="0"/>
    <n v="0"/>
    <n v="220.7"/>
    <n v="0"/>
    <n v="10"/>
    <n v="1"/>
  </r>
  <r>
    <x v="0"/>
    <s v="2026-10-16 17:30:57"/>
    <n v="3"/>
    <x v="0"/>
    <x v="5"/>
    <x v="0"/>
    <n v="50.620872918588098"/>
    <n v="2E+20"/>
    <n v="0"/>
    <n v="279.27951446189297"/>
    <n v="237"/>
    <s v="Unnamed ProjectEntity 1Wait TimeEntity"/>
    <n v="10"/>
    <n v="28.842461235667599"/>
    <n v="10.580185065953426"/>
    <n v="0.95"/>
    <n v="7.5686084533774753"/>
    <n v="15.242255352523699"/>
    <n v="50.620872918588098"/>
    <n v="0"/>
    <n v="279.27951446189297"/>
    <n v="220.7"/>
    <n v="7.5686084533774753"/>
    <n v="10"/>
    <n v="1"/>
  </r>
  <r>
    <x v="0"/>
    <s v="2026-10-16 17:30:57"/>
    <n v="4"/>
    <x v="0"/>
    <x v="0"/>
    <x v="0"/>
    <n v="0"/>
    <n v="2E+20"/>
    <n v="0"/>
    <n v="0"/>
    <n v="237"/>
    <s v="Unnamed ProjectEntity 1NVA TimeEntity"/>
    <n v="10"/>
    <n v="0"/>
    <n v="0"/>
    <n v="0.95"/>
    <n v="0"/>
    <n v="0"/>
    <n v="0"/>
    <n v="0"/>
    <n v="0"/>
    <n v="220.7"/>
    <n v="0"/>
    <n v="10"/>
    <n v="1"/>
  </r>
  <r>
    <x v="0"/>
    <s v="2026-10-16 17:30:57"/>
    <n v="4"/>
    <x v="0"/>
    <x v="1"/>
    <x v="0"/>
    <n v="36.051549307417801"/>
    <n v="2E+20"/>
    <n v="13.150582652114799"/>
    <n v="101.43584840005801"/>
    <n v="237"/>
    <s v="Unnamed ProjectEntity 1Other TimeEntity"/>
    <n v="10"/>
    <n v="35.690067898217421"/>
    <n v="0.99458640379634877"/>
    <n v="0.95"/>
    <n v="0.71148425254024616"/>
    <n v="34.179375139686798"/>
    <n v="37.272040242740196"/>
    <n v="13.0948236360219"/>
    <n v="102.267336062097"/>
    <n v="220.7"/>
    <n v="0.71148425254024616"/>
    <n v="10"/>
    <n v="1"/>
  </r>
  <r>
    <x v="0"/>
    <s v="2026-10-16 17:30:57"/>
    <n v="4"/>
    <x v="0"/>
    <x v="2"/>
    <x v="0"/>
    <n v="68.486637801001706"/>
    <n v="2E+20"/>
    <n v="13.298568495813001"/>
    <n v="166.61569234640899"/>
    <n v="237"/>
    <s v="Unnamed ProjectEntity 1Total TimeEntity"/>
    <n v="10"/>
    <n v="64.532529133885035"/>
    <n v="10.887938584670717"/>
    <n v="0.95"/>
    <n v="7.7887620583286621"/>
    <n v="50.131846661260099"/>
    <n v="87.273779080717802"/>
    <n v="13.298568495813001"/>
    <n v="320.80718678977303"/>
    <n v="220.7"/>
    <n v="7.7887620583286621"/>
    <n v="10"/>
    <n v="1"/>
  </r>
  <r>
    <x v="0"/>
    <s v="2026-10-16 17:30:57"/>
    <n v="4"/>
    <x v="0"/>
    <x v="3"/>
    <x v="0"/>
    <n v="0"/>
    <n v="2E+20"/>
    <n v="0"/>
    <n v="0"/>
    <n v="237"/>
    <s v="Unnamed ProjectEntity 1Transfer TimeEntity"/>
    <n v="10"/>
    <n v="0"/>
    <n v="0"/>
    <n v="0.95"/>
    <n v="0"/>
    <n v="0"/>
    <n v="0"/>
    <n v="0"/>
    <n v="0"/>
    <n v="220.7"/>
    <n v="0"/>
    <n v="10"/>
    <n v="1"/>
  </r>
  <r>
    <x v="0"/>
    <s v="2026-10-16 17:30:57"/>
    <n v="4"/>
    <x v="0"/>
    <x v="4"/>
    <x v="0"/>
    <n v="0"/>
    <n v="2E+20"/>
    <n v="0"/>
    <n v="0"/>
    <n v="237"/>
    <s v="Unnamed ProjectEntity 1VA TimeEntity"/>
    <n v="10"/>
    <n v="0"/>
    <n v="0"/>
    <n v="0.95"/>
    <n v="0"/>
    <n v="0"/>
    <n v="0"/>
    <n v="0"/>
    <n v="0"/>
    <n v="220.7"/>
    <n v="0"/>
    <n v="10"/>
    <n v="1"/>
  </r>
  <r>
    <x v="0"/>
    <s v="2026-10-16 17:30:57"/>
    <n v="4"/>
    <x v="0"/>
    <x v="5"/>
    <x v="0"/>
    <n v="32.435088493583898"/>
    <n v="2E+20"/>
    <n v="0"/>
    <n v="113.163870531158"/>
    <n v="237"/>
    <s v="Unnamed ProjectEntity 1Wait TimeEntity"/>
    <n v="10"/>
    <n v="28.842461235667599"/>
    <n v="10.580185065953426"/>
    <n v="0.95"/>
    <n v="7.5686084533774753"/>
    <n v="15.242255352523699"/>
    <n v="50.620872918588098"/>
    <n v="0"/>
    <n v="279.27951446189297"/>
    <n v="220.7"/>
    <n v="7.5686084533774753"/>
    <n v="10"/>
    <n v="1"/>
  </r>
  <r>
    <x v="0"/>
    <s v="2026-10-16 17:30:57"/>
    <n v="5"/>
    <x v="0"/>
    <x v="0"/>
    <x v="0"/>
    <n v="0"/>
    <n v="2E+20"/>
    <n v="0"/>
    <n v="0"/>
    <n v="190"/>
    <s v="Unnamed ProjectEntity 1NVA TimeEntity"/>
    <n v="10"/>
    <n v="0"/>
    <n v="0"/>
    <n v="0.95"/>
    <n v="0"/>
    <n v="0"/>
    <n v="0"/>
    <n v="0"/>
    <n v="0"/>
    <n v="220.7"/>
    <n v="0"/>
    <n v="10"/>
    <n v="1"/>
  </r>
  <r>
    <x v="0"/>
    <s v="2026-10-16 17:30:57"/>
    <n v="5"/>
    <x v="0"/>
    <x v="1"/>
    <x v="0"/>
    <n v="34.8895913087363"/>
    <n v="2E+20"/>
    <n v="13.6772970283674"/>
    <n v="100.586486675575"/>
    <n v="190"/>
    <s v="Unnamed ProjectEntity 1Other TimeEntity"/>
    <n v="10"/>
    <n v="35.690067898217421"/>
    <n v="0.99458640379634877"/>
    <n v="0.95"/>
    <n v="0.71148425254024616"/>
    <n v="34.179375139686798"/>
    <n v="37.272040242740196"/>
    <n v="13.0948236360219"/>
    <n v="102.267336062097"/>
    <n v="220.7"/>
    <n v="0.71148425254024616"/>
    <n v="10"/>
    <n v="1"/>
  </r>
  <r>
    <x v="0"/>
    <s v="2026-10-16 17:30:57"/>
    <n v="5"/>
    <x v="0"/>
    <x v="2"/>
    <x v="0"/>
    <n v="50.131846661260099"/>
    <n v="2E+20"/>
    <n v="14.4766449974704"/>
    <n v="141.52007509688099"/>
    <n v="190"/>
    <s v="Unnamed ProjectEntity 1Total TimeEntity"/>
    <n v="10"/>
    <n v="64.532529133885035"/>
    <n v="10.887938584670717"/>
    <n v="0.95"/>
    <n v="7.7887620583286621"/>
    <n v="50.131846661260099"/>
    <n v="87.273779080717802"/>
    <n v="13.298568495813001"/>
    <n v="320.80718678977303"/>
    <n v="220.7"/>
    <n v="7.7887620583286621"/>
    <n v="10"/>
    <n v="1"/>
  </r>
  <r>
    <x v="0"/>
    <s v="2026-10-16 17:30:57"/>
    <n v="5"/>
    <x v="0"/>
    <x v="3"/>
    <x v="0"/>
    <n v="0"/>
    <n v="2E+20"/>
    <n v="0"/>
    <n v="0"/>
    <n v="190"/>
    <s v="Unnamed ProjectEntity 1Transfer TimeEntity"/>
    <n v="10"/>
    <n v="0"/>
    <n v="0"/>
    <n v="0.95"/>
    <n v="0"/>
    <n v="0"/>
    <n v="0"/>
    <n v="0"/>
    <n v="0"/>
    <n v="220.7"/>
    <n v="0"/>
    <n v="10"/>
    <n v="1"/>
  </r>
  <r>
    <x v="0"/>
    <s v="2026-10-16 17:30:57"/>
    <n v="5"/>
    <x v="0"/>
    <x v="4"/>
    <x v="0"/>
    <n v="0"/>
    <n v="2E+20"/>
    <n v="0"/>
    <n v="0"/>
    <n v="190"/>
    <s v="Unnamed ProjectEntity 1VA TimeEntity"/>
    <n v="10"/>
    <n v="0"/>
    <n v="0"/>
    <n v="0.95"/>
    <n v="0"/>
    <n v="0"/>
    <n v="0"/>
    <n v="0"/>
    <n v="0"/>
    <n v="220.7"/>
    <n v="0"/>
    <n v="10"/>
    <n v="1"/>
  </r>
  <r>
    <x v="0"/>
    <s v="2026-10-16 17:30:57"/>
    <n v="5"/>
    <x v="0"/>
    <x v="5"/>
    <x v="0"/>
    <n v="15.242255352523699"/>
    <n v="2E+20"/>
    <n v="0"/>
    <n v="85.790446330171605"/>
    <n v="190"/>
    <s v="Unnamed ProjectEntity 1Wait TimeEntity"/>
    <n v="10"/>
    <n v="28.842461235667599"/>
    <n v="10.580185065953426"/>
    <n v="0.95"/>
    <n v="7.5686084533774753"/>
    <n v="15.242255352523699"/>
    <n v="50.620872918588098"/>
    <n v="0"/>
    <n v="279.27951446189297"/>
    <n v="220.7"/>
    <n v="7.5686084533774753"/>
    <n v="10"/>
    <n v="1"/>
  </r>
  <r>
    <x v="0"/>
    <s v="2026-10-16 17:30:57"/>
    <n v="6"/>
    <x v="0"/>
    <x v="0"/>
    <x v="0"/>
    <n v="0"/>
    <n v="2E+20"/>
    <n v="0"/>
    <n v="0"/>
    <n v="234"/>
    <s v="Unnamed ProjectEntity 1NVA TimeEntity"/>
    <n v="10"/>
    <n v="0"/>
    <n v="0"/>
    <n v="0.95"/>
    <n v="0"/>
    <n v="0"/>
    <n v="0"/>
    <n v="0"/>
    <n v="0"/>
    <n v="220.7"/>
    <n v="0"/>
    <n v="10"/>
    <n v="1"/>
  </r>
  <r>
    <x v="0"/>
    <s v="2026-10-16 17:30:57"/>
    <n v="6"/>
    <x v="0"/>
    <x v="1"/>
    <x v="0"/>
    <n v="34.179375139686798"/>
    <n v="2E+20"/>
    <n v="13.765281528695599"/>
    <n v="100.34059971477301"/>
    <n v="234"/>
    <s v="Unnamed ProjectEntity 1Other TimeEntity"/>
    <n v="10"/>
    <n v="35.690067898217421"/>
    <n v="0.99458640379634877"/>
    <n v="0.95"/>
    <n v="0.71148425254024616"/>
    <n v="34.179375139686798"/>
    <n v="37.272040242740196"/>
    <n v="13.0948236360219"/>
    <n v="102.267336062097"/>
    <n v="220.7"/>
    <n v="0.71148425254024616"/>
    <n v="10"/>
    <n v="1"/>
  </r>
  <r>
    <x v="0"/>
    <s v="2026-10-16 17:30:57"/>
    <n v="6"/>
    <x v="0"/>
    <x v="2"/>
    <x v="0"/>
    <n v="60.825463488973398"/>
    <n v="2E+20"/>
    <n v="13.765281528695599"/>
    <n v="181.95667038154099"/>
    <n v="234"/>
    <s v="Unnamed ProjectEntity 1Total TimeEntity"/>
    <n v="10"/>
    <n v="64.532529133885035"/>
    <n v="10.887938584670717"/>
    <n v="0.95"/>
    <n v="7.7887620583286621"/>
    <n v="50.131846661260099"/>
    <n v="87.273779080717802"/>
    <n v="13.298568495813001"/>
    <n v="320.80718678977303"/>
    <n v="220.7"/>
    <n v="7.7887620583286621"/>
    <n v="10"/>
    <n v="1"/>
  </r>
  <r>
    <x v="0"/>
    <s v="2026-10-16 17:30:57"/>
    <n v="6"/>
    <x v="0"/>
    <x v="3"/>
    <x v="0"/>
    <n v="0"/>
    <n v="2E+20"/>
    <n v="0"/>
    <n v="0"/>
    <n v="234"/>
    <s v="Unnamed ProjectEntity 1Transfer TimeEntity"/>
    <n v="10"/>
    <n v="0"/>
    <n v="0"/>
    <n v="0.95"/>
    <n v="0"/>
    <n v="0"/>
    <n v="0"/>
    <n v="0"/>
    <n v="0"/>
    <n v="220.7"/>
    <n v="0"/>
    <n v="10"/>
    <n v="1"/>
  </r>
  <r>
    <x v="0"/>
    <s v="2026-10-16 17:30:57"/>
    <n v="6"/>
    <x v="0"/>
    <x v="4"/>
    <x v="0"/>
    <n v="0"/>
    <n v="2E+20"/>
    <n v="0"/>
    <n v="0"/>
    <n v="234"/>
    <s v="Unnamed ProjectEntity 1VA TimeEntity"/>
    <n v="10"/>
    <n v="0"/>
    <n v="0"/>
    <n v="0.95"/>
    <n v="0"/>
    <n v="0"/>
    <n v="0"/>
    <n v="0"/>
    <n v="0"/>
    <n v="220.7"/>
    <n v="0"/>
    <n v="10"/>
    <n v="1"/>
  </r>
  <r>
    <x v="0"/>
    <s v="2026-10-16 17:30:57"/>
    <n v="6"/>
    <x v="0"/>
    <x v="5"/>
    <x v="0"/>
    <n v="26.6460883492866"/>
    <n v="2E+20"/>
    <n v="0"/>
    <n v="152.59489297079401"/>
    <n v="234"/>
    <s v="Unnamed ProjectEntity 1Wait TimeEntity"/>
    <n v="10"/>
    <n v="28.842461235667599"/>
    <n v="10.580185065953426"/>
    <n v="0.95"/>
    <n v="7.5686084533774753"/>
    <n v="15.242255352523699"/>
    <n v="50.620872918588098"/>
    <n v="0"/>
    <n v="279.27951446189297"/>
    <n v="220.7"/>
    <n v="7.5686084533774753"/>
    <n v="10"/>
    <n v="1"/>
  </r>
  <r>
    <x v="0"/>
    <s v="2026-10-16 17:30:57"/>
    <n v="7"/>
    <x v="0"/>
    <x v="0"/>
    <x v="0"/>
    <n v="0"/>
    <n v="2E+20"/>
    <n v="0"/>
    <n v="0"/>
    <n v="205"/>
    <s v="Unnamed ProjectEntity 1NVA TimeEntity"/>
    <n v="10"/>
    <n v="0"/>
    <n v="0"/>
    <n v="0.95"/>
    <n v="0"/>
    <n v="0"/>
    <n v="0"/>
    <n v="0"/>
    <n v="0"/>
    <n v="220.7"/>
    <n v="0"/>
    <n v="10"/>
    <n v="1"/>
  </r>
  <r>
    <x v="0"/>
    <s v="2026-10-16 17:30:57"/>
    <n v="7"/>
    <x v="0"/>
    <x v="1"/>
    <x v="0"/>
    <n v="35.551677597995301"/>
    <n v="2E+20"/>
    <n v="14.215976090962201"/>
    <n v="87.601870971646306"/>
    <n v="205"/>
    <s v="Unnamed ProjectEntity 1Other TimeEntity"/>
    <n v="10"/>
    <n v="35.690067898217421"/>
    <n v="0.99458640379634877"/>
    <n v="0.95"/>
    <n v="0.71148425254024616"/>
    <n v="34.179375139686798"/>
    <n v="37.272040242740196"/>
    <n v="13.0948236360219"/>
    <n v="102.267336062097"/>
    <n v="220.7"/>
    <n v="0.71148425254024616"/>
    <n v="10"/>
    <n v="1"/>
  </r>
  <r>
    <x v="0"/>
    <s v="2026-10-16 17:30:57"/>
    <n v="7"/>
    <x v="0"/>
    <x v="2"/>
    <x v="0"/>
    <n v="52.463472036712098"/>
    <n v="2E+20"/>
    <n v="14.313289999954099"/>
    <n v="206.495741812067"/>
    <n v="205"/>
    <s v="Unnamed ProjectEntity 1Total TimeEntity"/>
    <n v="10"/>
    <n v="64.532529133885035"/>
    <n v="10.887938584670717"/>
    <n v="0.95"/>
    <n v="7.7887620583286621"/>
    <n v="50.131846661260099"/>
    <n v="87.273779080717802"/>
    <n v="13.298568495813001"/>
    <n v="320.80718678977303"/>
    <n v="220.7"/>
    <n v="7.7887620583286621"/>
    <n v="10"/>
    <n v="1"/>
  </r>
  <r>
    <x v="0"/>
    <s v="2026-10-16 17:30:57"/>
    <n v="7"/>
    <x v="0"/>
    <x v="3"/>
    <x v="0"/>
    <n v="0"/>
    <n v="2E+20"/>
    <n v="0"/>
    <n v="0"/>
    <n v="205"/>
    <s v="Unnamed ProjectEntity 1Transfer TimeEntity"/>
    <n v="10"/>
    <n v="0"/>
    <n v="0"/>
    <n v="0.95"/>
    <n v="0"/>
    <n v="0"/>
    <n v="0"/>
    <n v="0"/>
    <n v="0"/>
    <n v="220.7"/>
    <n v="0"/>
    <n v="10"/>
    <n v="1"/>
  </r>
  <r>
    <x v="0"/>
    <s v="2026-10-16 17:30:57"/>
    <n v="7"/>
    <x v="0"/>
    <x v="4"/>
    <x v="0"/>
    <n v="0"/>
    <n v="2E+20"/>
    <n v="0"/>
    <n v="0"/>
    <n v="205"/>
    <s v="Unnamed ProjectEntity 1VA TimeEntity"/>
    <n v="10"/>
    <n v="0"/>
    <n v="0"/>
    <n v="0.95"/>
    <n v="0"/>
    <n v="0"/>
    <n v="0"/>
    <n v="0"/>
    <n v="0"/>
    <n v="220.7"/>
    <n v="0"/>
    <n v="10"/>
    <n v="1"/>
  </r>
  <r>
    <x v="0"/>
    <s v="2026-10-16 17:30:57"/>
    <n v="7"/>
    <x v="0"/>
    <x v="5"/>
    <x v="0"/>
    <n v="16.911794438716701"/>
    <n v="2E+20"/>
    <n v="0"/>
    <n v="134.14586167115701"/>
    <n v="205"/>
    <s v="Unnamed ProjectEntity 1Wait TimeEntity"/>
    <n v="10"/>
    <n v="28.842461235667599"/>
    <n v="10.580185065953426"/>
    <n v="0.95"/>
    <n v="7.5686084533774753"/>
    <n v="15.242255352523699"/>
    <n v="50.620872918588098"/>
    <n v="0"/>
    <n v="279.27951446189297"/>
    <n v="220.7"/>
    <n v="7.5686084533774753"/>
    <n v="10"/>
    <n v="1"/>
  </r>
  <r>
    <x v="0"/>
    <s v="2026-10-16 17:30:57"/>
    <n v="8"/>
    <x v="0"/>
    <x v="0"/>
    <x v="0"/>
    <n v="0"/>
    <n v="2E+20"/>
    <n v="0"/>
    <n v="0"/>
    <n v="231"/>
    <s v="Unnamed ProjectEntity 1NVA TimeEntity"/>
    <n v="10"/>
    <n v="0"/>
    <n v="0"/>
    <n v="0.95"/>
    <n v="0"/>
    <n v="0"/>
    <n v="0"/>
    <n v="0"/>
    <n v="0"/>
    <n v="220.7"/>
    <n v="0"/>
    <n v="10"/>
    <n v="1"/>
  </r>
  <r>
    <x v="0"/>
    <s v="2026-10-16 17:30:57"/>
    <n v="8"/>
    <x v="0"/>
    <x v="1"/>
    <x v="0"/>
    <n v="35.371198581048297"/>
    <n v="2E+20"/>
    <n v="14.3546005861322"/>
    <n v="99.895795990400799"/>
    <n v="231"/>
    <s v="Unnamed ProjectEntity 1Other TimeEntity"/>
    <n v="10"/>
    <n v="35.690067898217421"/>
    <n v="0.99458640379634877"/>
    <n v="0.95"/>
    <n v="0.71148425254024616"/>
    <n v="34.179375139686798"/>
    <n v="37.272040242740196"/>
    <n v="13.0948236360219"/>
    <n v="102.267336062097"/>
    <n v="220.7"/>
    <n v="0.71148425254024616"/>
    <n v="10"/>
    <n v="1"/>
  </r>
  <r>
    <x v="0"/>
    <s v="2026-10-16 17:30:57"/>
    <n v="8"/>
    <x v="0"/>
    <x v="2"/>
    <x v="0"/>
    <n v="76.301845164431299"/>
    <n v="2E+20"/>
    <n v="14.652348288828501"/>
    <n v="225.29751973364401"/>
    <n v="231"/>
    <s v="Unnamed ProjectEntity 1Total TimeEntity"/>
    <n v="10"/>
    <n v="64.532529133885035"/>
    <n v="10.887938584670717"/>
    <n v="0.95"/>
    <n v="7.7887620583286621"/>
    <n v="50.131846661260099"/>
    <n v="87.273779080717802"/>
    <n v="13.298568495813001"/>
    <n v="320.80718678977303"/>
    <n v="220.7"/>
    <n v="7.7887620583286621"/>
    <n v="10"/>
    <n v="1"/>
  </r>
  <r>
    <x v="0"/>
    <s v="2026-10-16 17:30:57"/>
    <n v="8"/>
    <x v="0"/>
    <x v="3"/>
    <x v="0"/>
    <n v="0"/>
    <n v="2E+20"/>
    <n v="0"/>
    <n v="0"/>
    <n v="231"/>
    <s v="Unnamed ProjectEntity 1Transfer TimeEntity"/>
    <n v="10"/>
    <n v="0"/>
    <n v="0"/>
    <n v="0.95"/>
    <n v="0"/>
    <n v="0"/>
    <n v="0"/>
    <n v="0"/>
    <n v="0"/>
    <n v="220.7"/>
    <n v="0"/>
    <n v="10"/>
    <n v="1"/>
  </r>
  <r>
    <x v="0"/>
    <s v="2026-10-16 17:30:57"/>
    <n v="8"/>
    <x v="0"/>
    <x v="4"/>
    <x v="0"/>
    <n v="0"/>
    <n v="2E+20"/>
    <n v="0"/>
    <n v="0"/>
    <n v="231"/>
    <s v="Unnamed ProjectEntity 1VA TimeEntity"/>
    <n v="10"/>
    <n v="0"/>
    <n v="0"/>
    <n v="0.95"/>
    <n v="0"/>
    <n v="0"/>
    <n v="0"/>
    <n v="0"/>
    <n v="0"/>
    <n v="220.7"/>
    <n v="0"/>
    <n v="10"/>
    <n v="1"/>
  </r>
  <r>
    <x v="0"/>
    <s v="2026-10-16 17:30:57"/>
    <n v="8"/>
    <x v="0"/>
    <x v="5"/>
    <x v="0"/>
    <n v="40.930646583383101"/>
    <n v="2E+20"/>
    <n v="0"/>
    <n v="154.35363721484299"/>
    <n v="231"/>
    <s v="Unnamed ProjectEntity 1Wait TimeEntity"/>
    <n v="10"/>
    <n v="28.842461235667599"/>
    <n v="10.580185065953426"/>
    <n v="0.95"/>
    <n v="7.5686084533774753"/>
    <n v="15.242255352523699"/>
    <n v="50.620872918588098"/>
    <n v="0"/>
    <n v="279.27951446189297"/>
    <n v="220.7"/>
    <n v="7.5686084533774753"/>
    <n v="10"/>
    <n v="1"/>
  </r>
  <r>
    <x v="0"/>
    <s v="2026-10-16 17:30:57"/>
    <n v="9"/>
    <x v="0"/>
    <x v="0"/>
    <x v="0"/>
    <n v="0"/>
    <n v="2E+20"/>
    <n v="0"/>
    <n v="0"/>
    <n v="224"/>
    <s v="Unnamed ProjectEntity 1NVA TimeEntity"/>
    <n v="10"/>
    <n v="0"/>
    <n v="0"/>
    <n v="0.95"/>
    <n v="0"/>
    <n v="0"/>
    <n v="0"/>
    <n v="0"/>
    <n v="0"/>
    <n v="220.7"/>
    <n v="0"/>
    <n v="10"/>
    <n v="1"/>
  </r>
  <r>
    <x v="0"/>
    <s v="2026-10-16 17:30:57"/>
    <n v="9"/>
    <x v="0"/>
    <x v="1"/>
    <x v="0"/>
    <n v="35.124451120532797"/>
    <n v="2E+20"/>
    <n v="13.0948236360219"/>
    <n v="99.8488388297949"/>
    <n v="224"/>
    <s v="Unnamed ProjectEntity 1Other TimeEntity"/>
    <n v="10"/>
    <n v="35.690067898217421"/>
    <n v="0.99458640379634877"/>
    <n v="0.95"/>
    <n v="0.71148425254024616"/>
    <n v="34.179375139686798"/>
    <n v="37.272040242740196"/>
    <n v="13.0948236360219"/>
    <n v="102.267336062097"/>
    <n v="220.7"/>
    <n v="0.71148425254024616"/>
    <n v="10"/>
    <n v="1"/>
  </r>
  <r>
    <x v="0"/>
    <s v="2026-10-16 17:30:57"/>
    <n v="9"/>
    <x v="0"/>
    <x v="2"/>
    <x v="0"/>
    <n v="63.333684751580599"/>
    <n v="2E+20"/>
    <n v="14.550630517451699"/>
    <n v="201.254374281373"/>
    <n v="224"/>
    <s v="Unnamed ProjectEntity 1Total TimeEntity"/>
    <n v="10"/>
    <n v="64.532529133885035"/>
    <n v="10.887938584670717"/>
    <n v="0.95"/>
    <n v="7.7887620583286621"/>
    <n v="50.131846661260099"/>
    <n v="87.273779080717802"/>
    <n v="13.298568495813001"/>
    <n v="320.80718678977303"/>
    <n v="220.7"/>
    <n v="7.7887620583286621"/>
    <n v="10"/>
    <n v="1"/>
  </r>
  <r>
    <x v="0"/>
    <s v="2026-10-16 17:30:57"/>
    <n v="9"/>
    <x v="0"/>
    <x v="3"/>
    <x v="0"/>
    <n v="0"/>
    <n v="2E+20"/>
    <n v="0"/>
    <n v="0"/>
    <n v="224"/>
    <s v="Unnamed ProjectEntity 1Transfer TimeEntity"/>
    <n v="10"/>
    <n v="0"/>
    <n v="0"/>
    <n v="0.95"/>
    <n v="0"/>
    <n v="0"/>
    <n v="0"/>
    <n v="0"/>
    <n v="0"/>
    <n v="220.7"/>
    <n v="0"/>
    <n v="10"/>
    <n v="1"/>
  </r>
  <r>
    <x v="0"/>
    <s v="2026-10-16 17:30:57"/>
    <n v="9"/>
    <x v="0"/>
    <x v="4"/>
    <x v="0"/>
    <n v="0"/>
    <n v="2E+20"/>
    <n v="0"/>
    <n v="0"/>
    <n v="224"/>
    <s v="Unnamed ProjectEntity 1VA TimeEntity"/>
    <n v="10"/>
    <n v="0"/>
    <n v="0"/>
    <n v="0.95"/>
    <n v="0"/>
    <n v="0"/>
    <n v="0"/>
    <n v="0"/>
    <n v="0"/>
    <n v="220.7"/>
    <n v="0"/>
    <n v="10"/>
    <n v="1"/>
  </r>
  <r>
    <x v="0"/>
    <s v="2026-10-16 17:30:57"/>
    <n v="9"/>
    <x v="0"/>
    <x v="5"/>
    <x v="0"/>
    <n v="28.209233631047901"/>
    <n v="2E+20"/>
    <n v="0"/>
    <n v="154.43617758344101"/>
    <n v="224"/>
    <s v="Unnamed ProjectEntity 1Wait TimeEntity"/>
    <n v="10"/>
    <n v="28.842461235667599"/>
    <n v="10.580185065953426"/>
    <n v="0.95"/>
    <n v="7.5686084533774753"/>
    <n v="15.242255352523699"/>
    <n v="50.620872918588098"/>
    <n v="0"/>
    <n v="279.27951446189297"/>
    <n v="220.7"/>
    <n v="7.5686084533774753"/>
    <n v="10"/>
    <n v="1"/>
  </r>
  <r>
    <x v="0"/>
    <s v="2026-10-16 17:30:57"/>
    <n v="10"/>
    <x v="0"/>
    <x v="0"/>
    <x v="0"/>
    <n v="0"/>
    <n v="2E+20"/>
    <n v="0"/>
    <n v="0"/>
    <n v="210"/>
    <s v="Unnamed ProjectEntity 1NVA TimeEntity"/>
    <n v="10"/>
    <n v="0"/>
    <n v="0"/>
    <n v="0.95"/>
    <n v="0"/>
    <n v="0"/>
    <n v="0"/>
    <n v="0"/>
    <n v="0"/>
    <n v="220.7"/>
    <n v="0"/>
    <n v="10"/>
    <n v="1"/>
  </r>
  <r>
    <x v="0"/>
    <s v="2026-10-16 17:30:57"/>
    <n v="10"/>
    <x v="0"/>
    <x v="1"/>
    <x v="0"/>
    <n v="34.9325379616483"/>
    <n v="2E+20"/>
    <n v="13.6395291993051"/>
    <n v="88.045148061173705"/>
    <n v="210"/>
    <s v="Unnamed ProjectEntity 1Other TimeEntity"/>
    <n v="10"/>
    <n v="35.690067898217421"/>
    <n v="0.99458640379634877"/>
    <n v="0.95"/>
    <n v="0.71148425254024616"/>
    <n v="34.179375139686798"/>
    <n v="37.272040242740196"/>
    <n v="13.0948236360219"/>
    <n v="102.267336062097"/>
    <n v="220.7"/>
    <n v="0.71148425254024616"/>
    <n v="10"/>
    <n v="1"/>
  </r>
  <r>
    <x v="0"/>
    <s v="2026-10-16 17:30:57"/>
    <n v="10"/>
    <x v="0"/>
    <x v="2"/>
    <x v="0"/>
    <n v="61.801109832808699"/>
    <n v="2E+20"/>
    <n v="14.163930546644799"/>
    <n v="174.657529487479"/>
    <n v="210"/>
    <s v="Unnamed ProjectEntity 1Total TimeEntity"/>
    <n v="10"/>
    <n v="64.532529133885035"/>
    <n v="10.887938584670717"/>
    <n v="0.95"/>
    <n v="7.7887620583286621"/>
    <n v="50.131846661260099"/>
    <n v="87.273779080717802"/>
    <n v="13.298568495813001"/>
    <n v="320.80718678977303"/>
    <n v="220.7"/>
    <n v="7.7887620583286621"/>
    <n v="10"/>
    <n v="1"/>
  </r>
  <r>
    <x v="0"/>
    <s v="2026-10-16 17:30:57"/>
    <n v="10"/>
    <x v="0"/>
    <x v="3"/>
    <x v="0"/>
    <n v="0"/>
    <n v="2E+20"/>
    <n v="0"/>
    <n v="0"/>
    <n v="210"/>
    <s v="Unnamed ProjectEntity 1Transfer TimeEntity"/>
    <n v="10"/>
    <n v="0"/>
    <n v="0"/>
    <n v="0.95"/>
    <n v="0"/>
    <n v="0"/>
    <n v="0"/>
    <n v="0"/>
    <n v="0"/>
    <n v="220.7"/>
    <n v="0"/>
    <n v="10"/>
    <n v="1"/>
  </r>
  <r>
    <x v="0"/>
    <s v="2026-10-16 17:30:57"/>
    <n v="10"/>
    <x v="0"/>
    <x v="4"/>
    <x v="0"/>
    <n v="0"/>
    <n v="2E+20"/>
    <n v="0"/>
    <n v="0"/>
    <n v="210"/>
    <s v="Unnamed ProjectEntity 1VA TimeEntity"/>
    <n v="10"/>
    <n v="0"/>
    <n v="0"/>
    <n v="0.95"/>
    <n v="0"/>
    <n v="0"/>
    <n v="0"/>
    <n v="0"/>
    <n v="0"/>
    <n v="220.7"/>
    <n v="0"/>
    <n v="10"/>
    <n v="1"/>
  </r>
  <r>
    <x v="0"/>
    <s v="2026-10-16 17:30:57"/>
    <n v="10"/>
    <x v="0"/>
    <x v="5"/>
    <x v="0"/>
    <n v="26.868571871160299"/>
    <n v="2E+20"/>
    <n v="0"/>
    <n v="146.729085118977"/>
    <n v="210"/>
    <s v="Unnamed ProjectEntity 1Wait TimeEntity"/>
    <n v="10"/>
    <n v="28.842461235667599"/>
    <n v="10.580185065953426"/>
    <n v="0.95"/>
    <n v="7.5686084533774753"/>
    <n v="15.242255352523699"/>
    <n v="50.620872918588098"/>
    <n v="0"/>
    <n v="279.27951446189297"/>
    <n v="220.7"/>
    <n v="7.5686084533774753"/>
    <n v="10"/>
    <n v="1"/>
  </r>
  <r>
    <x v="0"/>
    <s v="2026-10-16 17:30:57"/>
    <n v="1"/>
    <x v="1"/>
    <x v="6"/>
    <x v="1"/>
    <n v="0"/>
    <n v="2E+20"/>
    <n v="0"/>
    <n v="0"/>
    <n v="157"/>
    <s v="Unnamed ProjectHold M1.QueueWaiting TimeQueue"/>
    <n v="10"/>
    <n v="0"/>
    <n v="0"/>
    <n v="0.95"/>
    <n v="0"/>
    <n v="0"/>
    <n v="0"/>
    <n v="0"/>
    <n v="0"/>
    <n v="167"/>
    <n v="0"/>
    <n v="10"/>
    <n v="1"/>
  </r>
  <r>
    <x v="0"/>
    <s v="2026-10-16 17:30:57"/>
    <n v="2"/>
    <x v="1"/>
    <x v="6"/>
    <x v="1"/>
    <n v="0"/>
    <n v="2E+20"/>
    <n v="0"/>
    <n v="0"/>
    <n v="181"/>
    <s v="Unnamed ProjectHold M1.QueueWaiting TimeQueue"/>
    <n v="10"/>
    <n v="0"/>
    <n v="0"/>
    <n v="0.95"/>
    <n v="0"/>
    <n v="0"/>
    <n v="0"/>
    <n v="0"/>
    <n v="0"/>
    <n v="167"/>
    <n v="0"/>
    <n v="10"/>
    <n v="1"/>
  </r>
  <r>
    <x v="0"/>
    <s v="2026-10-16 17:30:57"/>
    <n v="3"/>
    <x v="1"/>
    <x v="6"/>
    <x v="1"/>
    <n v="0"/>
    <n v="2E+20"/>
    <n v="0"/>
    <n v="0"/>
    <n v="175"/>
    <s v="Unnamed ProjectHold M1.QueueWaiting TimeQueue"/>
    <n v="10"/>
    <n v="0"/>
    <n v="0"/>
    <n v="0.95"/>
    <n v="0"/>
    <n v="0"/>
    <n v="0"/>
    <n v="0"/>
    <n v="0"/>
    <n v="167"/>
    <n v="0"/>
    <n v="10"/>
    <n v="1"/>
  </r>
  <r>
    <x v="0"/>
    <s v="2026-10-16 17:30:57"/>
    <n v="4"/>
    <x v="1"/>
    <x v="6"/>
    <x v="1"/>
    <n v="0"/>
    <n v="2E+20"/>
    <n v="0"/>
    <n v="0"/>
    <n v="175"/>
    <s v="Unnamed ProjectHold M1.QueueWaiting TimeQueue"/>
    <n v="10"/>
    <n v="0"/>
    <n v="0"/>
    <n v="0.95"/>
    <n v="0"/>
    <n v="0"/>
    <n v="0"/>
    <n v="0"/>
    <n v="0"/>
    <n v="167"/>
    <n v="0"/>
    <n v="10"/>
    <n v="1"/>
  </r>
  <r>
    <x v="0"/>
    <s v="2026-10-16 17:30:57"/>
    <n v="5"/>
    <x v="1"/>
    <x v="6"/>
    <x v="1"/>
    <n v="0"/>
    <n v="2E+20"/>
    <n v="0"/>
    <n v="0"/>
    <n v="142"/>
    <s v="Unnamed ProjectHold M1.QueueWaiting TimeQueue"/>
    <n v="10"/>
    <n v="0"/>
    <n v="0"/>
    <n v="0.95"/>
    <n v="0"/>
    <n v="0"/>
    <n v="0"/>
    <n v="0"/>
    <n v="0"/>
    <n v="167"/>
    <n v="0"/>
    <n v="10"/>
    <n v="1"/>
  </r>
  <r>
    <x v="0"/>
    <s v="2026-10-16 17:30:57"/>
    <n v="6"/>
    <x v="1"/>
    <x v="6"/>
    <x v="1"/>
    <n v="0"/>
    <n v="2E+20"/>
    <n v="0"/>
    <n v="0"/>
    <n v="171"/>
    <s v="Unnamed ProjectHold M1.QueueWaiting TimeQueue"/>
    <n v="10"/>
    <n v="0"/>
    <n v="0"/>
    <n v="0.95"/>
    <n v="0"/>
    <n v="0"/>
    <n v="0"/>
    <n v="0"/>
    <n v="0"/>
    <n v="167"/>
    <n v="0"/>
    <n v="10"/>
    <n v="1"/>
  </r>
  <r>
    <x v="0"/>
    <s v="2026-10-16 17:30:57"/>
    <n v="7"/>
    <x v="1"/>
    <x v="6"/>
    <x v="1"/>
    <n v="0"/>
    <n v="2E+20"/>
    <n v="0"/>
    <n v="0"/>
    <n v="147"/>
    <s v="Unnamed ProjectHold M1.QueueWaiting TimeQueue"/>
    <n v="10"/>
    <n v="0"/>
    <n v="0"/>
    <n v="0.95"/>
    <n v="0"/>
    <n v="0"/>
    <n v="0"/>
    <n v="0"/>
    <n v="0"/>
    <n v="167"/>
    <n v="0"/>
    <n v="10"/>
    <n v="1"/>
  </r>
  <r>
    <x v="0"/>
    <s v="2026-10-16 17:30:57"/>
    <n v="8"/>
    <x v="1"/>
    <x v="6"/>
    <x v="1"/>
    <n v="0"/>
    <n v="2E+20"/>
    <n v="0"/>
    <n v="0"/>
    <n v="176"/>
    <s v="Unnamed ProjectHold M1.QueueWaiting TimeQueue"/>
    <n v="10"/>
    <n v="0"/>
    <n v="0"/>
    <n v="0.95"/>
    <n v="0"/>
    <n v="0"/>
    <n v="0"/>
    <n v="0"/>
    <n v="0"/>
    <n v="167"/>
    <n v="0"/>
    <n v="10"/>
    <n v="1"/>
  </r>
  <r>
    <x v="0"/>
    <s v="2026-10-16 17:30:57"/>
    <n v="9"/>
    <x v="1"/>
    <x v="6"/>
    <x v="1"/>
    <n v="0"/>
    <n v="2E+20"/>
    <n v="0"/>
    <n v="0"/>
    <n v="178"/>
    <s v="Unnamed ProjectHold M1.QueueWaiting TimeQueue"/>
    <n v="10"/>
    <n v="0"/>
    <n v="0"/>
    <n v="0.95"/>
    <n v="0"/>
    <n v="0"/>
    <n v="0"/>
    <n v="0"/>
    <n v="0"/>
    <n v="167"/>
    <n v="0"/>
    <n v="10"/>
    <n v="1"/>
  </r>
  <r>
    <x v="0"/>
    <s v="2026-10-16 17:30:57"/>
    <n v="10"/>
    <x v="1"/>
    <x v="6"/>
    <x v="1"/>
    <n v="0"/>
    <n v="2E+20"/>
    <n v="0"/>
    <n v="0"/>
    <n v="168"/>
    <s v="Unnamed ProjectHold M1.QueueWaiting TimeQueue"/>
    <n v="10"/>
    <n v="0"/>
    <n v="0"/>
    <n v="0.95"/>
    <n v="0"/>
    <n v="0"/>
    <n v="0"/>
    <n v="0"/>
    <n v="0"/>
    <n v="167"/>
    <n v="0"/>
    <n v="10"/>
    <n v="1"/>
  </r>
  <r>
    <x v="0"/>
    <s v="2026-10-16 17:30:57"/>
    <n v="1"/>
    <x v="2"/>
    <x v="6"/>
    <x v="1"/>
    <n v="0"/>
    <n v="2E+20"/>
    <n v="0"/>
    <n v="0"/>
    <n v="117"/>
    <s v="Unnamed ProjectHold M2.QueueWaiting TimeQueue"/>
    <n v="10"/>
    <n v="0"/>
    <n v="0"/>
    <n v="0.95"/>
    <n v="0"/>
    <n v="0"/>
    <n v="0"/>
    <n v="0"/>
    <n v="0"/>
    <n v="119.5"/>
    <n v="0"/>
    <n v="10"/>
    <n v="1"/>
  </r>
  <r>
    <x v="0"/>
    <s v="2026-10-16 17:30:57"/>
    <n v="2"/>
    <x v="2"/>
    <x v="6"/>
    <x v="1"/>
    <n v="0"/>
    <n v="2E+20"/>
    <n v="0"/>
    <n v="0"/>
    <n v="110"/>
    <s v="Unnamed ProjectHold M2.QueueWaiting TimeQueue"/>
    <n v="10"/>
    <n v="0"/>
    <n v="0"/>
    <n v="0.95"/>
    <n v="0"/>
    <n v="0"/>
    <n v="0"/>
    <n v="0"/>
    <n v="0"/>
    <n v="119.5"/>
    <n v="0"/>
    <n v="10"/>
    <n v="1"/>
  </r>
  <r>
    <x v="0"/>
    <s v="2026-10-16 17:30:57"/>
    <n v="3"/>
    <x v="2"/>
    <x v="6"/>
    <x v="1"/>
    <n v="0"/>
    <n v="2E+20"/>
    <n v="0"/>
    <n v="0"/>
    <n v="130"/>
    <s v="Unnamed ProjectHold M2.QueueWaiting TimeQueue"/>
    <n v="10"/>
    <n v="0"/>
    <n v="0"/>
    <n v="0.95"/>
    <n v="0"/>
    <n v="0"/>
    <n v="0"/>
    <n v="0"/>
    <n v="0"/>
    <n v="119.5"/>
    <n v="0"/>
    <n v="10"/>
    <n v="1"/>
  </r>
  <r>
    <x v="0"/>
    <s v="2026-10-16 17:30:57"/>
    <n v="4"/>
    <x v="2"/>
    <x v="6"/>
    <x v="1"/>
    <n v="0"/>
    <n v="2E+20"/>
    <n v="0"/>
    <n v="0"/>
    <n v="125"/>
    <s v="Unnamed ProjectHold M2.QueueWaiting TimeQueue"/>
    <n v="10"/>
    <n v="0"/>
    <n v="0"/>
    <n v="0.95"/>
    <n v="0"/>
    <n v="0"/>
    <n v="0"/>
    <n v="0"/>
    <n v="0"/>
    <n v="119.5"/>
    <n v="0"/>
    <n v="10"/>
    <n v="1"/>
  </r>
  <r>
    <x v="0"/>
    <s v="2026-10-16 17:30:57"/>
    <n v="5"/>
    <x v="2"/>
    <x v="6"/>
    <x v="1"/>
    <n v="0"/>
    <n v="2E+20"/>
    <n v="0"/>
    <n v="0"/>
    <n v="103"/>
    <s v="Unnamed ProjectHold M2.QueueWaiting TimeQueue"/>
    <n v="10"/>
    <n v="0"/>
    <n v="0"/>
    <n v="0.95"/>
    <n v="0"/>
    <n v="0"/>
    <n v="0"/>
    <n v="0"/>
    <n v="0"/>
    <n v="119.5"/>
    <n v="0"/>
    <n v="10"/>
    <n v="1"/>
  </r>
  <r>
    <x v="0"/>
    <s v="2026-10-16 17:30:57"/>
    <n v="6"/>
    <x v="2"/>
    <x v="6"/>
    <x v="1"/>
    <n v="0"/>
    <n v="2E+20"/>
    <n v="0"/>
    <n v="0"/>
    <n v="133"/>
    <s v="Unnamed ProjectHold M2.QueueWaiting TimeQueue"/>
    <n v="10"/>
    <n v="0"/>
    <n v="0"/>
    <n v="0.95"/>
    <n v="0"/>
    <n v="0"/>
    <n v="0"/>
    <n v="0"/>
    <n v="0"/>
    <n v="119.5"/>
    <n v="0"/>
    <n v="10"/>
    <n v="1"/>
  </r>
  <r>
    <x v="0"/>
    <s v="2026-10-16 17:30:57"/>
    <n v="7"/>
    <x v="2"/>
    <x v="6"/>
    <x v="1"/>
    <n v="0"/>
    <n v="2E+20"/>
    <n v="0"/>
    <n v="0"/>
    <n v="111"/>
    <s v="Unnamed ProjectHold M2.QueueWaiting TimeQueue"/>
    <n v="10"/>
    <n v="0"/>
    <n v="0"/>
    <n v="0.95"/>
    <n v="0"/>
    <n v="0"/>
    <n v="0"/>
    <n v="0"/>
    <n v="0"/>
    <n v="119.5"/>
    <n v="0"/>
    <n v="10"/>
    <n v="1"/>
  </r>
  <r>
    <x v="0"/>
    <s v="2026-10-16 17:30:57"/>
    <n v="8"/>
    <x v="2"/>
    <x v="6"/>
    <x v="1"/>
    <n v="0"/>
    <n v="2E+20"/>
    <n v="0"/>
    <n v="0"/>
    <n v="125"/>
    <s v="Unnamed ProjectHold M2.QueueWaiting TimeQueue"/>
    <n v="10"/>
    <n v="0"/>
    <n v="0"/>
    <n v="0.95"/>
    <n v="0"/>
    <n v="0"/>
    <n v="0"/>
    <n v="0"/>
    <n v="0"/>
    <n v="119.5"/>
    <n v="0"/>
    <n v="10"/>
    <n v="1"/>
  </r>
  <r>
    <x v="0"/>
    <s v="2026-10-16 17:30:57"/>
    <n v="9"/>
    <x v="2"/>
    <x v="6"/>
    <x v="1"/>
    <n v="0"/>
    <n v="2E+20"/>
    <n v="0"/>
    <n v="0"/>
    <n v="124"/>
    <s v="Unnamed ProjectHold M2.QueueWaiting TimeQueue"/>
    <n v="10"/>
    <n v="0"/>
    <n v="0"/>
    <n v="0.95"/>
    <n v="0"/>
    <n v="0"/>
    <n v="0"/>
    <n v="0"/>
    <n v="0"/>
    <n v="119.5"/>
    <n v="0"/>
    <n v="10"/>
    <n v="1"/>
  </r>
  <r>
    <x v="0"/>
    <s v="2026-10-16 17:30:57"/>
    <n v="10"/>
    <x v="2"/>
    <x v="6"/>
    <x v="1"/>
    <n v="0"/>
    <n v="2E+20"/>
    <n v="0"/>
    <n v="0"/>
    <n v="117"/>
    <s v="Unnamed ProjectHold M2.QueueWaiting TimeQueue"/>
    <n v="10"/>
    <n v="0"/>
    <n v="0"/>
    <n v="0.95"/>
    <n v="0"/>
    <n v="0"/>
    <n v="0"/>
    <n v="0"/>
    <n v="0"/>
    <n v="119.5"/>
    <n v="0"/>
    <n v="10"/>
    <n v="1"/>
  </r>
  <r>
    <x v="0"/>
    <s v="2026-10-16 17:30:57"/>
    <n v="1"/>
    <x v="3"/>
    <x v="6"/>
    <x v="1"/>
    <n v="0"/>
    <n v="2E+20"/>
    <n v="0"/>
    <n v="0"/>
    <n v="174"/>
    <s v="Unnamed ProjectHold M3.QueueWaiting TimeQueue"/>
    <n v="10"/>
    <n v="0"/>
    <n v="0"/>
    <n v="0.95"/>
    <n v="0"/>
    <n v="0"/>
    <n v="0"/>
    <n v="0"/>
    <n v="0"/>
    <n v="176.2"/>
    <n v="0"/>
    <n v="10"/>
    <n v="1"/>
  </r>
  <r>
    <x v="0"/>
    <s v="2026-10-16 17:30:57"/>
    <n v="2"/>
    <x v="3"/>
    <x v="6"/>
    <x v="1"/>
    <n v="0"/>
    <n v="2E+20"/>
    <n v="0"/>
    <n v="0"/>
    <n v="172"/>
    <s v="Unnamed ProjectHold M3.QueueWaiting TimeQueue"/>
    <n v="10"/>
    <n v="0"/>
    <n v="0"/>
    <n v="0.95"/>
    <n v="0"/>
    <n v="0"/>
    <n v="0"/>
    <n v="0"/>
    <n v="0"/>
    <n v="176.2"/>
    <n v="0"/>
    <n v="10"/>
    <n v="1"/>
  </r>
  <r>
    <x v="0"/>
    <s v="2026-10-16 17:30:57"/>
    <n v="3"/>
    <x v="3"/>
    <x v="6"/>
    <x v="1"/>
    <n v="0"/>
    <n v="2E+20"/>
    <n v="0"/>
    <n v="0"/>
    <n v="187"/>
    <s v="Unnamed ProjectHold M3.QueueWaiting TimeQueue"/>
    <n v="10"/>
    <n v="0"/>
    <n v="0"/>
    <n v="0.95"/>
    <n v="0"/>
    <n v="0"/>
    <n v="0"/>
    <n v="0"/>
    <n v="0"/>
    <n v="176.2"/>
    <n v="0"/>
    <n v="10"/>
    <n v="1"/>
  </r>
  <r>
    <x v="0"/>
    <s v="2026-10-16 17:30:57"/>
    <n v="4"/>
    <x v="3"/>
    <x v="6"/>
    <x v="1"/>
    <n v="0"/>
    <n v="2E+20"/>
    <n v="0"/>
    <n v="0"/>
    <n v="191"/>
    <s v="Unnamed ProjectHold M3.QueueWaiting TimeQueue"/>
    <n v="10"/>
    <n v="0"/>
    <n v="0"/>
    <n v="0.95"/>
    <n v="0"/>
    <n v="0"/>
    <n v="0"/>
    <n v="0"/>
    <n v="0"/>
    <n v="176.2"/>
    <n v="0"/>
    <n v="10"/>
    <n v="1"/>
  </r>
  <r>
    <x v="0"/>
    <s v="2026-10-16 17:30:57"/>
    <n v="5"/>
    <x v="3"/>
    <x v="6"/>
    <x v="1"/>
    <n v="0"/>
    <n v="2E+20"/>
    <n v="0"/>
    <n v="0"/>
    <n v="149"/>
    <s v="Unnamed ProjectHold M3.QueueWaiting TimeQueue"/>
    <n v="10"/>
    <n v="0"/>
    <n v="0"/>
    <n v="0.95"/>
    <n v="0"/>
    <n v="0"/>
    <n v="0"/>
    <n v="0"/>
    <n v="0"/>
    <n v="176.2"/>
    <n v="0"/>
    <n v="10"/>
    <n v="1"/>
  </r>
  <r>
    <x v="0"/>
    <s v="2026-10-16 17:30:57"/>
    <n v="6"/>
    <x v="3"/>
    <x v="6"/>
    <x v="1"/>
    <n v="0"/>
    <n v="2E+20"/>
    <n v="0"/>
    <n v="0"/>
    <n v="198"/>
    <s v="Unnamed ProjectHold M3.QueueWaiting TimeQueue"/>
    <n v="10"/>
    <n v="0"/>
    <n v="0"/>
    <n v="0.95"/>
    <n v="0"/>
    <n v="0"/>
    <n v="0"/>
    <n v="0"/>
    <n v="0"/>
    <n v="176.2"/>
    <n v="0"/>
    <n v="10"/>
    <n v="1"/>
  </r>
  <r>
    <x v="0"/>
    <s v="2026-10-16 17:30:57"/>
    <n v="7"/>
    <x v="3"/>
    <x v="6"/>
    <x v="1"/>
    <n v="0"/>
    <n v="2E+20"/>
    <n v="0"/>
    <n v="0"/>
    <n v="163"/>
    <s v="Unnamed ProjectHold M3.QueueWaiting TimeQueue"/>
    <n v="10"/>
    <n v="0"/>
    <n v="0"/>
    <n v="0.95"/>
    <n v="0"/>
    <n v="0"/>
    <n v="0"/>
    <n v="0"/>
    <n v="0"/>
    <n v="176.2"/>
    <n v="0"/>
    <n v="10"/>
    <n v="1"/>
  </r>
  <r>
    <x v="0"/>
    <s v="2026-10-16 17:30:57"/>
    <n v="8"/>
    <x v="3"/>
    <x v="6"/>
    <x v="1"/>
    <n v="0"/>
    <n v="2E+20"/>
    <n v="0"/>
    <n v="0"/>
    <n v="181"/>
    <s v="Unnamed ProjectHold M3.QueueWaiting TimeQueue"/>
    <n v="10"/>
    <n v="0"/>
    <n v="0"/>
    <n v="0.95"/>
    <n v="0"/>
    <n v="0"/>
    <n v="0"/>
    <n v="0"/>
    <n v="0"/>
    <n v="176.2"/>
    <n v="0"/>
    <n v="10"/>
    <n v="1"/>
  </r>
  <r>
    <x v="0"/>
    <s v="2026-10-16 17:30:57"/>
    <n v="9"/>
    <x v="3"/>
    <x v="6"/>
    <x v="1"/>
    <n v="0"/>
    <n v="2E+20"/>
    <n v="0"/>
    <n v="0"/>
    <n v="183"/>
    <s v="Unnamed ProjectHold M3.QueueWaiting TimeQueue"/>
    <n v="10"/>
    <n v="0"/>
    <n v="0"/>
    <n v="0.95"/>
    <n v="0"/>
    <n v="0"/>
    <n v="0"/>
    <n v="0"/>
    <n v="0"/>
    <n v="176.2"/>
    <n v="0"/>
    <n v="10"/>
    <n v="1"/>
  </r>
  <r>
    <x v="0"/>
    <s v="2026-10-16 17:30:57"/>
    <n v="10"/>
    <x v="3"/>
    <x v="6"/>
    <x v="1"/>
    <n v="0"/>
    <n v="2E+20"/>
    <n v="0"/>
    <n v="0"/>
    <n v="164"/>
    <s v="Unnamed ProjectHold M3.QueueWaiting TimeQueue"/>
    <n v="10"/>
    <n v="0"/>
    <n v="0"/>
    <n v="0.95"/>
    <n v="0"/>
    <n v="0"/>
    <n v="0"/>
    <n v="0"/>
    <n v="0"/>
    <n v="176.2"/>
    <n v="0"/>
    <n v="10"/>
    <n v="1"/>
  </r>
  <r>
    <x v="0"/>
    <s v="2026-10-16 17:30:57"/>
    <n v="1"/>
    <x v="4"/>
    <x v="6"/>
    <x v="1"/>
    <n v="0"/>
    <n v="2E+20"/>
    <n v="0"/>
    <n v="0"/>
    <n v="161"/>
    <s v="Unnamed ProjectHold M4.QueueWaiting TimeQueue"/>
    <n v="10"/>
    <n v="0"/>
    <n v="0"/>
    <n v="0.95"/>
    <n v="0"/>
    <n v="0"/>
    <n v="0"/>
    <n v="0"/>
    <n v="0"/>
    <n v="166.3"/>
    <n v="0"/>
    <n v="10"/>
    <n v="1"/>
  </r>
  <r>
    <x v="0"/>
    <s v="2026-10-16 17:30:57"/>
    <n v="2"/>
    <x v="4"/>
    <x v="6"/>
    <x v="1"/>
    <n v="0"/>
    <n v="2E+20"/>
    <n v="0"/>
    <n v="0"/>
    <n v="182"/>
    <s v="Unnamed ProjectHold M4.QueueWaiting TimeQueue"/>
    <n v="10"/>
    <n v="0"/>
    <n v="0"/>
    <n v="0.95"/>
    <n v="0"/>
    <n v="0"/>
    <n v="0"/>
    <n v="0"/>
    <n v="0"/>
    <n v="166.3"/>
    <n v="0"/>
    <n v="10"/>
    <n v="1"/>
  </r>
  <r>
    <x v="0"/>
    <s v="2026-10-16 17:30:57"/>
    <n v="3"/>
    <x v="4"/>
    <x v="6"/>
    <x v="1"/>
    <n v="0"/>
    <n v="2E+20"/>
    <n v="0"/>
    <n v="0"/>
    <n v="177"/>
    <s v="Unnamed ProjectHold M4.QueueWaiting TimeQueue"/>
    <n v="10"/>
    <n v="0"/>
    <n v="0"/>
    <n v="0.95"/>
    <n v="0"/>
    <n v="0"/>
    <n v="0"/>
    <n v="0"/>
    <n v="0"/>
    <n v="166.3"/>
    <n v="0"/>
    <n v="10"/>
    <n v="1"/>
  </r>
  <r>
    <x v="0"/>
    <s v="2026-10-16 17:30:57"/>
    <n v="4"/>
    <x v="4"/>
    <x v="6"/>
    <x v="1"/>
    <n v="0"/>
    <n v="2E+20"/>
    <n v="0"/>
    <n v="0"/>
    <n v="178"/>
    <s v="Unnamed ProjectHold M4.QueueWaiting TimeQueue"/>
    <n v="10"/>
    <n v="0"/>
    <n v="0"/>
    <n v="0.95"/>
    <n v="0"/>
    <n v="0"/>
    <n v="0"/>
    <n v="0"/>
    <n v="0"/>
    <n v="166.3"/>
    <n v="0"/>
    <n v="10"/>
    <n v="1"/>
  </r>
  <r>
    <x v="0"/>
    <s v="2026-10-16 17:30:57"/>
    <n v="5"/>
    <x v="4"/>
    <x v="6"/>
    <x v="1"/>
    <n v="0"/>
    <n v="2E+20"/>
    <n v="0"/>
    <n v="0"/>
    <n v="140"/>
    <s v="Unnamed ProjectHold M4.QueueWaiting TimeQueue"/>
    <n v="10"/>
    <n v="0"/>
    <n v="0"/>
    <n v="0.95"/>
    <n v="0"/>
    <n v="0"/>
    <n v="0"/>
    <n v="0"/>
    <n v="0"/>
    <n v="166.3"/>
    <n v="0"/>
    <n v="10"/>
    <n v="1"/>
  </r>
  <r>
    <x v="0"/>
    <s v="2026-10-16 17:30:57"/>
    <n v="6"/>
    <x v="4"/>
    <x v="6"/>
    <x v="1"/>
    <n v="0"/>
    <n v="2E+20"/>
    <n v="0"/>
    <n v="0"/>
    <n v="171"/>
    <s v="Unnamed ProjectHold M4.QueueWaiting TimeQueue"/>
    <n v="10"/>
    <n v="0"/>
    <n v="0"/>
    <n v="0.95"/>
    <n v="0"/>
    <n v="0"/>
    <n v="0"/>
    <n v="0"/>
    <n v="0"/>
    <n v="166.3"/>
    <n v="0"/>
    <n v="10"/>
    <n v="1"/>
  </r>
  <r>
    <x v="0"/>
    <s v="2026-10-16 17:30:57"/>
    <n v="7"/>
    <x v="4"/>
    <x v="6"/>
    <x v="1"/>
    <n v="0"/>
    <n v="2E+20"/>
    <n v="0"/>
    <n v="0"/>
    <n v="147"/>
    <s v="Unnamed ProjectHold M4.QueueWaiting TimeQueue"/>
    <n v="10"/>
    <n v="0"/>
    <n v="0"/>
    <n v="0.95"/>
    <n v="0"/>
    <n v="0"/>
    <n v="0"/>
    <n v="0"/>
    <n v="0"/>
    <n v="166.3"/>
    <n v="0"/>
    <n v="10"/>
    <n v="1"/>
  </r>
  <r>
    <x v="0"/>
    <s v="2026-10-16 17:30:57"/>
    <n v="8"/>
    <x v="4"/>
    <x v="6"/>
    <x v="1"/>
    <n v="0"/>
    <n v="2E+20"/>
    <n v="0"/>
    <n v="0"/>
    <n v="174"/>
    <s v="Unnamed ProjectHold M4.QueueWaiting TimeQueue"/>
    <n v="10"/>
    <n v="0"/>
    <n v="0"/>
    <n v="0.95"/>
    <n v="0"/>
    <n v="0"/>
    <n v="0"/>
    <n v="0"/>
    <n v="0"/>
    <n v="166.3"/>
    <n v="0"/>
    <n v="10"/>
    <n v="1"/>
  </r>
  <r>
    <x v="0"/>
    <s v="2026-10-16 17:30:57"/>
    <n v="9"/>
    <x v="4"/>
    <x v="6"/>
    <x v="1"/>
    <n v="0"/>
    <n v="2E+20"/>
    <n v="0"/>
    <n v="0"/>
    <n v="174"/>
    <s v="Unnamed ProjectHold M4.QueueWaiting TimeQueue"/>
    <n v="10"/>
    <n v="0"/>
    <n v="0"/>
    <n v="0.95"/>
    <n v="0"/>
    <n v="0"/>
    <n v="0"/>
    <n v="0"/>
    <n v="0"/>
    <n v="166.3"/>
    <n v="0"/>
    <n v="10"/>
    <n v="1"/>
  </r>
  <r>
    <x v="0"/>
    <s v="2026-10-16 17:30:57"/>
    <n v="10"/>
    <x v="4"/>
    <x v="6"/>
    <x v="1"/>
    <n v="0"/>
    <n v="2E+20"/>
    <n v="0"/>
    <n v="0"/>
    <n v="159"/>
    <s v="Unnamed ProjectHold M4.QueueWaiting TimeQueue"/>
    <n v="10"/>
    <n v="0"/>
    <n v="0"/>
    <n v="0.95"/>
    <n v="0"/>
    <n v="0"/>
    <n v="0"/>
    <n v="0"/>
    <n v="0"/>
    <n v="166.3"/>
    <n v="0"/>
    <n v="10"/>
    <n v="1"/>
  </r>
  <r>
    <x v="0"/>
    <s v="2026-10-16 17:30:57"/>
    <n v="1"/>
    <x v="5"/>
    <x v="6"/>
    <x v="1"/>
    <n v="0"/>
    <n v="2E+20"/>
    <n v="0"/>
    <n v="0"/>
    <n v="214"/>
    <s v="Unnamed ProjectHold M5.QueueWaiting TimeQueue"/>
    <n v="10"/>
    <n v="0"/>
    <n v="0"/>
    <n v="0.95"/>
    <n v="0"/>
    <n v="0"/>
    <n v="0"/>
    <n v="0"/>
    <n v="0"/>
    <n v="220.7"/>
    <n v="0"/>
    <n v="10"/>
    <n v="1"/>
  </r>
  <r>
    <x v="0"/>
    <s v="2026-10-16 17:30:57"/>
    <n v="2"/>
    <x v="5"/>
    <x v="6"/>
    <x v="1"/>
    <n v="0"/>
    <n v="2E+20"/>
    <n v="0"/>
    <n v="0"/>
    <n v="224"/>
    <s v="Unnamed ProjectHold M5.QueueWaiting TimeQueue"/>
    <n v="10"/>
    <n v="0"/>
    <n v="0"/>
    <n v="0.95"/>
    <n v="0"/>
    <n v="0"/>
    <n v="0"/>
    <n v="0"/>
    <n v="0"/>
    <n v="220.7"/>
    <n v="0"/>
    <n v="10"/>
    <n v="1"/>
  </r>
  <r>
    <x v="0"/>
    <s v="2026-10-16 17:30:57"/>
    <n v="3"/>
    <x v="5"/>
    <x v="6"/>
    <x v="1"/>
    <n v="0"/>
    <n v="2E+20"/>
    <n v="0"/>
    <n v="0"/>
    <n v="236"/>
    <s v="Unnamed ProjectHold M5.QueueWaiting TimeQueue"/>
    <n v="10"/>
    <n v="0"/>
    <n v="0"/>
    <n v="0.95"/>
    <n v="0"/>
    <n v="0"/>
    <n v="0"/>
    <n v="0"/>
    <n v="0"/>
    <n v="220.7"/>
    <n v="0"/>
    <n v="10"/>
    <n v="1"/>
  </r>
  <r>
    <x v="0"/>
    <s v="2026-10-16 17:30:57"/>
    <n v="4"/>
    <x v="5"/>
    <x v="6"/>
    <x v="1"/>
    <n v="0"/>
    <n v="2E+20"/>
    <n v="0"/>
    <n v="0"/>
    <n v="239"/>
    <s v="Unnamed ProjectHold M5.QueueWaiting TimeQueue"/>
    <n v="10"/>
    <n v="0"/>
    <n v="0"/>
    <n v="0.95"/>
    <n v="0"/>
    <n v="0"/>
    <n v="0"/>
    <n v="0"/>
    <n v="0"/>
    <n v="220.7"/>
    <n v="0"/>
    <n v="10"/>
    <n v="1"/>
  </r>
  <r>
    <x v="0"/>
    <s v="2026-10-16 17:30:57"/>
    <n v="5"/>
    <x v="5"/>
    <x v="6"/>
    <x v="1"/>
    <n v="0"/>
    <n v="2E+20"/>
    <n v="0"/>
    <n v="0"/>
    <n v="191"/>
    <s v="Unnamed ProjectHold M5.QueueWaiting TimeQueue"/>
    <n v="10"/>
    <n v="0"/>
    <n v="0"/>
    <n v="0.95"/>
    <n v="0"/>
    <n v="0"/>
    <n v="0"/>
    <n v="0"/>
    <n v="0"/>
    <n v="220.7"/>
    <n v="0"/>
    <n v="10"/>
    <n v="1"/>
  </r>
  <r>
    <x v="0"/>
    <s v="2026-10-16 17:30:57"/>
    <n v="6"/>
    <x v="5"/>
    <x v="6"/>
    <x v="1"/>
    <n v="0"/>
    <n v="2E+20"/>
    <n v="0"/>
    <n v="0"/>
    <n v="235"/>
    <s v="Unnamed ProjectHold M5.QueueWaiting TimeQueue"/>
    <n v="10"/>
    <n v="0"/>
    <n v="0"/>
    <n v="0.95"/>
    <n v="0"/>
    <n v="0"/>
    <n v="0"/>
    <n v="0"/>
    <n v="0"/>
    <n v="220.7"/>
    <n v="0"/>
    <n v="10"/>
    <n v="1"/>
  </r>
  <r>
    <x v="0"/>
    <s v="2026-10-16 17:30:57"/>
    <n v="7"/>
    <x v="5"/>
    <x v="6"/>
    <x v="1"/>
    <n v="0"/>
    <n v="2E+20"/>
    <n v="0"/>
    <n v="0"/>
    <n v="203"/>
    <s v="Unnamed ProjectHold M5.QueueWaiting TimeQueue"/>
    <n v="10"/>
    <n v="0"/>
    <n v="0"/>
    <n v="0.95"/>
    <n v="0"/>
    <n v="0"/>
    <n v="0"/>
    <n v="0"/>
    <n v="0"/>
    <n v="220.7"/>
    <n v="0"/>
    <n v="10"/>
    <n v="1"/>
  </r>
  <r>
    <x v="0"/>
    <s v="2026-10-16 17:30:57"/>
    <n v="8"/>
    <x v="5"/>
    <x v="6"/>
    <x v="1"/>
    <n v="0"/>
    <n v="2E+20"/>
    <n v="0"/>
    <n v="0"/>
    <n v="232"/>
    <s v="Unnamed ProjectHold M5.QueueWaiting TimeQueue"/>
    <n v="10"/>
    <n v="0"/>
    <n v="0"/>
    <n v="0.95"/>
    <n v="0"/>
    <n v="0"/>
    <n v="0"/>
    <n v="0"/>
    <n v="0"/>
    <n v="220.7"/>
    <n v="0"/>
    <n v="10"/>
    <n v="1"/>
  </r>
  <r>
    <x v="0"/>
    <s v="2026-10-16 17:30:57"/>
    <n v="9"/>
    <x v="5"/>
    <x v="6"/>
    <x v="1"/>
    <n v="0"/>
    <n v="2E+20"/>
    <n v="0"/>
    <n v="0"/>
    <n v="223"/>
    <s v="Unnamed ProjectHold M5.QueueWaiting TimeQueue"/>
    <n v="10"/>
    <n v="0"/>
    <n v="0"/>
    <n v="0.95"/>
    <n v="0"/>
    <n v="0"/>
    <n v="0"/>
    <n v="0"/>
    <n v="0"/>
    <n v="220.7"/>
    <n v="0"/>
    <n v="10"/>
    <n v="1"/>
  </r>
  <r>
    <x v="0"/>
    <s v="2026-10-16 17:30:57"/>
    <n v="10"/>
    <x v="5"/>
    <x v="6"/>
    <x v="1"/>
    <n v="0"/>
    <n v="2E+20"/>
    <n v="0"/>
    <n v="0"/>
    <n v="210"/>
    <s v="Unnamed ProjectHold M5.QueueWaiting TimeQueue"/>
    <n v="10"/>
    <n v="0"/>
    <n v="0"/>
    <n v="0.95"/>
    <n v="0"/>
    <n v="0"/>
    <n v="0"/>
    <n v="0"/>
    <n v="0"/>
    <n v="220.7"/>
    <n v="0"/>
    <n v="10"/>
    <n v="1"/>
  </r>
  <r>
    <x v="0"/>
    <s v="2026-10-16 17:30:57"/>
    <n v="1"/>
    <x v="6"/>
    <x v="6"/>
    <x v="1"/>
    <n v="1.5349688574774101"/>
    <n v="2E+20"/>
    <n v="0"/>
    <n v="19.3291610021761"/>
    <n v="157"/>
    <s v="Unnamed ProjectM1.QWaiting TimeQueue"/>
    <n v="10"/>
    <n v="1.0671040543452321"/>
    <n v="0.37045275622860491"/>
    <n v="0.95"/>
    <n v="0.2650059375039997"/>
    <n v="0.44197900416538999"/>
    <n v="1.56888053927778"/>
    <n v="0"/>
    <n v="23.9509837185512"/>
    <n v="166.8"/>
    <n v="0.2650059375039997"/>
    <n v="10"/>
    <n v="1"/>
  </r>
  <r>
    <x v="0"/>
    <s v="2026-10-16 17:30:57"/>
    <n v="2"/>
    <x v="6"/>
    <x v="6"/>
    <x v="1"/>
    <n v="1.56888053927778"/>
    <n v="2E+20"/>
    <n v="0"/>
    <n v="15.328614231383201"/>
    <n v="181"/>
    <s v="Unnamed ProjectM1.QWaiting TimeQueue"/>
    <n v="10"/>
    <n v="1.0671040543452321"/>
    <n v="0.37045275622860491"/>
    <n v="0.95"/>
    <n v="0.2650059375039997"/>
    <n v="0.44197900416538999"/>
    <n v="1.56888053927778"/>
    <n v="0"/>
    <n v="23.9509837185512"/>
    <n v="166.8"/>
    <n v="0.2650059375039997"/>
    <n v="10"/>
    <n v="1"/>
  </r>
  <r>
    <x v="0"/>
    <s v="2026-10-16 17:30:57"/>
    <n v="3"/>
    <x v="6"/>
    <x v="6"/>
    <x v="1"/>
    <n v="1.34266440929521"/>
    <n v="2E+20"/>
    <n v="0"/>
    <n v="16.826621229307001"/>
    <n v="175"/>
    <s v="Unnamed ProjectM1.QWaiting TimeQueue"/>
    <n v="10"/>
    <n v="1.0671040543452321"/>
    <n v="0.37045275622860491"/>
    <n v="0.95"/>
    <n v="0.2650059375039997"/>
    <n v="0.44197900416538999"/>
    <n v="1.56888053927778"/>
    <n v="0"/>
    <n v="23.9509837185512"/>
    <n v="166.8"/>
    <n v="0.2650059375039997"/>
    <n v="10"/>
    <n v="1"/>
  </r>
  <r>
    <x v="0"/>
    <s v="2026-10-16 17:30:57"/>
    <n v="4"/>
    <x v="6"/>
    <x v="6"/>
    <x v="1"/>
    <n v="0.95592900945263204"/>
    <n v="2E+20"/>
    <n v="0"/>
    <n v="14.540994236595999"/>
    <n v="175"/>
    <s v="Unnamed ProjectM1.QWaiting TimeQueue"/>
    <n v="10"/>
    <n v="1.0671040543452321"/>
    <n v="0.37045275622860491"/>
    <n v="0.95"/>
    <n v="0.2650059375039997"/>
    <n v="0.44197900416538999"/>
    <n v="1.56888053927778"/>
    <n v="0"/>
    <n v="23.9509837185512"/>
    <n v="166.8"/>
    <n v="0.2650059375039997"/>
    <n v="10"/>
    <n v="1"/>
  </r>
  <r>
    <x v="0"/>
    <s v="2026-10-16 17:30:57"/>
    <n v="5"/>
    <x v="6"/>
    <x v="6"/>
    <x v="1"/>
    <n v="0.77421670719961899"/>
    <n v="2E+20"/>
    <n v="0"/>
    <n v="13.4119906323149"/>
    <n v="142"/>
    <s v="Unnamed ProjectM1.QWaiting TimeQueue"/>
    <n v="10"/>
    <n v="1.0671040543452321"/>
    <n v="0.37045275622860491"/>
    <n v="0.95"/>
    <n v="0.2650059375039997"/>
    <n v="0.44197900416538999"/>
    <n v="1.56888053927778"/>
    <n v="0"/>
    <n v="23.9509837185512"/>
    <n v="166.8"/>
    <n v="0.2650059375039997"/>
    <n v="10"/>
    <n v="1"/>
  </r>
  <r>
    <x v="0"/>
    <s v="2026-10-16 17:30:57"/>
    <n v="6"/>
    <x v="6"/>
    <x v="6"/>
    <x v="1"/>
    <n v="0.44197900416538999"/>
    <n v="2E+20"/>
    <n v="0"/>
    <n v="13.158166174581799"/>
    <n v="171"/>
    <s v="Unnamed ProjectM1.QWaiting TimeQueue"/>
    <n v="10"/>
    <n v="1.0671040543452321"/>
    <n v="0.37045275622860491"/>
    <n v="0.95"/>
    <n v="0.2650059375039997"/>
    <n v="0.44197900416538999"/>
    <n v="1.56888053927778"/>
    <n v="0"/>
    <n v="23.9509837185512"/>
    <n v="166.8"/>
    <n v="0.2650059375039997"/>
    <n v="10"/>
    <n v="1"/>
  </r>
  <r>
    <x v="0"/>
    <s v="2026-10-16 17:30:57"/>
    <n v="7"/>
    <x v="6"/>
    <x v="6"/>
    <x v="1"/>
    <n v="1.20083101593195"/>
    <n v="2E+20"/>
    <n v="0"/>
    <n v="23.9509837185512"/>
    <n v="147"/>
    <s v="Unnamed ProjectM1.QWaiting TimeQueue"/>
    <n v="10"/>
    <n v="1.0671040543452321"/>
    <n v="0.37045275622860491"/>
    <n v="0.95"/>
    <n v="0.2650059375039997"/>
    <n v="0.44197900416538999"/>
    <n v="1.56888053927778"/>
    <n v="0"/>
    <n v="23.9509837185512"/>
    <n v="166.8"/>
    <n v="0.2650059375039997"/>
    <n v="10"/>
    <n v="1"/>
  </r>
  <r>
    <x v="0"/>
    <s v="2026-10-16 17:30:57"/>
    <n v="8"/>
    <x v="6"/>
    <x v="6"/>
    <x v="1"/>
    <n v="0.71516467140120699"/>
    <n v="2E+20"/>
    <n v="0"/>
    <n v="15.8525130453024"/>
    <n v="176"/>
    <s v="Unnamed ProjectM1.QWaiting TimeQueue"/>
    <n v="10"/>
    <n v="1.0671040543452321"/>
    <n v="0.37045275622860491"/>
    <n v="0.95"/>
    <n v="0.2650059375039997"/>
    <n v="0.44197900416538999"/>
    <n v="1.56888053927778"/>
    <n v="0"/>
    <n v="23.9509837185512"/>
    <n v="166.8"/>
    <n v="0.2650059375039997"/>
    <n v="10"/>
    <n v="1"/>
  </r>
  <r>
    <x v="0"/>
    <s v="2026-10-16 17:30:57"/>
    <n v="9"/>
    <x v="6"/>
    <x v="6"/>
    <x v="1"/>
    <n v="0.89815065123818305"/>
    <n v="2E+20"/>
    <n v="0"/>
    <n v="19.221452541902401"/>
    <n v="178"/>
    <s v="Unnamed ProjectM1.QWaiting TimeQueue"/>
    <n v="10"/>
    <n v="1.0671040543452321"/>
    <n v="0.37045275622860491"/>
    <n v="0.95"/>
    <n v="0.2650059375039997"/>
    <n v="0.44197900416538999"/>
    <n v="1.56888053927778"/>
    <n v="0"/>
    <n v="23.9509837185512"/>
    <n v="166.8"/>
    <n v="0.2650059375039997"/>
    <n v="10"/>
    <n v="1"/>
  </r>
  <r>
    <x v="0"/>
    <s v="2026-10-16 17:30:57"/>
    <n v="10"/>
    <x v="6"/>
    <x v="6"/>
    <x v="1"/>
    <n v="1.2382556780129399"/>
    <n v="2E+20"/>
    <n v="0"/>
    <n v="18.755391025810201"/>
    <n v="166"/>
    <s v="Unnamed ProjectM1.QWaiting TimeQueue"/>
    <n v="10"/>
    <n v="1.0671040543452321"/>
    <n v="0.37045275622860491"/>
    <n v="0.95"/>
    <n v="0.2650059375039997"/>
    <n v="0.44197900416538999"/>
    <n v="1.56888053927778"/>
    <n v="0"/>
    <n v="23.9509837185512"/>
    <n v="166.8"/>
    <n v="0.2650059375039997"/>
    <n v="10"/>
    <n v="1"/>
  </r>
  <r>
    <x v="0"/>
    <s v="2026-10-16 17:30:57"/>
    <n v="1"/>
    <x v="7"/>
    <x v="6"/>
    <x v="1"/>
    <n v="19.797376315424"/>
    <n v="2E+20"/>
    <n v="0"/>
    <n v="85.698553160587693"/>
    <n v="122"/>
    <s v="Unnamed ProjectM2.QWaiting TimeQueue"/>
    <n v="10"/>
    <n v="34.44606615353954"/>
    <n v="18.017933671946704"/>
    <n v="0.95"/>
    <n v="12.889253283548451"/>
    <n v="12.627252141303"/>
    <n v="65.803371989875501"/>
    <n v="0"/>
    <n v="225.51091633065201"/>
    <n v="118.9"/>
    <n v="12.889253283548451"/>
    <n v="10"/>
    <n v="1"/>
  </r>
  <r>
    <x v="0"/>
    <s v="2026-10-16 17:30:57"/>
    <n v="2"/>
    <x v="7"/>
    <x v="6"/>
    <x v="1"/>
    <n v="35.402068951330598"/>
    <n v="2E+20"/>
    <n v="0"/>
    <n v="136.21512171562699"/>
    <n v="110"/>
    <s v="Unnamed ProjectM2.QWaiting TimeQueue"/>
    <n v="10"/>
    <n v="34.44606615353954"/>
    <n v="18.017933671946704"/>
    <n v="0.95"/>
    <n v="12.889253283548451"/>
    <n v="12.627252141303"/>
    <n v="65.803371989875501"/>
    <n v="0"/>
    <n v="225.51091633065201"/>
    <n v="118.9"/>
    <n v="12.889253283548451"/>
    <n v="10"/>
    <n v="1"/>
  </r>
  <r>
    <x v="0"/>
    <s v="2026-10-16 17:30:57"/>
    <n v="3"/>
    <x v="7"/>
    <x v="6"/>
    <x v="1"/>
    <n v="65.803371989875501"/>
    <n v="2E+20"/>
    <n v="0"/>
    <n v="225.51091633065201"/>
    <n v="130"/>
    <s v="Unnamed ProjectM2.QWaiting TimeQueue"/>
    <n v="10"/>
    <n v="34.44606615353954"/>
    <n v="18.017933671946704"/>
    <n v="0.95"/>
    <n v="12.889253283548451"/>
    <n v="12.627252141303"/>
    <n v="65.803371989875501"/>
    <n v="0"/>
    <n v="225.51091633065201"/>
    <n v="118.9"/>
    <n v="12.889253283548451"/>
    <n v="10"/>
    <n v="1"/>
  </r>
  <r>
    <x v="0"/>
    <s v="2026-10-16 17:30:57"/>
    <n v="4"/>
    <x v="7"/>
    <x v="6"/>
    <x v="1"/>
    <n v="43.516802778006401"/>
    <n v="2E+20"/>
    <n v="0"/>
    <n v="103.07591462497"/>
    <n v="127"/>
    <s v="Unnamed ProjectM2.QWaiting TimeQueue"/>
    <n v="10"/>
    <n v="34.44606615353954"/>
    <n v="18.017933671946704"/>
    <n v="0.95"/>
    <n v="12.889253283548451"/>
    <n v="12.627252141303"/>
    <n v="65.803371989875501"/>
    <n v="0"/>
    <n v="225.51091633065201"/>
    <n v="118.9"/>
    <n v="12.889253283548451"/>
    <n v="10"/>
    <n v="1"/>
  </r>
  <r>
    <x v="0"/>
    <s v="2026-10-16 17:30:57"/>
    <n v="5"/>
    <x v="7"/>
    <x v="6"/>
    <x v="1"/>
    <n v="13.3521137387604"/>
    <n v="2E+20"/>
    <n v="0"/>
    <n v="56.031912138275402"/>
    <n v="101"/>
    <s v="Unnamed ProjectM2.QWaiting TimeQueue"/>
    <n v="10"/>
    <n v="34.44606615353954"/>
    <n v="18.017933671946704"/>
    <n v="0.95"/>
    <n v="12.889253283548451"/>
    <n v="12.627252141303"/>
    <n v="65.803371989875501"/>
    <n v="0"/>
    <n v="225.51091633065201"/>
    <n v="118.9"/>
    <n v="12.889253283548451"/>
    <n v="10"/>
    <n v="1"/>
  </r>
  <r>
    <x v="0"/>
    <s v="2026-10-16 17:30:57"/>
    <n v="6"/>
    <x v="7"/>
    <x v="6"/>
    <x v="1"/>
    <n v="27.665233690617899"/>
    <n v="2E+20"/>
    <n v="0"/>
    <n v="94.127105327405204"/>
    <n v="134"/>
    <s v="Unnamed ProjectM2.QWaiting TimeQueue"/>
    <n v="10"/>
    <n v="34.44606615353954"/>
    <n v="18.017933671946704"/>
    <n v="0.95"/>
    <n v="12.889253283548451"/>
    <n v="12.627252141303"/>
    <n v="65.803371989875501"/>
    <n v="0"/>
    <n v="225.51091633065201"/>
    <n v="118.9"/>
    <n v="12.889253283548451"/>
    <n v="10"/>
    <n v="1"/>
  </r>
  <r>
    <x v="0"/>
    <s v="2026-10-16 17:30:57"/>
    <n v="7"/>
    <x v="7"/>
    <x v="6"/>
    <x v="1"/>
    <n v="12.627252141303"/>
    <n v="2E+20"/>
    <n v="0"/>
    <n v="66.636882998070405"/>
    <n v="111"/>
    <s v="Unnamed ProjectM2.QWaiting TimeQueue"/>
    <n v="10"/>
    <n v="34.44606615353954"/>
    <n v="18.017933671946704"/>
    <n v="0.95"/>
    <n v="12.889253283548451"/>
    <n v="12.627252141303"/>
    <n v="65.803371989875501"/>
    <n v="0"/>
    <n v="225.51091633065201"/>
    <n v="118.9"/>
    <n v="12.889253283548451"/>
    <n v="10"/>
    <n v="1"/>
  </r>
  <r>
    <x v="0"/>
    <s v="2026-10-16 17:30:57"/>
    <n v="8"/>
    <x v="7"/>
    <x v="6"/>
    <x v="1"/>
    <n v="60.222508796042398"/>
    <n v="2E+20"/>
    <n v="0"/>
    <n v="148.47962721132899"/>
    <n v="123"/>
    <s v="Unnamed ProjectM2.QWaiting TimeQueue"/>
    <n v="10"/>
    <n v="34.44606615353954"/>
    <n v="18.017933671946704"/>
    <n v="0.95"/>
    <n v="12.889253283548451"/>
    <n v="12.627252141303"/>
    <n v="65.803371989875501"/>
    <n v="0"/>
    <n v="225.51091633065201"/>
    <n v="118.9"/>
    <n v="12.889253283548451"/>
    <n v="10"/>
    <n v="1"/>
  </r>
  <r>
    <x v="0"/>
    <s v="2026-10-16 17:30:57"/>
    <n v="9"/>
    <x v="7"/>
    <x v="6"/>
    <x v="1"/>
    <n v="31.3991057893675"/>
    <n v="2E+20"/>
    <n v="0"/>
    <n v="101.883193898551"/>
    <n v="121"/>
    <s v="Unnamed ProjectM2.QWaiting TimeQueue"/>
    <n v="10"/>
    <n v="34.44606615353954"/>
    <n v="18.017933671946704"/>
    <n v="0.95"/>
    <n v="12.889253283548451"/>
    <n v="12.627252141303"/>
    <n v="65.803371989875501"/>
    <n v="0"/>
    <n v="225.51091633065201"/>
    <n v="118.9"/>
    <n v="12.889253283548451"/>
    <n v="10"/>
    <n v="1"/>
  </r>
  <r>
    <x v="0"/>
    <s v="2026-10-16 17:30:57"/>
    <n v="10"/>
    <x v="7"/>
    <x v="6"/>
    <x v="1"/>
    <n v="34.674827344667698"/>
    <n v="2E+20"/>
    <n v="0"/>
    <n v="117.992914406545"/>
    <n v="110"/>
    <s v="Unnamed ProjectM2.QWaiting TimeQueue"/>
    <n v="10"/>
    <n v="34.44606615353954"/>
    <n v="18.017933671946704"/>
    <n v="0.95"/>
    <n v="12.889253283548451"/>
    <n v="12.627252141303"/>
    <n v="65.803371989875501"/>
    <n v="0"/>
    <n v="225.51091633065201"/>
    <n v="118.9"/>
    <n v="12.889253283548451"/>
    <n v="10"/>
    <n v="1"/>
  </r>
  <r>
    <x v="0"/>
    <s v="2026-10-16 17:30:57"/>
    <n v="1"/>
    <x v="8"/>
    <x v="6"/>
    <x v="1"/>
    <n v="0.21754533385382999"/>
    <n v="2E+20"/>
    <n v="0"/>
    <n v="18.827976989477499"/>
    <n v="174"/>
    <s v="Unnamed ProjectM3.QWaiting TimeQueue"/>
    <n v="10"/>
    <n v="0.3107068026011599"/>
    <n v="8.4107136405101632E-2"/>
    <n v="0.95"/>
    <n v="6.0166620868806149E-2"/>
    <n v="0.18745126643182999"/>
    <n v="0.41527216816366702"/>
    <n v="0"/>
    <n v="20.568253815268498"/>
    <n v="176.2"/>
    <n v="6.0166620868806149E-2"/>
    <n v="10"/>
    <n v="1"/>
  </r>
  <r>
    <x v="0"/>
    <s v="2026-10-16 17:30:57"/>
    <n v="2"/>
    <x v="8"/>
    <x v="6"/>
    <x v="1"/>
    <n v="0.351363093471591"/>
    <n v="2E+20"/>
    <n v="0"/>
    <n v="7.8488839918895801"/>
    <n v="172"/>
    <s v="Unnamed ProjectM3.QWaiting TimeQueue"/>
    <n v="10"/>
    <n v="0.3107068026011599"/>
    <n v="8.4107136405101632E-2"/>
    <n v="0.95"/>
    <n v="6.0166620868806149E-2"/>
    <n v="0.18745126643182999"/>
    <n v="0.41527216816366702"/>
    <n v="0"/>
    <n v="20.568253815268498"/>
    <n v="176.2"/>
    <n v="6.0166620868806149E-2"/>
    <n v="10"/>
    <n v="1"/>
  </r>
  <r>
    <x v="0"/>
    <s v="2026-10-16 17:30:57"/>
    <n v="3"/>
    <x v="8"/>
    <x v="6"/>
    <x v="1"/>
    <n v="0.38225851976119102"/>
    <n v="2E+20"/>
    <n v="0"/>
    <n v="16.102422619406099"/>
    <n v="187"/>
    <s v="Unnamed ProjectM3.QWaiting TimeQueue"/>
    <n v="10"/>
    <n v="0.3107068026011599"/>
    <n v="8.4107136405101632E-2"/>
    <n v="0.95"/>
    <n v="6.0166620868806149E-2"/>
    <n v="0.18745126643182999"/>
    <n v="0.41527216816366702"/>
    <n v="0"/>
    <n v="20.568253815268498"/>
    <n v="176.2"/>
    <n v="6.0166620868806149E-2"/>
    <n v="10"/>
    <n v="1"/>
  </r>
  <r>
    <x v="0"/>
    <s v="2026-10-16 17:30:57"/>
    <n v="4"/>
    <x v="8"/>
    <x v="6"/>
    <x v="1"/>
    <n v="0.29203437343608302"/>
    <n v="2E+20"/>
    <n v="0"/>
    <n v="10.0201277773375"/>
    <n v="191"/>
    <s v="Unnamed ProjectM3.QWaiting TimeQueue"/>
    <n v="10"/>
    <n v="0.3107068026011599"/>
    <n v="8.4107136405101632E-2"/>
    <n v="0.95"/>
    <n v="6.0166620868806149E-2"/>
    <n v="0.18745126643182999"/>
    <n v="0.41527216816366702"/>
    <n v="0"/>
    <n v="20.568253815268498"/>
    <n v="176.2"/>
    <n v="6.0166620868806149E-2"/>
    <n v="10"/>
    <n v="1"/>
  </r>
  <r>
    <x v="0"/>
    <s v="2026-10-16 17:30:57"/>
    <n v="5"/>
    <x v="8"/>
    <x v="6"/>
    <x v="1"/>
    <n v="0.268284297855996"/>
    <n v="2E+20"/>
    <n v="0"/>
    <n v="13.951901058486801"/>
    <n v="149"/>
    <s v="Unnamed ProjectM3.QWaiting TimeQueue"/>
    <n v="10"/>
    <n v="0.3107068026011599"/>
    <n v="8.4107136405101632E-2"/>
    <n v="0.95"/>
    <n v="6.0166620868806149E-2"/>
    <n v="0.18745126643182999"/>
    <n v="0.41527216816366702"/>
    <n v="0"/>
    <n v="20.568253815268498"/>
    <n v="176.2"/>
    <n v="6.0166620868806149E-2"/>
    <n v="10"/>
    <n v="1"/>
  </r>
  <r>
    <x v="0"/>
    <s v="2026-10-16 17:30:57"/>
    <n v="6"/>
    <x v="8"/>
    <x v="6"/>
    <x v="1"/>
    <n v="0.18745126643182999"/>
    <n v="2E+20"/>
    <n v="0"/>
    <n v="5.9788008938589901"/>
    <n v="198"/>
    <s v="Unnamed ProjectM3.QWaiting TimeQueue"/>
    <n v="10"/>
    <n v="0.3107068026011599"/>
    <n v="8.4107136405101632E-2"/>
    <n v="0.95"/>
    <n v="6.0166620868806149E-2"/>
    <n v="0.18745126643182999"/>
    <n v="0.41527216816366702"/>
    <n v="0"/>
    <n v="20.568253815268498"/>
    <n v="176.2"/>
    <n v="6.0166620868806149E-2"/>
    <n v="10"/>
    <n v="1"/>
  </r>
  <r>
    <x v="0"/>
    <s v="2026-10-16 17:30:57"/>
    <n v="7"/>
    <x v="8"/>
    <x v="6"/>
    <x v="1"/>
    <n v="0.38515552547774201"/>
    <n v="2E+20"/>
    <n v="0"/>
    <n v="20.568253815268498"/>
    <n v="163"/>
    <s v="Unnamed ProjectM3.QWaiting TimeQueue"/>
    <n v="10"/>
    <n v="0.3107068026011599"/>
    <n v="8.4107136405101632E-2"/>
    <n v="0.95"/>
    <n v="6.0166620868806149E-2"/>
    <n v="0.18745126643182999"/>
    <n v="0.41527216816366702"/>
    <n v="0"/>
    <n v="20.568253815268498"/>
    <n v="176.2"/>
    <n v="6.0166620868806149E-2"/>
    <n v="10"/>
    <n v="1"/>
  </r>
  <r>
    <x v="0"/>
    <s v="2026-10-16 17:30:57"/>
    <n v="8"/>
    <x v="8"/>
    <x v="6"/>
    <x v="1"/>
    <n v="0.38842028807151502"/>
    <n v="2E+20"/>
    <n v="0"/>
    <n v="11.032409888090699"/>
    <n v="181"/>
    <s v="Unnamed ProjectM3.QWaiting TimeQueue"/>
    <n v="10"/>
    <n v="0.3107068026011599"/>
    <n v="8.4107136405101632E-2"/>
    <n v="0.95"/>
    <n v="6.0166620868806149E-2"/>
    <n v="0.18745126643182999"/>
    <n v="0.41527216816366702"/>
    <n v="0"/>
    <n v="20.568253815268498"/>
    <n v="176.2"/>
    <n v="6.0166620868806149E-2"/>
    <n v="10"/>
    <n v="1"/>
  </r>
  <r>
    <x v="0"/>
    <s v="2026-10-16 17:30:57"/>
    <n v="9"/>
    <x v="8"/>
    <x v="6"/>
    <x v="1"/>
    <n v="0.21928315948815399"/>
    <n v="2E+20"/>
    <n v="0"/>
    <n v="5.3070846532044698"/>
    <n v="183"/>
    <s v="Unnamed ProjectM3.QWaiting TimeQueue"/>
    <n v="10"/>
    <n v="0.3107068026011599"/>
    <n v="8.4107136405101632E-2"/>
    <n v="0.95"/>
    <n v="6.0166620868806149E-2"/>
    <n v="0.18745126643182999"/>
    <n v="0.41527216816366702"/>
    <n v="0"/>
    <n v="20.568253815268498"/>
    <n v="176.2"/>
    <n v="6.0166620868806149E-2"/>
    <n v="10"/>
    <n v="1"/>
  </r>
  <r>
    <x v="0"/>
    <s v="2026-10-16 17:30:57"/>
    <n v="10"/>
    <x v="8"/>
    <x v="6"/>
    <x v="1"/>
    <n v="0.41527216816366702"/>
    <n v="2E+20"/>
    <n v="0"/>
    <n v="12.038648914971199"/>
    <n v="164"/>
    <s v="Unnamed ProjectM3.QWaiting TimeQueue"/>
    <n v="10"/>
    <n v="0.3107068026011599"/>
    <n v="8.4107136405101632E-2"/>
    <n v="0.95"/>
    <n v="6.0166620868806149E-2"/>
    <n v="0.18745126643182999"/>
    <n v="0.41527216816366702"/>
    <n v="0"/>
    <n v="20.568253815268498"/>
    <n v="176.2"/>
    <n v="6.0166620868806149E-2"/>
    <n v="10"/>
    <n v="1"/>
  </r>
  <r>
    <x v="0"/>
    <s v="2026-10-16 17:30:57"/>
    <n v="1"/>
    <x v="9"/>
    <x v="6"/>
    <x v="1"/>
    <n v="12.230765272460999"/>
    <n v="2E+20"/>
    <n v="0"/>
    <n v="42.190664167411803"/>
    <n v="162"/>
    <s v="Unnamed ProjectM4.QWaiting TimeQueue"/>
    <n v="10"/>
    <n v="11.937035891377143"/>
    <n v="2.4321570302020485"/>
    <n v="0.95"/>
    <n v="1.7398603279601377"/>
    <n v="9.0500003375588793"/>
    <n v="17.158211561399899"/>
    <n v="0"/>
    <n v="87.314133231163396"/>
    <n v="165.9"/>
    <n v="1.7398603279601377"/>
    <n v="10"/>
    <n v="1"/>
  </r>
  <r>
    <x v="0"/>
    <s v="2026-10-16 17:30:57"/>
    <n v="2"/>
    <x v="9"/>
    <x v="6"/>
    <x v="1"/>
    <n v="10.528131497269101"/>
    <n v="2E+20"/>
    <n v="0"/>
    <n v="46.675809678170502"/>
    <n v="182"/>
    <s v="Unnamed ProjectM4.QWaiting TimeQueue"/>
    <n v="10"/>
    <n v="11.937035891377143"/>
    <n v="2.4321570302020485"/>
    <n v="0.95"/>
    <n v="1.7398603279601377"/>
    <n v="9.0500003375588793"/>
    <n v="17.158211561399899"/>
    <n v="0"/>
    <n v="87.314133231163396"/>
    <n v="165.9"/>
    <n v="1.7398603279601377"/>
    <n v="10"/>
    <n v="1"/>
  </r>
  <r>
    <x v="0"/>
    <s v="2026-10-16 17:30:57"/>
    <n v="3"/>
    <x v="9"/>
    <x v="6"/>
    <x v="1"/>
    <n v="17.158211561399899"/>
    <n v="2E+20"/>
    <n v="0"/>
    <n v="58.971244940513799"/>
    <n v="177"/>
    <s v="Unnamed ProjectM4.QWaiting TimeQueue"/>
    <n v="10"/>
    <n v="11.937035891377143"/>
    <n v="2.4321570302020485"/>
    <n v="0.95"/>
    <n v="1.7398603279601377"/>
    <n v="9.0500003375588793"/>
    <n v="17.158211561399899"/>
    <n v="0"/>
    <n v="87.314133231163396"/>
    <n v="165.9"/>
    <n v="1.7398603279601377"/>
    <n v="10"/>
    <n v="1"/>
  </r>
  <r>
    <x v="0"/>
    <s v="2026-10-16 17:30:57"/>
    <n v="4"/>
    <x v="9"/>
    <x v="6"/>
    <x v="1"/>
    <n v="10.8810951977235"/>
    <n v="2E+20"/>
    <n v="0"/>
    <n v="61.845023057709298"/>
    <n v="178"/>
    <s v="Unnamed ProjectM4.QWaiting TimeQueue"/>
    <n v="10"/>
    <n v="11.937035891377143"/>
    <n v="2.4321570302020485"/>
    <n v="0.95"/>
    <n v="1.7398603279601377"/>
    <n v="9.0500003375588793"/>
    <n v="17.158211561399899"/>
    <n v="0"/>
    <n v="87.314133231163396"/>
    <n v="165.9"/>
    <n v="1.7398603279601377"/>
    <n v="10"/>
    <n v="1"/>
  </r>
  <r>
    <x v="0"/>
    <s v="2026-10-16 17:30:57"/>
    <n v="5"/>
    <x v="9"/>
    <x v="6"/>
    <x v="1"/>
    <n v="10.448048380062"/>
    <n v="2E+20"/>
    <n v="0"/>
    <n v="56.226303562888504"/>
    <n v="139"/>
    <s v="Unnamed ProjectM4.QWaiting TimeQueue"/>
    <n v="10"/>
    <n v="11.937035891377143"/>
    <n v="2.4321570302020485"/>
    <n v="0.95"/>
    <n v="1.7398603279601377"/>
    <n v="9.0500003375588793"/>
    <n v="17.158211561399899"/>
    <n v="0"/>
    <n v="87.314133231163396"/>
    <n v="165.9"/>
    <n v="1.7398603279601377"/>
    <n v="10"/>
    <n v="1"/>
  </r>
  <r>
    <x v="0"/>
    <s v="2026-10-16 17:30:57"/>
    <n v="6"/>
    <x v="9"/>
    <x v="6"/>
    <x v="1"/>
    <n v="13.804327334027001"/>
    <n v="2E+20"/>
    <n v="0"/>
    <n v="87.314133231163396"/>
    <n v="169"/>
    <s v="Unnamed ProjectM4.QWaiting TimeQueue"/>
    <n v="10"/>
    <n v="11.937035891377143"/>
    <n v="2.4321570302020485"/>
    <n v="0.95"/>
    <n v="1.7398603279601377"/>
    <n v="9.0500003375588793"/>
    <n v="17.158211561399899"/>
    <n v="0"/>
    <n v="87.314133231163396"/>
    <n v="165.9"/>
    <n v="1.7398603279601377"/>
    <n v="10"/>
    <n v="1"/>
  </r>
  <r>
    <x v="0"/>
    <s v="2026-10-16 17:30:57"/>
    <n v="7"/>
    <x v="9"/>
    <x v="6"/>
    <x v="1"/>
    <n v="11.757545395251499"/>
    <n v="2E+20"/>
    <n v="0"/>
    <n v="72.208704416001893"/>
    <n v="147"/>
    <s v="Unnamed ProjectM4.QWaiting TimeQueue"/>
    <n v="10"/>
    <n v="11.937035891377143"/>
    <n v="2.4321570302020485"/>
    <n v="0.95"/>
    <n v="1.7398603279601377"/>
    <n v="9.0500003375588793"/>
    <n v="17.158211561399899"/>
    <n v="0"/>
    <n v="87.314133231163396"/>
    <n v="165.9"/>
    <n v="1.7398603279601377"/>
    <n v="10"/>
    <n v="1"/>
  </r>
  <r>
    <x v="0"/>
    <s v="2026-10-16 17:30:57"/>
    <n v="8"/>
    <x v="9"/>
    <x v="6"/>
    <x v="1"/>
    <n v="9.67585254730065"/>
    <n v="2E+20"/>
    <n v="0"/>
    <n v="62.235059636843999"/>
    <n v="174"/>
    <s v="Unnamed ProjectM4.QWaiting TimeQueue"/>
    <n v="10"/>
    <n v="11.937035891377143"/>
    <n v="2.4321570302020485"/>
    <n v="0.95"/>
    <n v="1.7398603279601377"/>
    <n v="9.0500003375588793"/>
    <n v="17.158211561399899"/>
    <n v="0"/>
    <n v="87.314133231163396"/>
    <n v="165.9"/>
    <n v="1.7398603279601377"/>
    <n v="10"/>
    <n v="1"/>
  </r>
  <r>
    <x v="0"/>
    <s v="2026-10-16 17:30:57"/>
    <n v="9"/>
    <x v="9"/>
    <x v="6"/>
    <x v="1"/>
    <n v="13.8363813907179"/>
    <n v="2E+20"/>
    <n v="0"/>
    <n v="67.888873693571895"/>
    <n v="168"/>
    <s v="Unnamed ProjectM4.QWaiting TimeQueue"/>
    <n v="10"/>
    <n v="11.937035891377143"/>
    <n v="2.4321570302020485"/>
    <n v="0.95"/>
    <n v="1.7398603279601377"/>
    <n v="9.0500003375588793"/>
    <n v="17.158211561399899"/>
    <n v="0"/>
    <n v="87.314133231163396"/>
    <n v="165.9"/>
    <n v="1.7398603279601377"/>
    <n v="10"/>
    <n v="1"/>
  </r>
  <r>
    <x v="0"/>
    <s v="2026-10-16 17:30:57"/>
    <n v="10"/>
    <x v="9"/>
    <x v="6"/>
    <x v="1"/>
    <n v="9.0500003375588793"/>
    <n v="2E+20"/>
    <n v="0"/>
    <n v="58.093878766092601"/>
    <n v="163"/>
    <s v="Unnamed ProjectM4.QWaiting TimeQueue"/>
    <n v="10"/>
    <n v="11.937035891377143"/>
    <n v="2.4321570302020485"/>
    <n v="0.95"/>
    <n v="1.7398603279601377"/>
    <n v="9.0500003375588793"/>
    <n v="17.158211561399899"/>
    <n v="0"/>
    <n v="87.314133231163396"/>
    <n v="165.9"/>
    <n v="1.7398603279601377"/>
    <n v="10"/>
    <n v="1"/>
  </r>
  <r>
    <x v="0"/>
    <s v="2026-10-16 17:30:57"/>
    <n v="1"/>
    <x v="10"/>
    <x v="6"/>
    <x v="1"/>
    <n v="0.419380117380589"/>
    <n v="2E+20"/>
    <n v="0"/>
    <n v="8.8804936268033998"/>
    <n v="214"/>
    <s v="Unnamed ProjectM5.QWaiting TimeQueue"/>
    <n v="10"/>
    <n v="0.39665689085332995"/>
    <n v="0.21594799211186244"/>
    <n v="0.95"/>
    <n v="0.1544798874877194"/>
    <n v="0.146064109372333"/>
    <n v="0.838540460893615"/>
    <n v="0"/>
    <n v="14.049023919221799"/>
    <n v="220.6"/>
    <n v="0.1544798874877194"/>
    <n v="10"/>
    <n v="1"/>
  </r>
  <r>
    <x v="0"/>
    <s v="2026-10-16 17:30:57"/>
    <n v="2"/>
    <x v="10"/>
    <x v="6"/>
    <x v="1"/>
    <n v="0.21130759348789199"/>
    <n v="2E+20"/>
    <n v="0"/>
    <n v="8.0171696538602593"/>
    <n v="224"/>
    <s v="Unnamed ProjectM5.QWaiting TimeQueue"/>
    <n v="10"/>
    <n v="0.39665689085332995"/>
    <n v="0.21594799211186244"/>
    <n v="0.95"/>
    <n v="0.1544798874877194"/>
    <n v="0.146064109372333"/>
    <n v="0.838540460893615"/>
    <n v="0"/>
    <n v="14.049023919221799"/>
    <n v="220.6"/>
    <n v="0.1544798874877194"/>
    <n v="10"/>
    <n v="1"/>
  </r>
  <r>
    <x v="0"/>
    <s v="2026-10-16 17:30:57"/>
    <n v="3"/>
    <x v="10"/>
    <x v="6"/>
    <x v="1"/>
    <n v="0.31467699775155"/>
    <n v="2E+20"/>
    <n v="0"/>
    <n v="8.76967288761921"/>
    <n v="236"/>
    <s v="Unnamed ProjectM5.QWaiting TimeQueue"/>
    <n v="10"/>
    <n v="0.39665689085332995"/>
    <n v="0.21594799211186244"/>
    <n v="0.95"/>
    <n v="0.1544798874877194"/>
    <n v="0.146064109372333"/>
    <n v="0.838540460893615"/>
    <n v="0"/>
    <n v="14.049023919221799"/>
    <n v="220.6"/>
    <n v="0.1544798874877194"/>
    <n v="10"/>
    <n v="1"/>
  </r>
  <r>
    <x v="0"/>
    <s v="2026-10-16 17:30:57"/>
    <n v="4"/>
    <x v="10"/>
    <x v="6"/>
    <x v="1"/>
    <n v="0.62362651290496596"/>
    <n v="2E+20"/>
    <n v="0"/>
    <n v="14.049023919221799"/>
    <n v="238"/>
    <s v="Unnamed ProjectM5.QWaiting TimeQueue"/>
    <n v="10"/>
    <n v="0.39665689085332995"/>
    <n v="0.21594799211186244"/>
    <n v="0.95"/>
    <n v="0.1544798874877194"/>
    <n v="0.146064109372333"/>
    <n v="0.838540460893615"/>
    <n v="0"/>
    <n v="14.049023919221799"/>
    <n v="220.6"/>
    <n v="0.1544798874877194"/>
    <n v="10"/>
    <n v="1"/>
  </r>
  <r>
    <x v="0"/>
    <s v="2026-10-16 17:30:57"/>
    <n v="5"/>
    <x v="10"/>
    <x v="6"/>
    <x v="1"/>
    <n v="0.52127103429143695"/>
    <n v="2E+20"/>
    <n v="0"/>
    <n v="12.779912104772601"/>
    <n v="191"/>
    <s v="Unnamed ProjectM5.QWaiting TimeQueue"/>
    <n v="10"/>
    <n v="0.39665689085332995"/>
    <n v="0.21594799211186244"/>
    <n v="0.95"/>
    <n v="0.1544798874877194"/>
    <n v="0.146064109372333"/>
    <n v="0.838540460893615"/>
    <n v="0"/>
    <n v="14.049023919221799"/>
    <n v="220.6"/>
    <n v="0.1544798874877194"/>
    <n v="10"/>
    <n v="1"/>
  </r>
  <r>
    <x v="0"/>
    <s v="2026-10-16 17:30:57"/>
    <n v="6"/>
    <x v="10"/>
    <x v="6"/>
    <x v="1"/>
    <n v="0.146064109372333"/>
    <n v="2E+20"/>
    <n v="0"/>
    <n v="6.1246058290521397"/>
    <n v="235"/>
    <s v="Unnamed ProjectM5.QWaiting TimeQueue"/>
    <n v="10"/>
    <n v="0.39665689085332995"/>
    <n v="0.21594799211186244"/>
    <n v="0.95"/>
    <n v="0.1544798874877194"/>
    <n v="0.146064109372333"/>
    <n v="0.838540460893615"/>
    <n v="0"/>
    <n v="14.049023919221799"/>
    <n v="220.6"/>
    <n v="0.1544798874877194"/>
    <n v="10"/>
    <n v="1"/>
  </r>
  <r>
    <x v="0"/>
    <s v="2026-10-16 17:30:57"/>
    <n v="7"/>
    <x v="10"/>
    <x v="6"/>
    <x v="1"/>
    <n v="0.41667314141894501"/>
    <n v="2E+20"/>
    <n v="0"/>
    <n v="8.7517026626762799"/>
    <n v="203"/>
    <s v="Unnamed ProjectM5.QWaiting TimeQueue"/>
    <n v="10"/>
    <n v="0.39665689085332995"/>
    <n v="0.21594799211186244"/>
    <n v="0.95"/>
    <n v="0.1544798874877194"/>
    <n v="0.146064109372333"/>
    <n v="0.838540460893615"/>
    <n v="0"/>
    <n v="14.049023919221799"/>
    <n v="220.6"/>
    <n v="0.1544798874877194"/>
    <n v="10"/>
    <n v="1"/>
  </r>
  <r>
    <x v="0"/>
    <s v="2026-10-16 17:30:57"/>
    <n v="8"/>
    <x v="10"/>
    <x v="6"/>
    <x v="1"/>
    <n v="0.838540460893615"/>
    <n v="2E+20"/>
    <n v="0"/>
    <n v="9.9866348012235999"/>
    <n v="232"/>
    <s v="Unnamed ProjectM5.QWaiting TimeQueue"/>
    <n v="10"/>
    <n v="0.39665689085332995"/>
    <n v="0.21594799211186244"/>
    <n v="0.95"/>
    <n v="0.1544798874877194"/>
    <n v="0.146064109372333"/>
    <n v="0.838540460893615"/>
    <n v="0"/>
    <n v="14.049023919221799"/>
    <n v="220.6"/>
    <n v="0.1544798874877194"/>
    <n v="10"/>
    <n v="1"/>
  </r>
  <r>
    <x v="0"/>
    <s v="2026-10-16 17:30:57"/>
    <n v="9"/>
    <x v="10"/>
    <x v="6"/>
    <x v="1"/>
    <n v="0.26878276015811498"/>
    <n v="2E+20"/>
    <n v="0"/>
    <n v="10.2656368335136"/>
    <n v="223"/>
    <s v="Unnamed ProjectM5.QWaiting TimeQueue"/>
    <n v="10"/>
    <n v="0.39665689085332995"/>
    <n v="0.21594799211186244"/>
    <n v="0.95"/>
    <n v="0.1544798874877194"/>
    <n v="0.146064109372333"/>
    <n v="0.838540460893615"/>
    <n v="0"/>
    <n v="14.049023919221799"/>
    <n v="220.6"/>
    <n v="0.1544798874877194"/>
    <n v="10"/>
    <n v="1"/>
  </r>
  <r>
    <x v="0"/>
    <s v="2026-10-16 17:30:57"/>
    <n v="10"/>
    <x v="10"/>
    <x v="6"/>
    <x v="1"/>
    <n v="0.20624618087385799"/>
    <n v="2E+20"/>
    <n v="0"/>
    <n v="5.6727114731664896"/>
    <n v="210"/>
    <s v="Unnamed ProjectM5.QWaiting TimeQueue"/>
    <n v="10"/>
    <n v="0.39665689085332995"/>
    <n v="0.21594799211186244"/>
    <n v="0.95"/>
    <n v="0.1544798874877194"/>
    <n v="0.146064109372333"/>
    <n v="0.838540460893615"/>
    <n v="0"/>
    <n v="14.049023919221799"/>
    <n v="220.6"/>
    <n v="0.1544798874877194"/>
    <n v="10"/>
    <n v="1"/>
  </r>
  <r>
    <x v="0"/>
    <s v="2026-10-16 17:30:57"/>
    <n v="1"/>
    <x v="11"/>
    <x v="7"/>
    <x v="2"/>
    <n v="46.280995926639001"/>
    <n v="2E+20"/>
    <n v="14.443621455104299"/>
    <n v="109.036713448811"/>
    <n v="143"/>
    <s v="Unnamed ProjectTally 1IntervalUser Specified"/>
    <n v="10"/>
    <n v="50.857776733664473"/>
    <n v="5.8895653869330848"/>
    <n v="0.95"/>
    <n v="4.2131412727083717"/>
    <n v="43.777301708810903"/>
    <n v="62.233185761312299"/>
    <n v="13.298568495813001"/>
    <n v="244.587504005581"/>
    <n v="156.19999999999999"/>
    <n v="4.2131412727083717"/>
    <n v="10"/>
    <n v="1"/>
  </r>
  <r>
    <x v="0"/>
    <s v="2026-10-16 17:30:57"/>
    <n v="2"/>
    <x v="11"/>
    <x v="7"/>
    <x v="2"/>
    <n v="48.333068578703497"/>
    <n v="2E+20"/>
    <n v="16.052333432383602"/>
    <n v="184.30394755754401"/>
    <n v="156"/>
    <s v="Unnamed ProjectTally 1IntervalUser Specified"/>
    <n v="10"/>
    <n v="50.857776733664473"/>
    <n v="5.8895653869330848"/>
    <n v="0.95"/>
    <n v="4.2131412727083717"/>
    <n v="43.777301708810903"/>
    <n v="62.233185761312299"/>
    <n v="13.298568495813001"/>
    <n v="244.587504005581"/>
    <n v="156.19999999999999"/>
    <n v="4.2131412727083717"/>
    <n v="10"/>
    <n v="1"/>
  </r>
  <r>
    <x v="0"/>
    <s v="2026-10-16 17:30:57"/>
    <n v="3"/>
    <x v="11"/>
    <x v="7"/>
    <x v="2"/>
    <n v="62.233185761312299"/>
    <n v="2E+20"/>
    <n v="14.7096057128285"/>
    <n v="244.587504005581"/>
    <n v="162"/>
    <s v="Unnamed ProjectTally 1IntervalUser Specified"/>
    <n v="10"/>
    <n v="50.857776733664473"/>
    <n v="5.8895653869330848"/>
    <n v="0.95"/>
    <n v="4.2131412727083717"/>
    <n v="43.777301708810903"/>
    <n v="62.233185761312299"/>
    <n v="13.298568495813001"/>
    <n v="244.587504005581"/>
    <n v="156.19999999999999"/>
    <n v="4.2131412727083717"/>
    <n v="10"/>
    <n v="1"/>
  </r>
  <r>
    <x v="0"/>
    <s v="2026-10-16 17:30:57"/>
    <n v="4"/>
    <x v="11"/>
    <x v="7"/>
    <x v="2"/>
    <n v="55.346602286898602"/>
    <n v="2E+20"/>
    <n v="13.298568495813001"/>
    <n v="153.357693254547"/>
    <n v="171"/>
    <s v="Unnamed ProjectTally 1IntervalUser Specified"/>
    <n v="10"/>
    <n v="50.857776733664473"/>
    <n v="5.8895653869330848"/>
    <n v="0.95"/>
    <n v="4.2131412727083717"/>
    <n v="43.777301708810903"/>
    <n v="62.233185761312299"/>
    <n v="13.298568495813001"/>
    <n v="244.587504005581"/>
    <n v="156.19999999999999"/>
    <n v="4.2131412727083717"/>
    <n v="10"/>
    <n v="1"/>
  </r>
  <r>
    <x v="0"/>
    <s v="2026-10-16 17:30:57"/>
    <n v="5"/>
    <x v="11"/>
    <x v="7"/>
    <x v="2"/>
    <n v="43.777301708810903"/>
    <n v="2E+20"/>
    <n v="14.4766449974704"/>
    <n v="104.82721760919701"/>
    <n v="142"/>
    <s v="Unnamed ProjectTally 1IntervalUser Specified"/>
    <n v="10"/>
    <n v="50.857776733664473"/>
    <n v="5.8895653869330848"/>
    <n v="0.95"/>
    <n v="4.2131412727083717"/>
    <n v="43.777301708810903"/>
    <n v="62.233185761312299"/>
    <n v="13.298568495813001"/>
    <n v="244.587504005581"/>
    <n v="156.19999999999999"/>
    <n v="4.2131412727083717"/>
    <n v="10"/>
    <n v="1"/>
  </r>
  <r>
    <x v="0"/>
    <s v="2026-10-16 17:30:57"/>
    <n v="6"/>
    <x v="11"/>
    <x v="7"/>
    <x v="2"/>
    <n v="51.104849035350398"/>
    <n v="2E+20"/>
    <n v="13.765281528695599"/>
    <n v="127.118421020854"/>
    <n v="167"/>
    <s v="Unnamed ProjectTally 1IntervalUser Specified"/>
    <n v="10"/>
    <n v="50.857776733664473"/>
    <n v="5.8895653869330848"/>
    <n v="0.95"/>
    <n v="4.2131412727083717"/>
    <n v="43.777301708810903"/>
    <n v="62.233185761312299"/>
    <n v="13.298568495813001"/>
    <n v="244.587504005581"/>
    <n v="156.19999999999999"/>
    <n v="4.2131412727083717"/>
    <n v="10"/>
    <n v="1"/>
  </r>
  <r>
    <x v="0"/>
    <s v="2026-10-16 17:30:57"/>
    <n v="7"/>
    <x v="11"/>
    <x v="7"/>
    <x v="2"/>
    <n v="44.210567417456097"/>
    <n v="2E+20"/>
    <n v="14.313289999954099"/>
    <n v="139.29217665330401"/>
    <n v="150"/>
    <s v="Unnamed ProjectTally 1IntervalUser Specified"/>
    <n v="10"/>
    <n v="50.857776733664473"/>
    <n v="5.8895653869330848"/>
    <n v="0.95"/>
    <n v="4.2131412727083717"/>
    <n v="43.777301708810903"/>
    <n v="62.233185761312299"/>
    <n v="13.298568495813001"/>
    <n v="244.587504005581"/>
    <n v="156.19999999999999"/>
    <n v="4.2131412727083717"/>
    <n v="10"/>
    <n v="1"/>
  </r>
  <r>
    <x v="0"/>
    <s v="2026-10-16 17:30:57"/>
    <n v="8"/>
    <x v="11"/>
    <x v="7"/>
    <x v="2"/>
    <n v="57.100858020211398"/>
    <n v="2E+20"/>
    <n v="14.652348288828501"/>
    <n v="167.98991556889101"/>
    <n v="165"/>
    <s v="Unnamed ProjectTally 1IntervalUser Specified"/>
    <n v="10"/>
    <n v="50.857776733664473"/>
    <n v="5.8895653869330848"/>
    <n v="0.95"/>
    <n v="4.2131412727083717"/>
    <n v="43.777301708810903"/>
    <n v="62.233185761312299"/>
    <n v="13.298568495813001"/>
    <n v="244.587504005581"/>
    <n v="156.19999999999999"/>
    <n v="4.2131412727083717"/>
    <n v="10"/>
    <n v="1"/>
  </r>
  <r>
    <x v="0"/>
    <s v="2026-10-16 17:30:57"/>
    <n v="9"/>
    <x v="11"/>
    <x v="7"/>
    <x v="2"/>
    <n v="50.725049316230198"/>
    <n v="2E+20"/>
    <n v="14.550630517451699"/>
    <n v="128.724435248909"/>
    <n v="160"/>
    <s v="Unnamed ProjectTally 1IntervalUser Specified"/>
    <n v="10"/>
    <n v="50.857776733664473"/>
    <n v="5.8895653869330848"/>
    <n v="0.95"/>
    <n v="4.2131412727083717"/>
    <n v="43.777301708810903"/>
    <n v="62.233185761312299"/>
    <n v="13.298568495813001"/>
    <n v="244.587504005581"/>
    <n v="156.19999999999999"/>
    <n v="4.2131412727083717"/>
    <n v="10"/>
    <n v="1"/>
  </r>
  <r>
    <x v="0"/>
    <s v="2026-10-16 17:30:57"/>
    <n v="10"/>
    <x v="11"/>
    <x v="7"/>
    <x v="2"/>
    <n v="49.465289285032398"/>
    <n v="2E+20"/>
    <n v="14.163930546644799"/>
    <n v="174.33747541988899"/>
    <n v="146"/>
    <s v="Unnamed ProjectTally 1IntervalUser Specified"/>
    <n v="10"/>
    <n v="50.857776733664473"/>
    <n v="5.8895653869330848"/>
    <n v="0.95"/>
    <n v="4.2131412727083717"/>
    <n v="43.777301708810903"/>
    <n v="62.233185761312299"/>
    <n v="13.298568495813001"/>
    <n v="244.587504005581"/>
    <n v="156.19999999999999"/>
    <n v="4.2131412727083717"/>
    <n v="10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0">
  <r>
    <x v="0"/>
    <s v="2026-10-16 17:30:57"/>
    <n v="1"/>
    <x v="0"/>
    <x v="0"/>
    <x v="0"/>
    <n v="207"/>
    <n v="0"/>
    <s v="Unnamed ProjectEntity 1.NumberInNumber InEntity"/>
    <n v="10"/>
    <n v="221.9"/>
    <n v="15.029230777979883"/>
    <n v="0.95"/>
    <n v="10.751264028454774"/>
    <n v="196"/>
    <n v="237"/>
  </r>
  <r>
    <x v="0"/>
    <s v="2026-10-16 17:30:57"/>
    <n v="1"/>
    <x v="1"/>
    <x v="1"/>
    <x v="0"/>
    <n v="214"/>
    <n v="0"/>
    <s v="Unnamed ProjectEntity 1.NumberOutNumber OutEntity"/>
    <n v="10"/>
    <n v="220.7"/>
    <n v="15.606622525923623"/>
    <n v="0.95"/>
    <n v="11.164305202796802"/>
    <n v="190"/>
    <n v="237"/>
  </r>
  <r>
    <x v="0"/>
    <s v="2026-10-16 17:30:57"/>
    <n v="1"/>
    <x v="2"/>
    <x v="2"/>
    <x v="1"/>
    <n v="157"/>
    <n v="0"/>
    <s v="Unnamed ProjectM1.NumberSeizedTotal Number SeizedResource"/>
    <n v="10"/>
    <n v="166.8"/>
    <n v="13.612086132877977"/>
    <n v="0.95"/>
    <n v="9.7374998198217781"/>
    <n v="142"/>
    <n v="181"/>
  </r>
  <r>
    <x v="0"/>
    <s v="2026-10-16 17:30:57"/>
    <n v="1"/>
    <x v="3"/>
    <x v="3"/>
    <x v="1"/>
    <n v="0.374267024592987"/>
    <n v="0"/>
    <s v="Unnamed ProjectM1.ScheduledUtilizationScheduled UtilizationResource"/>
    <n v="10"/>
    <n v="0.35418637725041224"/>
    <n v="3.3453936231241439E-2"/>
    <n v="0.95"/>
    <n v="2.3931504314920794E-2"/>
    <n v="0.29539806709730798"/>
    <n v="0.39865120046345498"/>
  </r>
  <r>
    <x v="0"/>
    <s v="2026-10-16 17:30:57"/>
    <n v="1"/>
    <x v="4"/>
    <x v="2"/>
    <x v="1"/>
    <n v="122"/>
    <n v="0"/>
    <s v="Unnamed ProjectM2.NumberSeizedTotal Number SeizedResource"/>
    <n v="10"/>
    <n v="118.9"/>
    <n v="10.482260146446366"/>
    <n v="0.95"/>
    <n v="7.4985571859414781"/>
    <n v="101"/>
    <n v="134"/>
  </r>
  <r>
    <x v="0"/>
    <s v="2026-10-16 17:30:57"/>
    <n v="1"/>
    <x v="5"/>
    <x v="3"/>
    <x v="1"/>
    <n v="0.80516328442467799"/>
    <n v="0"/>
    <s v="Unnamed ProjectM2.ScheduledUtilizationScheduled UtilizationResource"/>
    <n v="10"/>
    <n v="0.79069410142096264"/>
    <n v="8.4677985904895448E-2"/>
    <n v="0.95"/>
    <n v="6.0574982000753563E-2"/>
    <n v="0.62412916158771403"/>
    <n v="0.92247891730008102"/>
  </r>
  <r>
    <x v="0"/>
    <s v="2026-10-16 17:30:57"/>
    <n v="1"/>
    <x v="6"/>
    <x v="2"/>
    <x v="1"/>
    <n v="174"/>
    <n v="0"/>
    <s v="Unnamed ProjectM3.NumberSeizedTotal Number SeizedResource"/>
    <n v="10"/>
    <n v="176.2"/>
    <n v="14.778362561528933"/>
    <n v="0.95"/>
    <n v="10.571803717328045"/>
    <n v="149"/>
    <n v="198"/>
  </r>
  <r>
    <x v="0"/>
    <s v="2026-10-16 17:30:57"/>
    <n v="1"/>
    <x v="7"/>
    <x v="3"/>
    <x v="1"/>
    <n v="0.365889664505329"/>
    <n v="0"/>
    <s v="Unnamed ProjectM3.ScheduledUtilizationScheduled UtilizationResource"/>
    <n v="10"/>
    <n v="0.38204498745219106"/>
    <n v="2.9603647703352595E-2"/>
    <n v="0.95"/>
    <n v="2.1177173826515884E-2"/>
    <n v="0.32566726436532201"/>
    <n v="0.42511230467838501"/>
  </r>
  <r>
    <x v="0"/>
    <s v="2026-10-16 17:30:57"/>
    <n v="1"/>
    <x v="8"/>
    <x v="2"/>
    <x v="1"/>
    <n v="162"/>
    <n v="0"/>
    <s v="Unnamed ProjectM4.NumberSeizedTotal Number SeizedResource"/>
    <n v="10"/>
    <n v="165.9"/>
    <n v="13.795732029226366"/>
    <n v="0.95"/>
    <n v="9.8688721800277719"/>
    <n v="139"/>
    <n v="182"/>
  </r>
  <r>
    <x v="0"/>
    <s v="2026-10-16 17:30:57"/>
    <n v="1"/>
    <x v="9"/>
    <x v="3"/>
    <x v="1"/>
    <n v="0.65457885237446001"/>
    <n v="0"/>
    <s v="Unnamed ProjectM4.ScheduledUtilizationScheduled UtilizationResource"/>
    <n v="10"/>
    <n v="0.68948907951108873"/>
    <n v="7.0099805521104841E-2"/>
    <n v="0.95"/>
    <n v="5.0146379986722875E-2"/>
    <n v="0.59708526729729605"/>
    <n v="0.81511052462014799"/>
  </r>
  <r>
    <x v="0"/>
    <s v="2026-10-16 17:30:57"/>
    <n v="1"/>
    <x v="10"/>
    <x v="2"/>
    <x v="1"/>
    <n v="214"/>
    <n v="0"/>
    <s v="Unnamed ProjectM5.NumberSeizedTotal Number SeizedResource"/>
    <n v="10"/>
    <n v="220.6"/>
    <n v="15.763530343450636"/>
    <n v="0.95"/>
    <n v="11.276550293665537"/>
    <n v="191"/>
    <n v="238"/>
  </r>
  <r>
    <x v="0"/>
    <s v="2026-10-16 17:30:57"/>
    <n v="1"/>
    <x v="11"/>
    <x v="3"/>
    <x v="1"/>
    <n v="0.35101185739494301"/>
    <n v="0"/>
    <s v="Unnamed ProjectM5.ScheduledUtilizationScheduled UtilizationResource"/>
    <n v="10"/>
    <n v="0.35254112855323727"/>
    <n v="2.0819740340978523E-2"/>
    <n v="0.95"/>
    <n v="1.4893545033435028E-2"/>
    <n v="0.319082016284436"/>
    <n v="0.391918845838306"/>
  </r>
  <r>
    <x v="0"/>
    <s v="2026-10-16 17:30:57"/>
    <n v="1"/>
    <x v="12"/>
    <x v="1"/>
    <x v="2"/>
    <n v="214"/>
    <n v="0"/>
    <s v="Unnamed ProjectSystem.NumberOutNumber OutSystem"/>
    <n v="10"/>
    <n v="220.7"/>
    <n v="15.606622525923623"/>
    <n v="0.95"/>
    <n v="11.164305202796802"/>
    <n v="190"/>
    <n v="237"/>
  </r>
  <r>
    <x v="0"/>
    <s v="2026-10-16 17:30:57"/>
    <n v="2"/>
    <x v="0"/>
    <x v="0"/>
    <x v="0"/>
    <n v="223"/>
    <n v="0"/>
    <s v="Unnamed ProjectEntity 1.NumberInNumber InEntity"/>
    <n v="10"/>
    <n v="221.9"/>
    <n v="15.029230777979883"/>
    <n v="0.95"/>
    <n v="10.751264028454774"/>
    <n v="196"/>
    <n v="237"/>
  </r>
  <r>
    <x v="0"/>
    <s v="2026-10-16 17:30:57"/>
    <n v="2"/>
    <x v="1"/>
    <x v="1"/>
    <x v="0"/>
    <n v="225"/>
    <n v="0"/>
    <s v="Unnamed ProjectEntity 1.NumberOutNumber OutEntity"/>
    <n v="10"/>
    <n v="220.7"/>
    <n v="15.606622525923623"/>
    <n v="0.95"/>
    <n v="11.164305202796802"/>
    <n v="190"/>
    <n v="237"/>
  </r>
  <r>
    <x v="0"/>
    <s v="2026-10-16 17:30:57"/>
    <n v="2"/>
    <x v="2"/>
    <x v="2"/>
    <x v="1"/>
    <n v="181"/>
    <n v="0"/>
    <s v="Unnamed ProjectM1.NumberSeizedTotal Number SeizedResource"/>
    <n v="10"/>
    <n v="166.8"/>
    <n v="13.612086132877977"/>
    <n v="0.95"/>
    <n v="9.7374998198217781"/>
    <n v="142"/>
    <n v="181"/>
  </r>
  <r>
    <x v="0"/>
    <s v="2026-10-16 17:30:57"/>
    <n v="2"/>
    <x v="3"/>
    <x v="3"/>
    <x v="1"/>
    <n v="0.39865120046345498"/>
    <n v="0"/>
    <s v="Unnamed ProjectM1.ScheduledUtilizationScheduled UtilizationResource"/>
    <n v="10"/>
    <n v="0.35418637725041224"/>
    <n v="3.3453936231241439E-2"/>
    <n v="0.95"/>
    <n v="2.3931504314920794E-2"/>
    <n v="0.29539806709730798"/>
    <n v="0.39865120046345498"/>
  </r>
  <r>
    <x v="0"/>
    <s v="2026-10-16 17:30:57"/>
    <n v="2"/>
    <x v="4"/>
    <x v="2"/>
    <x v="1"/>
    <n v="110"/>
    <n v="0"/>
    <s v="Unnamed ProjectM2.NumberSeizedTotal Number SeizedResource"/>
    <n v="10"/>
    <n v="118.9"/>
    <n v="10.482260146446366"/>
    <n v="0.95"/>
    <n v="7.4985571859414781"/>
    <n v="101"/>
    <n v="134"/>
  </r>
  <r>
    <x v="0"/>
    <s v="2026-10-16 17:30:57"/>
    <n v="2"/>
    <x v="5"/>
    <x v="3"/>
    <x v="1"/>
    <n v="0.82897598860260902"/>
    <n v="0"/>
    <s v="Unnamed ProjectM2.ScheduledUtilizationScheduled UtilizationResource"/>
    <n v="10"/>
    <n v="0.79069410142096264"/>
    <n v="8.4677985904895448E-2"/>
    <n v="0.95"/>
    <n v="6.0574982000753563E-2"/>
    <n v="0.62412916158771403"/>
    <n v="0.92247891730008102"/>
  </r>
  <r>
    <x v="0"/>
    <s v="2026-10-16 17:30:57"/>
    <n v="2"/>
    <x v="6"/>
    <x v="2"/>
    <x v="1"/>
    <n v="172"/>
    <n v="0"/>
    <s v="Unnamed ProjectM3.NumberSeizedTotal Number SeizedResource"/>
    <n v="10"/>
    <n v="176.2"/>
    <n v="14.778362561528933"/>
    <n v="0.95"/>
    <n v="10.571803717328045"/>
    <n v="149"/>
    <n v="198"/>
  </r>
  <r>
    <x v="0"/>
    <s v="2026-10-16 17:30:57"/>
    <n v="2"/>
    <x v="7"/>
    <x v="3"/>
    <x v="1"/>
    <n v="0.38473638633557899"/>
    <n v="0"/>
    <s v="Unnamed ProjectM3.ScheduledUtilizationScheduled UtilizationResource"/>
    <n v="10"/>
    <n v="0.38204498745219106"/>
    <n v="2.9603647703352595E-2"/>
    <n v="0.95"/>
    <n v="2.1177173826515884E-2"/>
    <n v="0.32566726436532201"/>
    <n v="0.42511230467838501"/>
  </r>
  <r>
    <x v="0"/>
    <s v="2026-10-16 17:30:57"/>
    <n v="2"/>
    <x v="8"/>
    <x v="2"/>
    <x v="1"/>
    <n v="182"/>
    <n v="0"/>
    <s v="Unnamed ProjectM4.NumberSeizedTotal Number SeizedResource"/>
    <n v="10"/>
    <n v="165.9"/>
    <n v="13.795732029226366"/>
    <n v="0.95"/>
    <n v="9.8688721800277719"/>
    <n v="139"/>
    <n v="182"/>
  </r>
  <r>
    <x v="0"/>
    <s v="2026-10-16 17:30:57"/>
    <n v="2"/>
    <x v="9"/>
    <x v="3"/>
    <x v="1"/>
    <n v="0.73360482887559197"/>
    <n v="0"/>
    <s v="Unnamed ProjectM4.ScheduledUtilizationScheduled UtilizationResource"/>
    <n v="10"/>
    <n v="0.68948907951108873"/>
    <n v="7.0099805521104841E-2"/>
    <n v="0.95"/>
    <n v="5.0146379986722875E-2"/>
    <n v="0.59708526729729605"/>
    <n v="0.81511052462014799"/>
  </r>
  <r>
    <x v="0"/>
    <s v="2026-10-16 17:30:57"/>
    <n v="2"/>
    <x v="10"/>
    <x v="2"/>
    <x v="1"/>
    <n v="224"/>
    <n v="0"/>
    <s v="Unnamed ProjectM5.NumberSeizedTotal Number SeizedResource"/>
    <n v="10"/>
    <n v="220.6"/>
    <n v="15.763530343450636"/>
    <n v="0.95"/>
    <n v="11.276550293665537"/>
    <n v="191"/>
    <n v="238"/>
  </r>
  <r>
    <x v="0"/>
    <s v="2026-10-16 17:30:57"/>
    <n v="2"/>
    <x v="11"/>
    <x v="3"/>
    <x v="1"/>
    <n v="0.34124280661036899"/>
    <n v="0"/>
    <s v="Unnamed ProjectM5.ScheduledUtilizationScheduled UtilizationResource"/>
    <n v="10"/>
    <n v="0.35254112855323727"/>
    <n v="2.0819740340978523E-2"/>
    <n v="0.95"/>
    <n v="1.4893545033435028E-2"/>
    <n v="0.319082016284436"/>
    <n v="0.391918845838306"/>
  </r>
  <r>
    <x v="0"/>
    <s v="2026-10-16 17:30:57"/>
    <n v="2"/>
    <x v="12"/>
    <x v="1"/>
    <x v="2"/>
    <n v="225"/>
    <n v="0"/>
    <s v="Unnamed ProjectSystem.NumberOutNumber OutSystem"/>
    <n v="10"/>
    <n v="220.7"/>
    <n v="15.606622525923623"/>
    <n v="0.95"/>
    <n v="11.164305202796802"/>
    <n v="190"/>
    <n v="237"/>
  </r>
  <r>
    <x v="0"/>
    <s v="2026-10-16 17:30:57"/>
    <n v="3"/>
    <x v="0"/>
    <x v="0"/>
    <x v="0"/>
    <n v="232"/>
    <n v="0"/>
    <s v="Unnamed ProjectEntity 1.NumberInNumber InEntity"/>
    <n v="10"/>
    <n v="221.9"/>
    <n v="15.029230777979883"/>
    <n v="0.95"/>
    <n v="10.751264028454774"/>
    <n v="196"/>
    <n v="237"/>
  </r>
  <r>
    <x v="0"/>
    <s v="2026-10-16 17:30:57"/>
    <n v="3"/>
    <x v="1"/>
    <x v="1"/>
    <x v="0"/>
    <n v="237"/>
    <n v="0"/>
    <s v="Unnamed ProjectEntity 1.NumberOutNumber OutEntity"/>
    <n v="10"/>
    <n v="220.7"/>
    <n v="15.606622525923623"/>
    <n v="0.95"/>
    <n v="11.164305202796802"/>
    <n v="190"/>
    <n v="237"/>
  </r>
  <r>
    <x v="0"/>
    <s v="2026-10-16 17:30:57"/>
    <n v="3"/>
    <x v="2"/>
    <x v="2"/>
    <x v="1"/>
    <n v="175"/>
    <n v="0"/>
    <s v="Unnamed ProjectM1.NumberSeizedTotal Number SeizedResource"/>
    <n v="10"/>
    <n v="166.8"/>
    <n v="13.612086132877977"/>
    <n v="0.95"/>
    <n v="9.7374998198217781"/>
    <n v="142"/>
    <n v="181"/>
  </r>
  <r>
    <x v="0"/>
    <s v="2026-10-16 17:30:57"/>
    <n v="3"/>
    <x v="3"/>
    <x v="3"/>
    <x v="1"/>
    <n v="0.37410580793237402"/>
    <n v="0"/>
    <s v="Unnamed ProjectM1.ScheduledUtilizationScheduled UtilizationResource"/>
    <n v="10"/>
    <n v="0.35418637725041224"/>
    <n v="3.3453936231241439E-2"/>
    <n v="0.95"/>
    <n v="2.3931504314920794E-2"/>
    <n v="0.29539806709730798"/>
    <n v="0.39865120046345498"/>
  </r>
  <r>
    <x v="0"/>
    <s v="2026-10-16 17:30:57"/>
    <n v="3"/>
    <x v="4"/>
    <x v="2"/>
    <x v="1"/>
    <n v="130"/>
    <n v="0"/>
    <s v="Unnamed ProjectM2.NumberSeizedTotal Number SeizedResource"/>
    <n v="10"/>
    <n v="118.9"/>
    <n v="10.482260146446366"/>
    <n v="0.95"/>
    <n v="7.4985571859414781"/>
    <n v="101"/>
    <n v="134"/>
  </r>
  <r>
    <x v="0"/>
    <s v="2026-10-16 17:30:57"/>
    <n v="3"/>
    <x v="5"/>
    <x v="3"/>
    <x v="1"/>
    <n v="0.84140710301871302"/>
    <n v="0"/>
    <s v="Unnamed ProjectM2.ScheduledUtilizationScheduled UtilizationResource"/>
    <n v="10"/>
    <n v="0.79069410142096264"/>
    <n v="8.4677985904895448E-2"/>
    <n v="0.95"/>
    <n v="6.0574982000753563E-2"/>
    <n v="0.62412916158771403"/>
    <n v="0.92247891730008102"/>
  </r>
  <r>
    <x v="0"/>
    <s v="2026-10-16 17:30:57"/>
    <n v="3"/>
    <x v="6"/>
    <x v="2"/>
    <x v="1"/>
    <n v="187"/>
    <n v="0"/>
    <s v="Unnamed ProjectM3.NumberSeizedTotal Number SeizedResource"/>
    <n v="10"/>
    <n v="176.2"/>
    <n v="14.778362561528933"/>
    <n v="0.95"/>
    <n v="10.571803717328045"/>
    <n v="149"/>
    <n v="198"/>
  </r>
  <r>
    <x v="0"/>
    <s v="2026-10-16 17:30:57"/>
    <n v="3"/>
    <x v="7"/>
    <x v="3"/>
    <x v="1"/>
    <n v="0.41804638971782199"/>
    <n v="0"/>
    <s v="Unnamed ProjectM3.ScheduledUtilizationScheduled UtilizationResource"/>
    <n v="10"/>
    <n v="0.38204498745219106"/>
    <n v="2.9603647703352595E-2"/>
    <n v="0.95"/>
    <n v="2.1177173826515884E-2"/>
    <n v="0.32566726436532201"/>
    <n v="0.42511230467838501"/>
  </r>
  <r>
    <x v="0"/>
    <s v="2026-10-16 17:30:57"/>
    <n v="3"/>
    <x v="8"/>
    <x v="2"/>
    <x v="1"/>
    <n v="177"/>
    <n v="0"/>
    <s v="Unnamed ProjectM4.NumberSeizedTotal Number SeizedResource"/>
    <n v="10"/>
    <n v="165.9"/>
    <n v="13.795732029226366"/>
    <n v="0.95"/>
    <n v="9.8688721800277719"/>
    <n v="139"/>
    <n v="182"/>
  </r>
  <r>
    <x v="0"/>
    <s v="2026-10-16 17:30:57"/>
    <n v="3"/>
    <x v="9"/>
    <x v="3"/>
    <x v="1"/>
    <n v="0.81511052462014799"/>
    <n v="0"/>
    <s v="Unnamed ProjectM4.ScheduledUtilizationScheduled UtilizationResource"/>
    <n v="10"/>
    <n v="0.68948907951108873"/>
    <n v="7.0099805521104841E-2"/>
    <n v="0.95"/>
    <n v="5.0146379986722875E-2"/>
    <n v="0.59708526729729605"/>
    <n v="0.81511052462014799"/>
  </r>
  <r>
    <x v="0"/>
    <s v="2026-10-16 17:30:57"/>
    <n v="3"/>
    <x v="10"/>
    <x v="2"/>
    <x v="1"/>
    <n v="236"/>
    <n v="0"/>
    <s v="Unnamed ProjectM5.NumberSeizedTotal Number SeizedResource"/>
    <n v="10"/>
    <n v="220.6"/>
    <n v="15.763530343450636"/>
    <n v="0.95"/>
    <n v="11.276550293665537"/>
    <n v="191"/>
    <n v="238"/>
  </r>
  <r>
    <x v="0"/>
    <s v="2026-10-16 17:30:57"/>
    <n v="3"/>
    <x v="11"/>
    <x v="3"/>
    <x v="1"/>
    <n v="0.36499970126903097"/>
    <n v="0"/>
    <s v="Unnamed ProjectM5.ScheduledUtilizationScheduled UtilizationResource"/>
    <n v="10"/>
    <n v="0.35254112855323727"/>
    <n v="2.0819740340978523E-2"/>
    <n v="0.95"/>
    <n v="1.4893545033435028E-2"/>
    <n v="0.319082016284436"/>
    <n v="0.391918845838306"/>
  </r>
  <r>
    <x v="0"/>
    <s v="2026-10-16 17:30:57"/>
    <n v="3"/>
    <x v="12"/>
    <x v="1"/>
    <x v="2"/>
    <n v="237"/>
    <n v="0"/>
    <s v="Unnamed ProjectSystem.NumberOutNumber OutSystem"/>
    <n v="10"/>
    <n v="220.7"/>
    <n v="15.606622525923623"/>
    <n v="0.95"/>
    <n v="11.164305202796802"/>
    <n v="190"/>
    <n v="237"/>
  </r>
  <r>
    <x v="0"/>
    <s v="2026-10-16 17:30:57"/>
    <n v="4"/>
    <x v="0"/>
    <x v="0"/>
    <x v="0"/>
    <n v="234"/>
    <n v="0"/>
    <s v="Unnamed ProjectEntity 1.NumberInNumber InEntity"/>
    <n v="10"/>
    <n v="221.9"/>
    <n v="15.029230777979883"/>
    <n v="0.95"/>
    <n v="10.751264028454774"/>
    <n v="196"/>
    <n v="237"/>
  </r>
  <r>
    <x v="0"/>
    <s v="2026-10-16 17:30:57"/>
    <n v="4"/>
    <x v="1"/>
    <x v="1"/>
    <x v="0"/>
    <n v="237"/>
    <n v="0"/>
    <s v="Unnamed ProjectEntity 1.NumberOutNumber OutEntity"/>
    <n v="10"/>
    <n v="220.7"/>
    <n v="15.606622525923623"/>
    <n v="0.95"/>
    <n v="11.164305202796802"/>
    <n v="190"/>
    <n v="237"/>
  </r>
  <r>
    <x v="0"/>
    <s v="2026-10-16 17:30:57"/>
    <n v="4"/>
    <x v="2"/>
    <x v="2"/>
    <x v="1"/>
    <n v="175"/>
    <n v="0"/>
    <s v="Unnamed ProjectM1.NumberSeizedTotal Number SeizedResource"/>
    <n v="10"/>
    <n v="166.8"/>
    <n v="13.612086132877977"/>
    <n v="0.95"/>
    <n v="9.7374998198217781"/>
    <n v="142"/>
    <n v="181"/>
  </r>
  <r>
    <x v="0"/>
    <s v="2026-10-16 17:30:57"/>
    <n v="4"/>
    <x v="3"/>
    <x v="3"/>
    <x v="1"/>
    <n v="0.34358290173219702"/>
    <n v="0"/>
    <s v="Unnamed ProjectM1.ScheduledUtilizationScheduled UtilizationResource"/>
    <n v="10"/>
    <n v="0.35418637725041224"/>
    <n v="3.3453936231241439E-2"/>
    <n v="0.95"/>
    <n v="2.3931504314920794E-2"/>
    <n v="0.29539806709730798"/>
    <n v="0.39865120046345498"/>
  </r>
  <r>
    <x v="0"/>
    <s v="2026-10-16 17:30:57"/>
    <n v="4"/>
    <x v="4"/>
    <x v="2"/>
    <x v="1"/>
    <n v="127"/>
    <n v="0"/>
    <s v="Unnamed ProjectM2.NumberSeizedTotal Number SeizedResource"/>
    <n v="10"/>
    <n v="118.9"/>
    <n v="10.482260146446366"/>
    <n v="0.95"/>
    <n v="7.4985571859414781"/>
    <n v="101"/>
    <n v="134"/>
  </r>
  <r>
    <x v="0"/>
    <s v="2026-10-16 17:30:57"/>
    <n v="4"/>
    <x v="5"/>
    <x v="3"/>
    <x v="1"/>
    <n v="0.92247891730008102"/>
    <n v="0"/>
    <s v="Unnamed ProjectM2.ScheduledUtilizationScheduled UtilizationResource"/>
    <n v="10"/>
    <n v="0.79069410142096264"/>
    <n v="8.4677985904895448E-2"/>
    <n v="0.95"/>
    <n v="6.0574982000753563E-2"/>
    <n v="0.62412916158771403"/>
    <n v="0.92247891730008102"/>
  </r>
  <r>
    <x v="0"/>
    <s v="2026-10-16 17:30:57"/>
    <n v="4"/>
    <x v="6"/>
    <x v="2"/>
    <x v="1"/>
    <n v="191"/>
    <n v="0"/>
    <s v="Unnamed ProjectM3.NumberSeizedTotal Number SeizedResource"/>
    <n v="10"/>
    <n v="176.2"/>
    <n v="14.778362561528933"/>
    <n v="0.95"/>
    <n v="10.571803717328045"/>
    <n v="149"/>
    <n v="198"/>
  </r>
  <r>
    <x v="0"/>
    <s v="2026-10-16 17:30:57"/>
    <n v="4"/>
    <x v="7"/>
    <x v="3"/>
    <x v="1"/>
    <n v="0.42511230467838501"/>
    <n v="0"/>
    <s v="Unnamed ProjectM3.ScheduledUtilizationScheduled UtilizationResource"/>
    <n v="10"/>
    <n v="0.38204498745219106"/>
    <n v="2.9603647703352595E-2"/>
    <n v="0.95"/>
    <n v="2.1177173826515884E-2"/>
    <n v="0.32566726436532201"/>
    <n v="0.42511230467838501"/>
  </r>
  <r>
    <x v="0"/>
    <s v="2026-10-16 17:30:57"/>
    <n v="4"/>
    <x v="8"/>
    <x v="2"/>
    <x v="1"/>
    <n v="178"/>
    <n v="0"/>
    <s v="Unnamed ProjectM4.NumberSeizedTotal Number SeizedResource"/>
    <n v="10"/>
    <n v="165.9"/>
    <n v="13.795732029226366"/>
    <n v="0.95"/>
    <n v="9.8688721800277719"/>
    <n v="139"/>
    <n v="182"/>
  </r>
  <r>
    <x v="0"/>
    <s v="2026-10-16 17:30:57"/>
    <n v="4"/>
    <x v="9"/>
    <x v="3"/>
    <x v="1"/>
    <n v="0.717308496239496"/>
    <n v="0"/>
    <s v="Unnamed ProjectM4.ScheduledUtilizationScheduled UtilizationResource"/>
    <n v="10"/>
    <n v="0.68948907951108873"/>
    <n v="7.0099805521104841E-2"/>
    <n v="0.95"/>
    <n v="5.0146379986722875E-2"/>
    <n v="0.59708526729729605"/>
    <n v="0.81511052462014799"/>
  </r>
  <r>
    <x v="0"/>
    <s v="2026-10-16 17:30:57"/>
    <n v="4"/>
    <x v="10"/>
    <x v="2"/>
    <x v="1"/>
    <n v="238"/>
    <n v="0"/>
    <s v="Unnamed ProjectM5.NumberSeizedTotal Number SeizedResource"/>
    <n v="10"/>
    <n v="220.6"/>
    <n v="15.763530343450636"/>
    <n v="0.95"/>
    <n v="11.276550293665537"/>
    <n v="191"/>
    <n v="238"/>
  </r>
  <r>
    <x v="0"/>
    <s v="2026-10-16 17:30:57"/>
    <n v="4"/>
    <x v="11"/>
    <x v="3"/>
    <x v="1"/>
    <n v="0.391918845838306"/>
    <n v="0"/>
    <s v="Unnamed ProjectM5.ScheduledUtilizationScheduled UtilizationResource"/>
    <n v="10"/>
    <n v="0.35254112855323727"/>
    <n v="2.0819740340978523E-2"/>
    <n v="0.95"/>
    <n v="1.4893545033435028E-2"/>
    <n v="0.319082016284436"/>
    <n v="0.391918845838306"/>
  </r>
  <r>
    <x v="0"/>
    <s v="2026-10-16 17:30:57"/>
    <n v="4"/>
    <x v="12"/>
    <x v="1"/>
    <x v="2"/>
    <n v="237"/>
    <n v="0"/>
    <s v="Unnamed ProjectSystem.NumberOutNumber OutSystem"/>
    <n v="10"/>
    <n v="220.7"/>
    <n v="15.606622525923623"/>
    <n v="0.95"/>
    <n v="11.164305202796802"/>
    <n v="190"/>
    <n v="237"/>
  </r>
  <r>
    <x v="0"/>
    <s v="2026-10-16 17:30:57"/>
    <n v="5"/>
    <x v="0"/>
    <x v="0"/>
    <x v="0"/>
    <n v="196"/>
    <n v="0"/>
    <s v="Unnamed ProjectEntity 1.NumberInNumber InEntity"/>
    <n v="10"/>
    <n v="221.9"/>
    <n v="15.029230777979883"/>
    <n v="0.95"/>
    <n v="10.751264028454774"/>
    <n v="196"/>
    <n v="237"/>
  </r>
  <r>
    <x v="0"/>
    <s v="2026-10-16 17:30:57"/>
    <n v="5"/>
    <x v="1"/>
    <x v="1"/>
    <x v="0"/>
    <n v="190"/>
    <n v="0"/>
    <s v="Unnamed ProjectEntity 1.NumberOutNumber OutEntity"/>
    <n v="10"/>
    <n v="220.7"/>
    <n v="15.606622525923623"/>
    <n v="0.95"/>
    <n v="11.164305202796802"/>
    <n v="190"/>
    <n v="237"/>
  </r>
  <r>
    <x v="0"/>
    <s v="2026-10-16 17:30:57"/>
    <n v="5"/>
    <x v="2"/>
    <x v="2"/>
    <x v="1"/>
    <n v="142"/>
    <n v="0"/>
    <s v="Unnamed ProjectM1.NumberSeizedTotal Number SeizedResource"/>
    <n v="10"/>
    <n v="166.8"/>
    <n v="13.612086132877977"/>
    <n v="0.95"/>
    <n v="9.7374998198217781"/>
    <n v="142"/>
    <n v="181"/>
  </r>
  <r>
    <x v="0"/>
    <s v="2026-10-16 17:30:57"/>
    <n v="5"/>
    <x v="3"/>
    <x v="3"/>
    <x v="1"/>
    <n v="0.29539806709730798"/>
    <n v="0"/>
    <s v="Unnamed ProjectM1.ScheduledUtilizationScheduled UtilizationResource"/>
    <n v="10"/>
    <n v="0.35418637725041224"/>
    <n v="3.3453936231241439E-2"/>
    <n v="0.95"/>
    <n v="2.3931504314920794E-2"/>
    <n v="0.29539806709730798"/>
    <n v="0.39865120046345498"/>
  </r>
  <r>
    <x v="0"/>
    <s v="2026-10-16 17:30:57"/>
    <n v="5"/>
    <x v="4"/>
    <x v="2"/>
    <x v="1"/>
    <n v="101"/>
    <n v="0"/>
    <s v="Unnamed ProjectM2.NumberSeizedTotal Number SeizedResource"/>
    <n v="10"/>
    <n v="118.9"/>
    <n v="10.482260146446366"/>
    <n v="0.95"/>
    <n v="7.4985571859414781"/>
    <n v="101"/>
    <n v="134"/>
  </r>
  <r>
    <x v="0"/>
    <s v="2026-10-16 17:30:57"/>
    <n v="5"/>
    <x v="5"/>
    <x v="3"/>
    <x v="1"/>
    <n v="0.62412916158771403"/>
    <n v="0"/>
    <s v="Unnamed ProjectM2.ScheduledUtilizationScheduled UtilizationResource"/>
    <n v="10"/>
    <n v="0.79069410142096264"/>
    <n v="8.4677985904895448E-2"/>
    <n v="0.95"/>
    <n v="6.0574982000753563E-2"/>
    <n v="0.62412916158771403"/>
    <n v="0.92247891730008102"/>
  </r>
  <r>
    <x v="0"/>
    <s v="2026-10-16 17:30:57"/>
    <n v="5"/>
    <x v="6"/>
    <x v="2"/>
    <x v="1"/>
    <n v="149"/>
    <n v="0"/>
    <s v="Unnamed ProjectM3.NumberSeizedTotal Number SeizedResource"/>
    <n v="10"/>
    <n v="176.2"/>
    <n v="14.778362561528933"/>
    <n v="0.95"/>
    <n v="10.571803717328045"/>
    <n v="149"/>
    <n v="198"/>
  </r>
  <r>
    <x v="0"/>
    <s v="2026-10-16 17:30:57"/>
    <n v="5"/>
    <x v="7"/>
    <x v="3"/>
    <x v="1"/>
    <n v="0.32566726436532201"/>
    <n v="0"/>
    <s v="Unnamed ProjectM3.ScheduledUtilizationScheduled UtilizationResource"/>
    <n v="10"/>
    <n v="0.38204498745219106"/>
    <n v="2.9603647703352595E-2"/>
    <n v="0.95"/>
    <n v="2.1177173826515884E-2"/>
    <n v="0.32566726436532201"/>
    <n v="0.42511230467838501"/>
  </r>
  <r>
    <x v="0"/>
    <s v="2026-10-16 17:30:57"/>
    <n v="5"/>
    <x v="8"/>
    <x v="2"/>
    <x v="1"/>
    <n v="139"/>
    <n v="0"/>
    <s v="Unnamed ProjectM4.NumberSeizedTotal Number SeizedResource"/>
    <n v="10"/>
    <n v="165.9"/>
    <n v="13.795732029226366"/>
    <n v="0.95"/>
    <n v="9.8688721800277719"/>
    <n v="139"/>
    <n v="182"/>
  </r>
  <r>
    <x v="0"/>
    <s v="2026-10-16 17:30:57"/>
    <n v="5"/>
    <x v="9"/>
    <x v="3"/>
    <x v="1"/>
    <n v="0.60529230314451898"/>
    <n v="0"/>
    <s v="Unnamed ProjectM4.ScheduledUtilizationScheduled UtilizationResource"/>
    <n v="10"/>
    <n v="0.68948907951108873"/>
    <n v="7.0099805521104841E-2"/>
    <n v="0.95"/>
    <n v="5.0146379986722875E-2"/>
    <n v="0.59708526729729605"/>
    <n v="0.81511052462014799"/>
  </r>
  <r>
    <x v="0"/>
    <s v="2026-10-16 17:30:57"/>
    <n v="5"/>
    <x v="10"/>
    <x v="2"/>
    <x v="1"/>
    <n v="191"/>
    <n v="0"/>
    <s v="Unnamed ProjectM5.NumberSeizedTotal Number SeizedResource"/>
    <n v="10"/>
    <n v="220.6"/>
    <n v="15.763530343450636"/>
    <n v="0.95"/>
    <n v="11.276550293665537"/>
    <n v="191"/>
    <n v="238"/>
  </r>
  <r>
    <x v="0"/>
    <s v="2026-10-16 17:30:57"/>
    <n v="5"/>
    <x v="11"/>
    <x v="3"/>
    <x v="1"/>
    <n v="0.32936941916130702"/>
    <n v="0"/>
    <s v="Unnamed ProjectM5.ScheduledUtilizationScheduled UtilizationResource"/>
    <n v="10"/>
    <n v="0.35254112855323727"/>
    <n v="2.0819740340978523E-2"/>
    <n v="0.95"/>
    <n v="1.4893545033435028E-2"/>
    <n v="0.319082016284436"/>
    <n v="0.391918845838306"/>
  </r>
  <r>
    <x v="0"/>
    <s v="2026-10-16 17:30:57"/>
    <n v="5"/>
    <x v="12"/>
    <x v="1"/>
    <x v="2"/>
    <n v="190"/>
    <n v="0"/>
    <s v="Unnamed ProjectSystem.NumberOutNumber OutSystem"/>
    <n v="10"/>
    <n v="220.7"/>
    <n v="15.606622525923623"/>
    <n v="0.95"/>
    <n v="11.164305202796802"/>
    <n v="190"/>
    <n v="237"/>
  </r>
  <r>
    <x v="0"/>
    <s v="2026-10-16 17:30:57"/>
    <n v="6"/>
    <x v="0"/>
    <x v="0"/>
    <x v="0"/>
    <n v="237"/>
    <n v="0"/>
    <s v="Unnamed ProjectEntity 1.NumberInNumber InEntity"/>
    <n v="10"/>
    <n v="221.9"/>
    <n v="15.029230777979883"/>
    <n v="0.95"/>
    <n v="10.751264028454774"/>
    <n v="196"/>
    <n v="237"/>
  </r>
  <r>
    <x v="0"/>
    <s v="2026-10-16 17:30:57"/>
    <n v="6"/>
    <x v="1"/>
    <x v="1"/>
    <x v="0"/>
    <n v="234"/>
    <n v="0"/>
    <s v="Unnamed ProjectEntity 1.NumberOutNumber OutEntity"/>
    <n v="10"/>
    <n v="220.7"/>
    <n v="15.606622525923623"/>
    <n v="0.95"/>
    <n v="11.164305202796802"/>
    <n v="190"/>
    <n v="237"/>
  </r>
  <r>
    <x v="0"/>
    <s v="2026-10-16 17:30:57"/>
    <n v="6"/>
    <x v="2"/>
    <x v="2"/>
    <x v="1"/>
    <n v="171"/>
    <n v="0"/>
    <s v="Unnamed ProjectM1.NumberSeizedTotal Number SeizedResource"/>
    <n v="10"/>
    <n v="166.8"/>
    <n v="13.612086132877977"/>
    <n v="0.95"/>
    <n v="9.7374998198217781"/>
    <n v="142"/>
    <n v="181"/>
  </r>
  <r>
    <x v="0"/>
    <s v="2026-10-16 17:30:57"/>
    <n v="6"/>
    <x v="3"/>
    <x v="3"/>
    <x v="1"/>
    <n v="0.34507357353450202"/>
    <n v="0"/>
    <s v="Unnamed ProjectM1.ScheduledUtilizationScheduled UtilizationResource"/>
    <n v="10"/>
    <n v="0.35418637725041224"/>
    <n v="3.3453936231241439E-2"/>
    <n v="0.95"/>
    <n v="2.3931504314920794E-2"/>
    <n v="0.29539806709730798"/>
    <n v="0.39865120046345498"/>
  </r>
  <r>
    <x v="0"/>
    <s v="2026-10-16 17:30:57"/>
    <n v="6"/>
    <x v="4"/>
    <x v="2"/>
    <x v="1"/>
    <n v="134"/>
    <n v="0"/>
    <s v="Unnamed ProjectM2.NumberSeizedTotal Number SeizedResource"/>
    <n v="10"/>
    <n v="118.9"/>
    <n v="10.482260146446366"/>
    <n v="0.95"/>
    <n v="7.4985571859414781"/>
    <n v="101"/>
    <n v="134"/>
  </r>
  <r>
    <x v="0"/>
    <s v="2026-10-16 17:30:57"/>
    <n v="6"/>
    <x v="5"/>
    <x v="3"/>
    <x v="1"/>
    <n v="0.82323740090020403"/>
    <n v="0"/>
    <s v="Unnamed ProjectM2.ScheduledUtilizationScheduled UtilizationResource"/>
    <n v="10"/>
    <n v="0.79069410142096264"/>
    <n v="8.4677985904895448E-2"/>
    <n v="0.95"/>
    <n v="6.0574982000753563E-2"/>
    <n v="0.62412916158771403"/>
    <n v="0.92247891730008102"/>
  </r>
  <r>
    <x v="0"/>
    <s v="2026-10-16 17:30:57"/>
    <n v="6"/>
    <x v="6"/>
    <x v="2"/>
    <x v="1"/>
    <n v="198"/>
    <n v="0"/>
    <s v="Unnamed ProjectM3.NumberSeizedTotal Number SeizedResource"/>
    <n v="10"/>
    <n v="176.2"/>
    <n v="14.778362561528933"/>
    <n v="0.95"/>
    <n v="10.571803717328045"/>
    <n v="149"/>
    <n v="198"/>
  </r>
  <r>
    <x v="0"/>
    <s v="2026-10-16 17:30:57"/>
    <n v="6"/>
    <x v="7"/>
    <x v="3"/>
    <x v="1"/>
    <n v="0.39092037028876497"/>
    <n v="0"/>
    <s v="Unnamed ProjectM3.ScheduledUtilizationScheduled UtilizationResource"/>
    <n v="10"/>
    <n v="0.38204498745219106"/>
    <n v="2.9603647703352595E-2"/>
    <n v="0.95"/>
    <n v="2.1177173826515884E-2"/>
    <n v="0.32566726436532201"/>
    <n v="0.42511230467838501"/>
  </r>
  <r>
    <x v="0"/>
    <s v="2026-10-16 17:30:57"/>
    <n v="6"/>
    <x v="8"/>
    <x v="2"/>
    <x v="1"/>
    <n v="169"/>
    <n v="0"/>
    <s v="Unnamed ProjectM4.NumberSeizedTotal Number SeizedResource"/>
    <n v="10"/>
    <n v="165.9"/>
    <n v="13.795732029226366"/>
    <n v="0.95"/>
    <n v="9.8688721800277719"/>
    <n v="139"/>
    <n v="182"/>
  </r>
  <r>
    <x v="0"/>
    <s v="2026-10-16 17:30:57"/>
    <n v="6"/>
    <x v="9"/>
    <x v="3"/>
    <x v="1"/>
    <n v="0.71830326862960303"/>
    <n v="0"/>
    <s v="Unnamed ProjectM4.ScheduledUtilizationScheduled UtilizationResource"/>
    <n v="10"/>
    <n v="0.68948907951108873"/>
    <n v="7.0099805521104841E-2"/>
    <n v="0.95"/>
    <n v="5.0146379986722875E-2"/>
    <n v="0.59708526729729605"/>
    <n v="0.81511052462014799"/>
  </r>
  <r>
    <x v="0"/>
    <s v="2026-10-16 17:30:57"/>
    <n v="6"/>
    <x v="10"/>
    <x v="2"/>
    <x v="1"/>
    <n v="235"/>
    <n v="0"/>
    <s v="Unnamed ProjectM5.NumberSeizedTotal Number SeizedResource"/>
    <n v="10"/>
    <n v="220.6"/>
    <n v="15.763530343450636"/>
    <n v="0.95"/>
    <n v="11.276550293665537"/>
    <n v="191"/>
    <n v="238"/>
  </r>
  <r>
    <x v="0"/>
    <s v="2026-10-16 17:30:57"/>
    <n v="6"/>
    <x v="11"/>
    <x v="3"/>
    <x v="1"/>
    <n v="0.36488042746038601"/>
    <n v="0"/>
    <s v="Unnamed ProjectM5.ScheduledUtilizationScheduled UtilizationResource"/>
    <n v="10"/>
    <n v="0.35254112855323727"/>
    <n v="2.0819740340978523E-2"/>
    <n v="0.95"/>
    <n v="1.4893545033435028E-2"/>
    <n v="0.319082016284436"/>
    <n v="0.391918845838306"/>
  </r>
  <r>
    <x v="0"/>
    <s v="2026-10-16 17:30:57"/>
    <n v="6"/>
    <x v="12"/>
    <x v="1"/>
    <x v="2"/>
    <n v="234"/>
    <n v="0"/>
    <s v="Unnamed ProjectSystem.NumberOutNumber OutSystem"/>
    <n v="10"/>
    <n v="220.7"/>
    <n v="15.606622525923623"/>
    <n v="0.95"/>
    <n v="11.164305202796802"/>
    <n v="190"/>
    <n v="237"/>
  </r>
  <r>
    <x v="0"/>
    <s v="2026-10-16 17:30:57"/>
    <n v="7"/>
    <x v="0"/>
    <x v="0"/>
    <x v="0"/>
    <n v="204"/>
    <n v="0"/>
    <s v="Unnamed ProjectEntity 1.NumberInNumber InEntity"/>
    <n v="10"/>
    <n v="221.9"/>
    <n v="15.029230777979883"/>
    <n v="0.95"/>
    <n v="10.751264028454774"/>
    <n v="196"/>
    <n v="237"/>
  </r>
  <r>
    <x v="0"/>
    <s v="2026-10-16 17:30:57"/>
    <n v="7"/>
    <x v="1"/>
    <x v="1"/>
    <x v="0"/>
    <n v="205"/>
    <n v="0"/>
    <s v="Unnamed ProjectEntity 1.NumberOutNumber OutEntity"/>
    <n v="10"/>
    <n v="220.7"/>
    <n v="15.606622525923623"/>
    <n v="0.95"/>
    <n v="11.164305202796802"/>
    <n v="190"/>
    <n v="237"/>
  </r>
  <r>
    <x v="0"/>
    <s v="2026-10-16 17:30:57"/>
    <n v="7"/>
    <x v="2"/>
    <x v="2"/>
    <x v="1"/>
    <n v="147"/>
    <n v="0"/>
    <s v="Unnamed ProjectM1.NumberSeizedTotal Number SeizedResource"/>
    <n v="10"/>
    <n v="166.8"/>
    <n v="13.612086132877977"/>
    <n v="0.95"/>
    <n v="9.7374998198217781"/>
    <n v="142"/>
    <n v="181"/>
  </r>
  <r>
    <x v="0"/>
    <s v="2026-10-16 17:30:57"/>
    <n v="7"/>
    <x v="3"/>
    <x v="3"/>
    <x v="1"/>
    <n v="0.307504592385202"/>
    <n v="0"/>
    <s v="Unnamed ProjectM1.ScheduledUtilizationScheduled UtilizationResource"/>
    <n v="10"/>
    <n v="0.35418637725041224"/>
    <n v="3.3453936231241439E-2"/>
    <n v="0.95"/>
    <n v="2.3931504314920794E-2"/>
    <n v="0.29539806709730798"/>
    <n v="0.39865120046345498"/>
  </r>
  <r>
    <x v="0"/>
    <s v="2026-10-16 17:30:57"/>
    <n v="7"/>
    <x v="4"/>
    <x v="2"/>
    <x v="1"/>
    <n v="111"/>
    <n v="0"/>
    <s v="Unnamed ProjectM2.NumberSeizedTotal Number SeizedResource"/>
    <n v="10"/>
    <n v="118.9"/>
    <n v="10.482260146446366"/>
    <n v="0.95"/>
    <n v="7.4985571859414781"/>
    <n v="101"/>
    <n v="134"/>
  </r>
  <r>
    <x v="0"/>
    <s v="2026-10-16 17:30:57"/>
    <n v="7"/>
    <x v="5"/>
    <x v="3"/>
    <x v="1"/>
    <n v="0.69174424328472295"/>
    <n v="0"/>
    <s v="Unnamed ProjectM2.ScheduledUtilizationScheduled UtilizationResource"/>
    <n v="10"/>
    <n v="0.79069410142096264"/>
    <n v="8.4677985904895448E-2"/>
    <n v="0.95"/>
    <n v="6.0574982000753563E-2"/>
    <n v="0.62412916158771403"/>
    <n v="0.92247891730008102"/>
  </r>
  <r>
    <x v="0"/>
    <s v="2026-10-16 17:30:57"/>
    <n v="7"/>
    <x v="6"/>
    <x v="2"/>
    <x v="1"/>
    <n v="163"/>
    <n v="0"/>
    <s v="Unnamed ProjectM3.NumberSeizedTotal Number SeizedResource"/>
    <n v="10"/>
    <n v="176.2"/>
    <n v="14.778362561528933"/>
    <n v="0.95"/>
    <n v="10.571803717328045"/>
    <n v="149"/>
    <n v="198"/>
  </r>
  <r>
    <x v="0"/>
    <s v="2026-10-16 17:30:57"/>
    <n v="7"/>
    <x v="7"/>
    <x v="3"/>
    <x v="1"/>
    <n v="0.36937393500093302"/>
    <n v="0"/>
    <s v="Unnamed ProjectM3.ScheduledUtilizationScheduled UtilizationResource"/>
    <n v="10"/>
    <n v="0.38204498745219106"/>
    <n v="2.9603647703352595E-2"/>
    <n v="0.95"/>
    <n v="2.1177173826515884E-2"/>
    <n v="0.32566726436532201"/>
    <n v="0.42511230467838501"/>
  </r>
  <r>
    <x v="0"/>
    <s v="2026-10-16 17:30:57"/>
    <n v="7"/>
    <x v="8"/>
    <x v="2"/>
    <x v="1"/>
    <n v="147"/>
    <n v="0"/>
    <s v="Unnamed ProjectM4.NumberSeizedTotal Number SeizedResource"/>
    <n v="10"/>
    <n v="165.9"/>
    <n v="13.795732029226366"/>
    <n v="0.95"/>
    <n v="9.8688721800277719"/>
    <n v="139"/>
    <n v="182"/>
  </r>
  <r>
    <x v="0"/>
    <s v="2026-10-16 17:30:57"/>
    <n v="7"/>
    <x v="9"/>
    <x v="3"/>
    <x v="1"/>
    <n v="0.61163391044335702"/>
    <n v="0"/>
    <s v="Unnamed ProjectM4.ScheduledUtilizationScheduled UtilizationResource"/>
    <n v="10"/>
    <n v="0.68948907951108873"/>
    <n v="7.0099805521104841E-2"/>
    <n v="0.95"/>
    <n v="5.0146379986722875E-2"/>
    <n v="0.59708526729729605"/>
    <n v="0.81511052462014799"/>
  </r>
  <r>
    <x v="0"/>
    <s v="2026-10-16 17:30:57"/>
    <n v="7"/>
    <x v="10"/>
    <x v="2"/>
    <x v="1"/>
    <n v="203"/>
    <n v="0"/>
    <s v="Unnamed ProjectM5.NumberSeizedTotal Number SeizedResource"/>
    <n v="10"/>
    <n v="220.6"/>
    <n v="15.763530343450636"/>
    <n v="0.95"/>
    <n v="11.276550293665537"/>
    <n v="191"/>
    <n v="238"/>
  </r>
  <r>
    <x v="0"/>
    <s v="2026-10-16 17:30:57"/>
    <n v="7"/>
    <x v="11"/>
    <x v="3"/>
    <x v="1"/>
    <n v="0.34474851090540098"/>
    <n v="0"/>
    <s v="Unnamed ProjectM5.ScheduledUtilizationScheduled UtilizationResource"/>
    <n v="10"/>
    <n v="0.35254112855323727"/>
    <n v="2.0819740340978523E-2"/>
    <n v="0.95"/>
    <n v="1.4893545033435028E-2"/>
    <n v="0.319082016284436"/>
    <n v="0.391918845838306"/>
  </r>
  <r>
    <x v="0"/>
    <s v="2026-10-16 17:30:57"/>
    <n v="7"/>
    <x v="12"/>
    <x v="1"/>
    <x v="2"/>
    <n v="205"/>
    <n v="0"/>
    <s v="Unnamed ProjectSystem.NumberOutNumber OutSystem"/>
    <n v="10"/>
    <n v="220.7"/>
    <n v="15.606622525923623"/>
    <n v="0.95"/>
    <n v="11.164305202796802"/>
    <n v="190"/>
    <n v="237"/>
  </r>
  <r>
    <x v="0"/>
    <s v="2026-10-16 17:30:57"/>
    <n v="8"/>
    <x v="0"/>
    <x v="0"/>
    <x v="0"/>
    <n v="235"/>
    <n v="0"/>
    <s v="Unnamed ProjectEntity 1.NumberInNumber InEntity"/>
    <n v="10"/>
    <n v="221.9"/>
    <n v="15.029230777979883"/>
    <n v="0.95"/>
    <n v="10.751264028454774"/>
    <n v="196"/>
    <n v="237"/>
  </r>
  <r>
    <x v="0"/>
    <s v="2026-10-16 17:30:57"/>
    <n v="8"/>
    <x v="1"/>
    <x v="1"/>
    <x v="0"/>
    <n v="231"/>
    <n v="0"/>
    <s v="Unnamed ProjectEntity 1.NumberOutNumber OutEntity"/>
    <n v="10"/>
    <n v="220.7"/>
    <n v="15.606622525923623"/>
    <n v="0.95"/>
    <n v="11.164305202796802"/>
    <n v="190"/>
    <n v="237"/>
  </r>
  <r>
    <x v="0"/>
    <s v="2026-10-16 17:30:57"/>
    <n v="8"/>
    <x v="2"/>
    <x v="2"/>
    <x v="1"/>
    <n v="176"/>
    <n v="0"/>
    <s v="Unnamed ProjectM1.NumberSeizedTotal Number SeizedResource"/>
    <n v="10"/>
    <n v="166.8"/>
    <n v="13.612086132877977"/>
    <n v="0.95"/>
    <n v="9.7374998198217781"/>
    <n v="142"/>
    <n v="181"/>
  </r>
  <r>
    <x v="0"/>
    <s v="2026-10-16 17:30:57"/>
    <n v="8"/>
    <x v="3"/>
    <x v="3"/>
    <x v="1"/>
    <n v="0.369814401497774"/>
    <n v="0"/>
    <s v="Unnamed ProjectM1.ScheduledUtilizationScheduled UtilizationResource"/>
    <n v="10"/>
    <n v="0.35418637725041224"/>
    <n v="3.3453936231241439E-2"/>
    <n v="0.95"/>
    <n v="2.3931504314920794E-2"/>
    <n v="0.29539806709730798"/>
    <n v="0.39865120046345498"/>
  </r>
  <r>
    <x v="0"/>
    <s v="2026-10-16 17:30:57"/>
    <n v="8"/>
    <x v="4"/>
    <x v="2"/>
    <x v="1"/>
    <n v="123"/>
    <n v="0"/>
    <s v="Unnamed ProjectM2.NumberSeizedTotal Number SeizedResource"/>
    <n v="10"/>
    <n v="118.9"/>
    <n v="10.482260146446366"/>
    <n v="0.95"/>
    <n v="7.4985571859414781"/>
    <n v="101"/>
    <n v="134"/>
  </r>
  <r>
    <x v="0"/>
    <s v="2026-10-16 17:30:57"/>
    <n v="8"/>
    <x v="5"/>
    <x v="3"/>
    <x v="1"/>
    <n v="0.83828275425939103"/>
    <n v="0"/>
    <s v="Unnamed ProjectM2.ScheduledUtilizationScheduled UtilizationResource"/>
    <n v="10"/>
    <n v="0.79069410142096264"/>
    <n v="8.4677985904895448E-2"/>
    <n v="0.95"/>
    <n v="6.0574982000753563E-2"/>
    <n v="0.62412916158771403"/>
    <n v="0.92247891730008102"/>
  </r>
  <r>
    <x v="0"/>
    <s v="2026-10-16 17:30:57"/>
    <n v="8"/>
    <x v="6"/>
    <x v="2"/>
    <x v="1"/>
    <n v="181"/>
    <n v="0"/>
    <s v="Unnamed ProjectM3.NumberSeizedTotal Number SeizedResource"/>
    <n v="10"/>
    <n v="176.2"/>
    <n v="14.778362561528933"/>
    <n v="0.95"/>
    <n v="10.571803717328045"/>
    <n v="149"/>
    <n v="198"/>
  </r>
  <r>
    <x v="0"/>
    <s v="2026-10-16 17:30:57"/>
    <n v="8"/>
    <x v="7"/>
    <x v="3"/>
    <x v="1"/>
    <n v="0.405961415248211"/>
    <n v="0"/>
    <s v="Unnamed ProjectM3.ScheduledUtilizationScheduled UtilizationResource"/>
    <n v="10"/>
    <n v="0.38204498745219106"/>
    <n v="2.9603647703352595E-2"/>
    <n v="0.95"/>
    <n v="2.1177173826515884E-2"/>
    <n v="0.32566726436532201"/>
    <n v="0.42511230467838501"/>
  </r>
  <r>
    <x v="0"/>
    <s v="2026-10-16 17:30:57"/>
    <n v="8"/>
    <x v="8"/>
    <x v="2"/>
    <x v="1"/>
    <n v="174"/>
    <n v="0"/>
    <s v="Unnamed ProjectM4.NumberSeizedTotal Number SeizedResource"/>
    <n v="10"/>
    <n v="165.9"/>
    <n v="13.795732029226366"/>
    <n v="0.95"/>
    <n v="9.8688721800277719"/>
    <n v="139"/>
    <n v="182"/>
  </r>
  <r>
    <x v="0"/>
    <s v="2026-10-16 17:30:57"/>
    <n v="8"/>
    <x v="9"/>
    <x v="3"/>
    <x v="1"/>
    <n v="0.71980118711186403"/>
    <n v="0"/>
    <s v="Unnamed ProjectM4.ScheduledUtilizationScheduled UtilizationResource"/>
    <n v="10"/>
    <n v="0.68948907951108873"/>
    <n v="7.0099805521104841E-2"/>
    <n v="0.95"/>
    <n v="5.0146379986722875E-2"/>
    <n v="0.59708526729729605"/>
    <n v="0.81511052462014799"/>
  </r>
  <r>
    <x v="0"/>
    <s v="2026-10-16 17:30:57"/>
    <n v="8"/>
    <x v="10"/>
    <x v="2"/>
    <x v="1"/>
    <n v="232"/>
    <n v="0"/>
    <s v="Unnamed ProjectM5.NumberSeizedTotal Number SeizedResource"/>
    <n v="10"/>
    <n v="220.6"/>
    <n v="15.763530343450636"/>
    <n v="0.95"/>
    <n v="11.276550293665537"/>
    <n v="191"/>
    <n v="238"/>
  </r>
  <r>
    <x v="0"/>
    <s v="2026-10-16 17:30:57"/>
    <n v="8"/>
    <x v="11"/>
    <x v="3"/>
    <x v="1"/>
    <n v="0.35164797618239602"/>
    <n v="0"/>
    <s v="Unnamed ProjectM5.ScheduledUtilizationScheduled UtilizationResource"/>
    <n v="10"/>
    <n v="0.35254112855323727"/>
    <n v="2.0819740340978523E-2"/>
    <n v="0.95"/>
    <n v="1.4893545033435028E-2"/>
    <n v="0.319082016284436"/>
    <n v="0.391918845838306"/>
  </r>
  <r>
    <x v="0"/>
    <s v="2026-10-16 17:30:57"/>
    <n v="8"/>
    <x v="12"/>
    <x v="1"/>
    <x v="2"/>
    <n v="231"/>
    <n v="0"/>
    <s v="Unnamed ProjectSystem.NumberOutNumber OutSystem"/>
    <n v="10"/>
    <n v="220.7"/>
    <n v="15.606622525923623"/>
    <n v="0.95"/>
    <n v="11.164305202796802"/>
    <n v="190"/>
    <n v="237"/>
  </r>
  <r>
    <x v="0"/>
    <s v="2026-10-16 17:30:57"/>
    <n v="9"/>
    <x v="0"/>
    <x v="0"/>
    <x v="0"/>
    <n v="234"/>
    <n v="0"/>
    <s v="Unnamed ProjectEntity 1.NumberInNumber InEntity"/>
    <n v="10"/>
    <n v="221.9"/>
    <n v="15.029230777979883"/>
    <n v="0.95"/>
    <n v="10.751264028454774"/>
    <n v="196"/>
    <n v="237"/>
  </r>
  <r>
    <x v="0"/>
    <s v="2026-10-16 17:30:57"/>
    <n v="9"/>
    <x v="1"/>
    <x v="1"/>
    <x v="0"/>
    <n v="224"/>
    <n v="0"/>
    <s v="Unnamed ProjectEntity 1.NumberOutNumber OutEntity"/>
    <n v="10"/>
    <n v="220.7"/>
    <n v="15.606622525923623"/>
    <n v="0.95"/>
    <n v="11.164305202796802"/>
    <n v="190"/>
    <n v="237"/>
  </r>
  <r>
    <x v="0"/>
    <s v="2026-10-16 17:30:57"/>
    <n v="9"/>
    <x v="2"/>
    <x v="2"/>
    <x v="1"/>
    <n v="178"/>
    <n v="0"/>
    <s v="Unnamed ProjectM1.NumberSeizedTotal Number SeizedResource"/>
    <n v="10"/>
    <n v="166.8"/>
    <n v="13.612086132877977"/>
    <n v="0.95"/>
    <n v="9.7374998198217781"/>
    <n v="142"/>
    <n v="181"/>
  </r>
  <r>
    <x v="0"/>
    <s v="2026-10-16 17:30:57"/>
    <n v="9"/>
    <x v="3"/>
    <x v="3"/>
    <x v="1"/>
    <n v="0.38801159974409799"/>
    <n v="0"/>
    <s v="Unnamed ProjectM1.ScheduledUtilizationScheduled UtilizationResource"/>
    <n v="10"/>
    <n v="0.35418637725041224"/>
    <n v="3.3453936231241439E-2"/>
    <n v="0.95"/>
    <n v="2.3931504314920794E-2"/>
    <n v="0.29539806709730798"/>
    <n v="0.39865120046345498"/>
  </r>
  <r>
    <x v="0"/>
    <s v="2026-10-16 17:30:57"/>
    <n v="9"/>
    <x v="4"/>
    <x v="2"/>
    <x v="1"/>
    <n v="121"/>
    <n v="0"/>
    <s v="Unnamed ProjectM2.NumberSeizedTotal Number SeizedResource"/>
    <n v="10"/>
    <n v="118.9"/>
    <n v="10.482260146446366"/>
    <n v="0.95"/>
    <n v="7.4985571859414781"/>
    <n v="101"/>
    <n v="134"/>
  </r>
  <r>
    <x v="0"/>
    <s v="2026-10-16 17:30:57"/>
    <n v="9"/>
    <x v="5"/>
    <x v="3"/>
    <x v="1"/>
    <n v="0.785976599233702"/>
    <n v="0"/>
    <s v="Unnamed ProjectM2.ScheduledUtilizationScheduled UtilizationResource"/>
    <n v="10"/>
    <n v="0.79069410142096264"/>
    <n v="8.4677985904895448E-2"/>
    <n v="0.95"/>
    <n v="6.0574982000753563E-2"/>
    <n v="0.62412916158771403"/>
    <n v="0.92247891730008102"/>
  </r>
  <r>
    <x v="0"/>
    <s v="2026-10-16 17:30:57"/>
    <n v="9"/>
    <x v="6"/>
    <x v="2"/>
    <x v="1"/>
    <n v="183"/>
    <n v="0"/>
    <s v="Unnamed ProjectM3.NumberSeizedTotal Number SeizedResource"/>
    <n v="10"/>
    <n v="176.2"/>
    <n v="14.778362561528933"/>
    <n v="0.95"/>
    <n v="10.571803717328045"/>
    <n v="149"/>
    <n v="198"/>
  </r>
  <r>
    <x v="0"/>
    <s v="2026-10-16 17:30:57"/>
    <n v="9"/>
    <x v="7"/>
    <x v="3"/>
    <x v="1"/>
    <n v="0.37226147107938901"/>
    <n v="0"/>
    <s v="Unnamed ProjectM3.ScheduledUtilizationScheduled UtilizationResource"/>
    <n v="10"/>
    <n v="0.38204498745219106"/>
    <n v="2.9603647703352595E-2"/>
    <n v="0.95"/>
    <n v="2.1177173826515884E-2"/>
    <n v="0.32566726436532201"/>
    <n v="0.42511230467838501"/>
  </r>
  <r>
    <x v="0"/>
    <s v="2026-10-16 17:30:57"/>
    <n v="9"/>
    <x v="8"/>
    <x v="2"/>
    <x v="1"/>
    <n v="168"/>
    <n v="0"/>
    <s v="Unnamed ProjectM4.NumberSeizedTotal Number SeizedResource"/>
    <n v="10"/>
    <n v="165.9"/>
    <n v="13.795732029226366"/>
    <n v="0.95"/>
    <n v="9.8688721800277719"/>
    <n v="139"/>
    <n v="182"/>
  </r>
  <r>
    <x v="0"/>
    <s v="2026-10-16 17:30:57"/>
    <n v="9"/>
    <x v="9"/>
    <x v="3"/>
    <x v="1"/>
    <n v="0.72217215637455201"/>
    <n v="0"/>
    <s v="Unnamed ProjectM4.ScheduledUtilizationScheduled UtilizationResource"/>
    <n v="10"/>
    <n v="0.68948907951108873"/>
    <n v="7.0099805521104841E-2"/>
    <n v="0.95"/>
    <n v="5.0146379986722875E-2"/>
    <n v="0.59708526729729605"/>
    <n v="0.81511052462014799"/>
  </r>
  <r>
    <x v="0"/>
    <s v="2026-10-16 17:30:57"/>
    <n v="9"/>
    <x v="10"/>
    <x v="2"/>
    <x v="1"/>
    <n v="223"/>
    <n v="0"/>
    <s v="Unnamed ProjectM5.NumberSeizedTotal Number SeizedResource"/>
    <n v="10"/>
    <n v="220.6"/>
    <n v="15.763530343450636"/>
    <n v="0.95"/>
    <n v="11.276550293665537"/>
    <n v="191"/>
    <n v="238"/>
  </r>
  <r>
    <x v="0"/>
    <s v="2026-10-16 17:30:57"/>
    <n v="9"/>
    <x v="11"/>
    <x v="3"/>
    <x v="1"/>
    <n v="0.36650972442579799"/>
    <n v="0"/>
    <s v="Unnamed ProjectM5.ScheduledUtilizationScheduled UtilizationResource"/>
    <n v="10"/>
    <n v="0.35254112855323727"/>
    <n v="2.0819740340978523E-2"/>
    <n v="0.95"/>
    <n v="1.4893545033435028E-2"/>
    <n v="0.319082016284436"/>
    <n v="0.391918845838306"/>
  </r>
  <r>
    <x v="0"/>
    <s v="2026-10-16 17:30:57"/>
    <n v="9"/>
    <x v="12"/>
    <x v="1"/>
    <x v="2"/>
    <n v="224"/>
    <n v="0"/>
    <s v="Unnamed ProjectSystem.NumberOutNumber OutSystem"/>
    <n v="10"/>
    <n v="220.7"/>
    <n v="15.606622525923623"/>
    <n v="0.95"/>
    <n v="11.164305202796802"/>
    <n v="190"/>
    <n v="237"/>
  </r>
  <r>
    <x v="0"/>
    <s v="2026-10-16 17:30:57"/>
    <n v="10"/>
    <x v="0"/>
    <x v="0"/>
    <x v="0"/>
    <n v="217"/>
    <n v="0"/>
    <s v="Unnamed ProjectEntity 1.NumberInNumber InEntity"/>
    <n v="10"/>
    <n v="221.9"/>
    <n v="15.029230777979883"/>
    <n v="0.95"/>
    <n v="10.751264028454774"/>
    <n v="196"/>
    <n v="237"/>
  </r>
  <r>
    <x v="0"/>
    <s v="2026-10-16 17:30:57"/>
    <n v="10"/>
    <x v="1"/>
    <x v="1"/>
    <x v="0"/>
    <n v="210"/>
    <n v="0"/>
    <s v="Unnamed ProjectEntity 1.NumberOutNumber OutEntity"/>
    <n v="10"/>
    <n v="220.7"/>
    <n v="15.606622525923623"/>
    <n v="0.95"/>
    <n v="11.164305202796802"/>
    <n v="190"/>
    <n v="237"/>
  </r>
  <r>
    <x v="0"/>
    <s v="2026-10-16 17:30:57"/>
    <n v="10"/>
    <x v="2"/>
    <x v="2"/>
    <x v="1"/>
    <n v="166"/>
    <n v="0"/>
    <s v="Unnamed ProjectM1.NumberSeizedTotal Number SeizedResource"/>
    <n v="10"/>
    <n v="166.8"/>
    <n v="13.612086132877977"/>
    <n v="0.95"/>
    <n v="9.7374998198217781"/>
    <n v="142"/>
    <n v="181"/>
  </r>
  <r>
    <x v="0"/>
    <s v="2026-10-16 17:30:57"/>
    <n v="10"/>
    <x v="3"/>
    <x v="3"/>
    <x v="1"/>
    <n v="0.34545460352422602"/>
    <n v="0"/>
    <s v="Unnamed ProjectM1.ScheduledUtilizationScheduled UtilizationResource"/>
    <n v="10"/>
    <n v="0.35418637725041224"/>
    <n v="3.3453936231241439E-2"/>
    <n v="0.95"/>
    <n v="2.3931504314920794E-2"/>
    <n v="0.29539806709730798"/>
    <n v="0.39865120046345498"/>
  </r>
  <r>
    <x v="0"/>
    <s v="2026-10-16 17:30:57"/>
    <n v="10"/>
    <x v="4"/>
    <x v="2"/>
    <x v="1"/>
    <n v="110"/>
    <n v="0"/>
    <s v="Unnamed ProjectM2.NumberSeizedTotal Number SeizedResource"/>
    <n v="10"/>
    <n v="118.9"/>
    <n v="10.482260146446366"/>
    <n v="0.95"/>
    <n v="7.4985571859414781"/>
    <n v="101"/>
    <n v="134"/>
  </r>
  <r>
    <x v="0"/>
    <s v="2026-10-16 17:30:57"/>
    <n v="10"/>
    <x v="5"/>
    <x v="3"/>
    <x v="1"/>
    <n v="0.74554556159781105"/>
    <n v="0"/>
    <s v="Unnamed ProjectM2.ScheduledUtilizationScheduled UtilizationResource"/>
    <n v="10"/>
    <n v="0.79069410142096264"/>
    <n v="8.4677985904895448E-2"/>
    <n v="0.95"/>
    <n v="6.0574982000753563E-2"/>
    <n v="0.62412916158771403"/>
    <n v="0.92247891730008102"/>
  </r>
  <r>
    <x v="0"/>
    <s v="2026-10-16 17:30:57"/>
    <n v="10"/>
    <x v="6"/>
    <x v="2"/>
    <x v="1"/>
    <n v="164"/>
    <n v="0"/>
    <s v="Unnamed ProjectM3.NumberSeizedTotal Number SeizedResource"/>
    <n v="10"/>
    <n v="176.2"/>
    <n v="14.778362561528933"/>
    <n v="0.95"/>
    <n v="10.571803717328045"/>
    <n v="149"/>
    <n v="198"/>
  </r>
  <r>
    <x v="0"/>
    <s v="2026-10-16 17:30:57"/>
    <n v="10"/>
    <x v="7"/>
    <x v="3"/>
    <x v="1"/>
    <n v="0.36248067330217498"/>
    <n v="0"/>
    <s v="Unnamed ProjectM3.ScheduledUtilizationScheduled UtilizationResource"/>
    <n v="10"/>
    <n v="0.38204498745219106"/>
    <n v="2.9603647703352595E-2"/>
    <n v="0.95"/>
    <n v="2.1177173826515884E-2"/>
    <n v="0.32566726436532201"/>
    <n v="0.42511230467838501"/>
  </r>
  <r>
    <x v="0"/>
    <s v="2026-10-16 17:30:57"/>
    <n v="10"/>
    <x v="8"/>
    <x v="2"/>
    <x v="1"/>
    <n v="163"/>
    <n v="0"/>
    <s v="Unnamed ProjectM4.NumberSeizedTotal Number SeizedResource"/>
    <n v="10"/>
    <n v="165.9"/>
    <n v="13.795732029226366"/>
    <n v="0.95"/>
    <n v="9.8688721800277719"/>
    <n v="139"/>
    <n v="182"/>
  </r>
  <r>
    <x v="0"/>
    <s v="2026-10-16 17:30:57"/>
    <n v="10"/>
    <x v="9"/>
    <x v="3"/>
    <x v="1"/>
    <n v="0.59708526729729605"/>
    <n v="0"/>
    <s v="Unnamed ProjectM4.ScheduledUtilizationScheduled UtilizationResource"/>
    <n v="10"/>
    <n v="0.68948907951108873"/>
    <n v="7.0099805521104841E-2"/>
    <n v="0.95"/>
    <n v="5.0146379986722875E-2"/>
    <n v="0.59708526729729605"/>
    <n v="0.81511052462014799"/>
  </r>
  <r>
    <x v="0"/>
    <s v="2026-10-16 17:30:57"/>
    <n v="10"/>
    <x v="10"/>
    <x v="2"/>
    <x v="1"/>
    <n v="210"/>
    <n v="0"/>
    <s v="Unnamed ProjectM5.NumberSeizedTotal Number SeizedResource"/>
    <n v="10"/>
    <n v="220.6"/>
    <n v="15.763530343450636"/>
    <n v="0.95"/>
    <n v="11.276550293665537"/>
    <n v="191"/>
    <n v="238"/>
  </r>
  <r>
    <x v="0"/>
    <s v="2026-10-16 17:30:57"/>
    <n v="10"/>
    <x v="11"/>
    <x v="3"/>
    <x v="1"/>
    <n v="0.319082016284436"/>
    <n v="0"/>
    <s v="Unnamed ProjectM5.ScheduledUtilizationScheduled UtilizationResource"/>
    <n v="10"/>
    <n v="0.35254112855323727"/>
    <n v="2.0819740340978523E-2"/>
    <n v="0.95"/>
    <n v="1.4893545033435028E-2"/>
    <n v="0.319082016284436"/>
    <n v="0.391918845838306"/>
  </r>
  <r>
    <x v="0"/>
    <s v="2026-10-16 17:30:57"/>
    <n v="10"/>
    <x v="12"/>
    <x v="1"/>
    <x v="2"/>
    <n v="210"/>
    <n v="0"/>
    <s v="Unnamed ProjectSystem.NumberOutNumber OutSystem"/>
    <n v="10"/>
    <n v="220.7"/>
    <n v="15.606622525923623"/>
    <n v="0.95"/>
    <n v="11.164305202796802"/>
    <n v="190"/>
    <n v="237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x v="0"/>
    <s v="2026-10-16 17:30:57"/>
    <n v="1"/>
    <x v="0"/>
    <x v="0"/>
    <x v="0"/>
    <n v="1755"/>
    <s v="Unnamed ProjectCounter 1CountUser Specified"/>
    <n v="10"/>
    <n v="1955.1"/>
    <n v="149.44523337255617"/>
    <n v="0.95"/>
    <n v="106.90667975745569"/>
    <n v="1729"/>
    <n v="2126"/>
  </r>
  <r>
    <x v="0"/>
    <s v="2026-10-16 17:30:57"/>
    <n v="1"/>
    <x v="1"/>
    <x v="0"/>
    <x v="0"/>
    <n v="416430"/>
    <s v="Unnamed ProjectCounter 2CountUser Specified"/>
    <n v="10"/>
    <n v="466919"/>
    <n v="36821.167960834704"/>
    <n v="0.95"/>
    <n v="26340.276786688879"/>
    <n v="414420"/>
    <n v="511260"/>
  </r>
  <r>
    <x v="0"/>
    <s v="2026-10-16 17:30:57"/>
    <n v="2"/>
    <x v="0"/>
    <x v="0"/>
    <x v="0"/>
    <n v="1972"/>
    <s v="Unnamed ProjectCounter 1CountUser Specified"/>
    <n v="10"/>
    <n v="1955.1"/>
    <n v="149.44523337255617"/>
    <n v="0.95"/>
    <n v="106.90667975745569"/>
    <n v="1729"/>
    <n v="2126"/>
  </r>
  <r>
    <x v="0"/>
    <s v="2026-10-16 17:30:57"/>
    <n v="2"/>
    <x v="1"/>
    <x v="0"/>
    <x v="0"/>
    <n v="473670"/>
    <s v="Unnamed ProjectCounter 2CountUser Specified"/>
    <n v="10"/>
    <n v="466919"/>
    <n v="36821.167960834704"/>
    <n v="0.95"/>
    <n v="26340.276786688879"/>
    <n v="414420"/>
    <n v="511260"/>
  </r>
  <r>
    <x v="0"/>
    <s v="2026-10-16 17:30:57"/>
    <n v="3"/>
    <x v="0"/>
    <x v="0"/>
    <x v="0"/>
    <n v="2125"/>
    <s v="Unnamed ProjectCounter 1CountUser Specified"/>
    <n v="10"/>
    <n v="1955.1"/>
    <n v="149.44523337255617"/>
    <n v="0.95"/>
    <n v="106.90667975745569"/>
    <n v="1729"/>
    <n v="2126"/>
  </r>
  <r>
    <x v="0"/>
    <s v="2026-10-16 17:30:57"/>
    <n v="3"/>
    <x v="1"/>
    <x v="0"/>
    <x v="0"/>
    <n v="506830"/>
    <s v="Unnamed ProjectCounter 2CountUser Specified"/>
    <n v="10"/>
    <n v="466919"/>
    <n v="36821.167960834704"/>
    <n v="0.95"/>
    <n v="26340.276786688879"/>
    <n v="414420"/>
    <n v="511260"/>
  </r>
  <r>
    <x v="0"/>
    <s v="2026-10-16 17:30:57"/>
    <n v="4"/>
    <x v="0"/>
    <x v="0"/>
    <x v="0"/>
    <n v="2089"/>
    <s v="Unnamed ProjectCounter 1CountUser Specified"/>
    <n v="10"/>
    <n v="1955.1"/>
    <n v="149.44523337255617"/>
    <n v="0.95"/>
    <n v="106.90667975745569"/>
    <n v="1729"/>
    <n v="2126"/>
  </r>
  <r>
    <x v="0"/>
    <s v="2026-10-16 17:30:57"/>
    <n v="4"/>
    <x v="1"/>
    <x v="0"/>
    <x v="0"/>
    <n v="503080"/>
    <s v="Unnamed ProjectCounter 2CountUser Specified"/>
    <n v="10"/>
    <n v="466919"/>
    <n v="36821.167960834704"/>
    <n v="0.95"/>
    <n v="26340.276786688879"/>
    <n v="414420"/>
    <n v="511260"/>
  </r>
  <r>
    <x v="0"/>
    <s v="2026-10-16 17:30:57"/>
    <n v="5"/>
    <x v="0"/>
    <x v="0"/>
    <x v="0"/>
    <n v="1729"/>
    <s v="Unnamed ProjectCounter 1CountUser Specified"/>
    <n v="10"/>
    <n v="1955.1"/>
    <n v="149.44523337255617"/>
    <n v="0.95"/>
    <n v="106.90667975745569"/>
    <n v="1729"/>
    <n v="2126"/>
  </r>
  <r>
    <x v="0"/>
    <s v="2026-10-16 17:30:57"/>
    <n v="5"/>
    <x v="1"/>
    <x v="0"/>
    <x v="0"/>
    <n v="414420"/>
    <s v="Unnamed ProjectCounter 2CountUser Specified"/>
    <n v="10"/>
    <n v="466919"/>
    <n v="36821.167960834704"/>
    <n v="0.95"/>
    <n v="26340.276786688879"/>
    <n v="414420"/>
    <n v="511260"/>
  </r>
  <r>
    <x v="0"/>
    <s v="2026-10-16 17:30:57"/>
    <n v="6"/>
    <x v="0"/>
    <x v="0"/>
    <x v="0"/>
    <n v="2073"/>
    <s v="Unnamed ProjectCounter 1CountUser Specified"/>
    <n v="10"/>
    <n v="1955.1"/>
    <n v="149.44523337255617"/>
    <n v="0.95"/>
    <n v="106.90667975745569"/>
    <n v="1729"/>
    <n v="2126"/>
  </r>
  <r>
    <x v="0"/>
    <s v="2026-10-16 17:30:57"/>
    <n v="6"/>
    <x v="1"/>
    <x v="0"/>
    <x v="0"/>
    <n v="492600"/>
    <s v="Unnamed ProjectCounter 2CountUser Specified"/>
    <n v="10"/>
    <n v="466919"/>
    <n v="36821.167960834704"/>
    <n v="0.95"/>
    <n v="26340.276786688879"/>
    <n v="414420"/>
    <n v="511260"/>
  </r>
  <r>
    <x v="0"/>
    <s v="2026-10-16 17:30:57"/>
    <n v="7"/>
    <x v="0"/>
    <x v="0"/>
    <x v="0"/>
    <n v="1920"/>
    <s v="Unnamed ProjectCounter 1CountUser Specified"/>
    <n v="10"/>
    <n v="1955.1"/>
    <n v="149.44523337255617"/>
    <n v="0.95"/>
    <n v="106.90667975745569"/>
    <n v="1729"/>
    <n v="2126"/>
  </r>
  <r>
    <x v="0"/>
    <s v="2026-10-16 17:30:57"/>
    <n v="7"/>
    <x v="1"/>
    <x v="0"/>
    <x v="0"/>
    <n v="454700"/>
    <s v="Unnamed ProjectCounter 2CountUser Specified"/>
    <n v="10"/>
    <n v="466919"/>
    <n v="36821.167960834704"/>
    <n v="0.95"/>
    <n v="26340.276786688879"/>
    <n v="414420"/>
    <n v="511260"/>
  </r>
  <r>
    <x v="0"/>
    <s v="2026-10-16 17:30:57"/>
    <n v="8"/>
    <x v="0"/>
    <x v="0"/>
    <x v="0"/>
    <n v="2126"/>
    <s v="Unnamed ProjectCounter 1CountUser Specified"/>
    <n v="10"/>
    <n v="1955.1"/>
    <n v="149.44523337255617"/>
    <n v="0.95"/>
    <n v="106.90667975745569"/>
    <n v="1729"/>
    <n v="2126"/>
  </r>
  <r>
    <x v="0"/>
    <s v="2026-10-16 17:30:57"/>
    <n v="8"/>
    <x v="1"/>
    <x v="0"/>
    <x v="0"/>
    <n v="511260"/>
    <s v="Unnamed ProjectCounter 2CountUser Specified"/>
    <n v="10"/>
    <n v="466919"/>
    <n v="36821.167960834704"/>
    <n v="0.95"/>
    <n v="26340.276786688879"/>
    <n v="414420"/>
    <n v="511260"/>
  </r>
  <r>
    <x v="0"/>
    <s v="2026-10-16 17:30:57"/>
    <n v="9"/>
    <x v="0"/>
    <x v="0"/>
    <x v="0"/>
    <n v="1942"/>
    <s v="Unnamed ProjectCounter 1CountUser Specified"/>
    <n v="10"/>
    <n v="1955.1"/>
    <n v="149.44523337255617"/>
    <n v="0.95"/>
    <n v="106.90667975745569"/>
    <n v="1729"/>
    <n v="2126"/>
  </r>
  <r>
    <x v="0"/>
    <s v="2026-10-16 17:30:57"/>
    <n v="9"/>
    <x v="1"/>
    <x v="0"/>
    <x v="0"/>
    <n v="463390"/>
    <s v="Unnamed ProjectCounter 2CountUser Specified"/>
    <n v="10"/>
    <n v="466919"/>
    <n v="36821.167960834704"/>
    <n v="0.95"/>
    <n v="26340.276786688879"/>
    <n v="414420"/>
    <n v="511260"/>
  </r>
  <r>
    <x v="0"/>
    <s v="2026-10-16 17:30:57"/>
    <n v="10"/>
    <x v="0"/>
    <x v="0"/>
    <x v="0"/>
    <n v="1820"/>
    <s v="Unnamed ProjectCounter 1CountUser Specified"/>
    <n v="10"/>
    <n v="1955.1"/>
    <n v="149.44523337255617"/>
    <n v="0.95"/>
    <n v="106.90667975745569"/>
    <n v="1729"/>
    <n v="2126"/>
  </r>
  <r>
    <x v="0"/>
    <s v="2026-10-16 17:30:57"/>
    <n v="10"/>
    <x v="1"/>
    <x v="0"/>
    <x v="0"/>
    <n v="432810"/>
    <s v="Unnamed ProjectCounter 2CountUser Specified"/>
    <n v="10"/>
    <n v="466919"/>
    <n v="36821.167960834704"/>
    <n v="0.95"/>
    <n v="26340.276786688879"/>
    <n v="414420"/>
    <n v="51126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28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9">
        <item m="1" x="31"/>
        <item m="1" x="22"/>
        <item m="1" x="38"/>
        <item m="1" x="47"/>
        <item m="1" x="60"/>
        <item m="1" x="59"/>
        <item m="1" x="23"/>
        <item m="1" x="124"/>
        <item m="1" x="102"/>
        <item m="1" x="65"/>
        <item m="1" x="52"/>
        <item m="1" x="56"/>
        <item x="0"/>
        <item m="1" x="41"/>
        <item m="1" x="123"/>
        <item m="1" x="45"/>
        <item m="1" x="96"/>
        <item m="1" x="110"/>
        <item m="1" x="20"/>
        <item m="1" x="46"/>
        <item m="1" x="133"/>
        <item m="1" x="35"/>
        <item m="1" x="125"/>
        <item m="1" x="24"/>
        <item m="1" x="51"/>
        <item m="1" x="77"/>
        <item m="1" x="21"/>
        <item m="1" x="27"/>
        <item m="1" x="97"/>
        <item m="1" x="78"/>
        <item m="1" x="112"/>
        <item m="1" x="68"/>
        <item m="1" x="32"/>
        <item m="1" x="62"/>
        <item m="1" x="98"/>
        <item m="1" x="83"/>
        <item m="1" x="33"/>
        <item m="1" x="43"/>
        <item m="1" x="105"/>
        <item m="1" x="19"/>
        <item m="1" x="132"/>
        <item m="1" x="90"/>
        <item m="1" x="30"/>
        <item m="1" x="115"/>
        <item m="1" x="61"/>
        <item m="1" x="134"/>
        <item m="1" x="95"/>
        <item m="1" x="37"/>
        <item m="1" x="82"/>
        <item m="1" x="101"/>
        <item m="1" x="114"/>
        <item m="1" x="122"/>
        <item m="1" x="131"/>
        <item m="1" x="18"/>
        <item m="1" x="36"/>
        <item m="1" x="50"/>
        <item m="1" x="39"/>
        <item m="1" x="17"/>
        <item m="1" x="111"/>
        <item m="1" x="128"/>
        <item m="1" x="54"/>
        <item m="1" x="89"/>
        <item m="1" x="42"/>
        <item m="1" x="63"/>
        <item m="1" x="48"/>
        <item m="1" x="72"/>
        <item m="1" x="57"/>
        <item m="1" x="79"/>
        <item m="1" x="64"/>
        <item m="1" x="91"/>
        <item m="1" x="73"/>
        <item m="1" x="99"/>
        <item m="1" x="80"/>
        <item m="1" x="108"/>
        <item m="1" x="92"/>
        <item m="1" x="113"/>
        <item m="1" x="100"/>
        <item m="1" x="117"/>
        <item m="1" x="129"/>
        <item m="1" x="119"/>
        <item m="1" x="103"/>
        <item m="1" x="76"/>
        <item m="1" x="55"/>
        <item m="1" x="70"/>
        <item m="1" x="34"/>
        <item m="1" x="40"/>
        <item m="1" x="49"/>
        <item m="1" x="53"/>
        <item m="1" x="85"/>
        <item m="1" x="130"/>
        <item m="1" x="120"/>
        <item m="1" x="104"/>
        <item m="1" x="71"/>
        <item m="1" x="138"/>
        <item m="1" x="87"/>
        <item m="1" x="75"/>
        <item m="1" x="107"/>
        <item m="1" x="88"/>
        <item m="1" x="67"/>
        <item m="1" x="74"/>
        <item m="1" x="28"/>
        <item m="1" x="93"/>
        <item m="1" x="109"/>
        <item m="1" x="118"/>
        <item m="1" x="126"/>
        <item m="1" x="137"/>
        <item m="1" x="25"/>
        <item m="1" x="44"/>
        <item m="1" x="136"/>
        <item m="1" x="26"/>
        <item m="1" x="94"/>
        <item m="1" x="69"/>
        <item m="1" x="84"/>
        <item m="1" x="29"/>
        <item m="1" x="135"/>
        <item m="1" x="116"/>
        <item m="1" x="66"/>
        <item m="1" x="127"/>
        <item m="1" x="86"/>
        <item m="1" x="106"/>
        <item m="1" x="121"/>
        <item m="1" x="58"/>
        <item m="1" x="81"/>
        <item m="1" x="16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compact="0" outline="0" showAll="0" defaultSubtotal="0">
      <items count="7">
        <item x="2"/>
        <item x="3"/>
        <item x="4"/>
        <item x="1"/>
        <item x="0"/>
        <item m="1" x="6"/>
        <item m="1" x="5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26">
    <i>
      <x v="3"/>
      <x v="12"/>
      <x v="4"/>
      <x/>
    </i>
    <i r="1">
      <x v="124"/>
      <x v="3"/>
      <x v="1"/>
    </i>
    <i r="1">
      <x v="125"/>
      <x v="3"/>
      <x v="1"/>
    </i>
    <i r="1">
      <x v="126"/>
      <x v="3"/>
      <x v="1"/>
    </i>
    <i r="1">
      <x v="127"/>
      <x v="3"/>
      <x v="1"/>
    </i>
    <i r="1">
      <x v="128"/>
      <x v="3"/>
      <x v="1"/>
    </i>
    <i r="1">
      <x v="129"/>
      <x/>
      <x v="2"/>
    </i>
    <i r="2">
      <x v="1"/>
      <x v="2"/>
    </i>
    <i r="2">
      <x v="2"/>
      <x v="2"/>
    </i>
    <i r="1">
      <x v="130"/>
      <x v="3"/>
      <x v="1"/>
    </i>
    <i r="1">
      <x v="131"/>
      <x/>
      <x v="2"/>
    </i>
    <i r="2">
      <x v="1"/>
      <x v="2"/>
    </i>
    <i r="2">
      <x v="2"/>
      <x v="2"/>
    </i>
    <i r="1">
      <x v="132"/>
      <x v="3"/>
      <x v="1"/>
    </i>
    <i r="1">
      <x v="133"/>
      <x/>
      <x v="2"/>
    </i>
    <i r="2">
      <x v="1"/>
      <x v="2"/>
    </i>
    <i r="2">
      <x v="2"/>
      <x v="2"/>
    </i>
    <i r="1">
      <x v="134"/>
      <x v="3"/>
      <x v="1"/>
    </i>
    <i r="1">
      <x v="135"/>
      <x/>
      <x v="2"/>
    </i>
    <i r="2">
      <x v="1"/>
      <x v="2"/>
    </i>
    <i r="2">
      <x v="2"/>
      <x v="2"/>
    </i>
    <i r="1">
      <x v="136"/>
      <x v="3"/>
      <x v="1"/>
    </i>
    <i r="1">
      <x v="137"/>
      <x/>
      <x v="2"/>
    </i>
    <i r="2">
      <x v="1"/>
      <x v="2"/>
    </i>
    <i r="2">
      <x v="2"/>
      <x v="2"/>
    </i>
    <i r="1">
      <x v="138"/>
      <x v="3"/>
      <x v="1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19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9">
        <item m="1" x="22"/>
        <item m="1" x="45"/>
        <item m="1" x="17"/>
        <item m="1" x="96"/>
        <item m="1" x="79"/>
        <item m="1" x="50"/>
        <item m="1" x="105"/>
        <item m="1" x="38"/>
        <item m="1" x="42"/>
        <item x="0"/>
        <item m="1" x="74"/>
        <item m="1" x="86"/>
        <item m="1" x="91"/>
        <item m="1" x="16"/>
        <item m="1" x="44"/>
        <item m="1" x="34"/>
        <item m="1" x="108"/>
        <item m="1" x="103"/>
        <item m="1" x="32"/>
        <item m="1" x="26"/>
        <item m="1" x="97"/>
        <item m="1" x="18"/>
        <item m="1" x="51"/>
        <item m="1" x="37"/>
        <item m="1" x="61"/>
        <item m="1" x="88"/>
        <item m="1" x="53"/>
        <item m="1" x="23"/>
        <item m="1" x="47"/>
        <item m="1" x="75"/>
        <item m="1" x="65"/>
        <item m="1" x="24"/>
        <item m="1" x="82"/>
        <item m="1" x="15"/>
        <item m="1" x="102"/>
        <item m="1" x="70"/>
        <item m="1" x="90"/>
        <item m="1" x="46"/>
        <item m="1" x="104"/>
        <item m="1" x="73"/>
        <item m="1" x="28"/>
        <item m="1" x="64"/>
        <item m="1" x="78"/>
        <item m="1" x="89"/>
        <item m="1" x="95"/>
        <item m="1" x="14"/>
        <item m="1" x="27"/>
        <item m="1" x="36"/>
        <item m="1" x="29"/>
        <item m="1" x="13"/>
        <item m="1" x="87"/>
        <item m="1" x="99"/>
        <item m="1" x="40"/>
        <item m="1" x="69"/>
        <item m="1" x="31"/>
        <item m="1" x="48"/>
        <item m="1" x="35"/>
        <item m="1" x="56"/>
        <item m="1" x="43"/>
        <item m="1" x="62"/>
        <item m="1" x="49"/>
        <item m="1" x="71"/>
        <item m="1" x="57"/>
        <item m="1" x="76"/>
        <item m="1" x="63"/>
        <item m="1" x="84"/>
        <item m="1" x="77"/>
        <item m="1" x="92"/>
        <item m="1" x="100"/>
        <item m="1" x="80"/>
        <item m="1" x="60"/>
        <item m="1" x="41"/>
        <item m="1" x="54"/>
        <item m="1" x="25"/>
        <item m="1" x="30"/>
        <item m="1" x="39"/>
        <item m="1" x="66"/>
        <item m="1" x="101"/>
        <item m="1" x="94"/>
        <item m="1" x="81"/>
        <item m="1" x="55"/>
        <item m="1" x="67"/>
        <item m="1" x="59"/>
        <item m="1" x="83"/>
        <item m="1" x="68"/>
        <item m="1" x="52"/>
        <item m="1" x="58"/>
        <item m="1" x="21"/>
        <item x="11"/>
        <item m="1" x="72"/>
        <item m="1" x="85"/>
        <item m="1" x="93"/>
        <item m="1" x="98"/>
        <item m="1" x="107"/>
        <item m="1" x="19"/>
        <item m="1" x="33"/>
        <item m="1" x="106"/>
        <item m="1" x="20"/>
        <item m="1" x="12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Row" compact="0" outline="0" showAll="0" defaultSubtotal="0">
      <items count="12">
        <item x="7"/>
        <item x="0"/>
        <item x="1"/>
        <item x="2"/>
        <item x="3"/>
        <item x="4"/>
        <item x="5"/>
        <item x="6"/>
        <item m="1" x="9"/>
        <item m="1" x="10"/>
        <item m="1" x="11"/>
        <item m="1" x="8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17">
    <i>
      <x v="3"/>
      <x v="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88"/>
      <x/>
      <x v="2"/>
    </i>
    <i r="1">
      <x v="99"/>
      <x v="7"/>
      <x v="1"/>
    </i>
    <i r="1">
      <x v="100"/>
      <x v="7"/>
      <x v="1"/>
    </i>
    <i r="1">
      <x v="101"/>
      <x v="7"/>
      <x v="1"/>
    </i>
    <i r="1">
      <x v="102"/>
      <x v="7"/>
      <x v="1"/>
    </i>
    <i r="1">
      <x v="103"/>
      <x v="7"/>
      <x v="1"/>
    </i>
    <i r="1">
      <x v="104"/>
      <x v="7"/>
      <x v="1"/>
    </i>
    <i r="1">
      <x v="105"/>
      <x v="7"/>
      <x v="1"/>
    </i>
    <i r="1">
      <x v="106"/>
      <x v="7"/>
      <x v="1"/>
    </i>
    <i r="1">
      <x v="107"/>
      <x v="7"/>
      <x v="1"/>
    </i>
    <i r="1">
      <x v="108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15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9">
        <item m="1" x="38"/>
        <item m="1" x="14"/>
        <item m="1" x="39"/>
        <item m="1" x="15"/>
        <item m="1" x="40"/>
        <item m="1" x="16"/>
        <item m="1" x="41"/>
        <item m="1" x="17"/>
        <item m="1" x="73"/>
        <item m="1" x="28"/>
        <item x="12"/>
        <item m="1" x="72"/>
        <item m="1" x="59"/>
        <item m="1" x="76"/>
        <item m="1" x="61"/>
        <item x="0"/>
        <item x="1"/>
        <item m="1" x="53"/>
        <item m="1" x="21"/>
        <item m="1" x="70"/>
        <item m="1" x="60"/>
        <item m="1" x="58"/>
        <item m="1" x="24"/>
        <item m="1" x="68"/>
        <item m="1" x="33"/>
        <item m="1" x="69"/>
        <item m="1" x="34"/>
        <item m="1" x="67"/>
        <item m="1" x="85"/>
        <item m="1" x="27"/>
        <item m="1" x="88"/>
        <item m="1" x="55"/>
        <item m="1" x="22"/>
        <item m="1" x="83"/>
        <item m="1" x="79"/>
        <item m="1" x="56"/>
        <item m="1" x="23"/>
        <item m="1" x="84"/>
        <item m="1" x="80"/>
        <item m="1" x="18"/>
        <item m="1" x="52"/>
        <item m="1" x="36"/>
        <item m="1" x="26"/>
        <item m="1" x="77"/>
        <item m="1" x="48"/>
        <item m="1" x="78"/>
        <item m="1" x="49"/>
        <item m="1" x="35"/>
        <item m="1" x="30"/>
        <item m="1" x="57"/>
        <item m="1" x="32"/>
        <item m="1" x="87"/>
        <item m="1" x="81"/>
        <item m="1" x="31"/>
        <item m="1" x="29"/>
        <item m="1" x="74"/>
        <item m="1" x="82"/>
        <item m="1" x="19"/>
        <item m="1" x="37"/>
        <item m="1" x="50"/>
        <item m="1" x="71"/>
        <item m="1" x="86"/>
        <item m="1" x="20"/>
        <item m="1" x="47"/>
        <item m="1" x="51"/>
        <item m="1" x="75"/>
        <item m="1" x="54"/>
        <item m="1" x="25"/>
        <item m="1" x="42"/>
        <item m="1" x="62"/>
        <item m="1" x="43"/>
        <item m="1" x="63"/>
        <item m="1" x="44"/>
        <item m="1" x="64"/>
        <item m="1" x="45"/>
        <item m="1" x="65"/>
        <item m="1" x="46"/>
        <item m="1" x="66"/>
        <item m="1" x="13"/>
        <item x="2"/>
        <item x="3"/>
        <item x="4"/>
        <item x="5"/>
        <item x="6"/>
        <item x="7"/>
        <item x="8"/>
        <item x="9"/>
        <item x="10"/>
        <item x="11"/>
      </items>
    </pivotField>
    <pivotField axis="axisRow" compact="0" outline="0" showAll="0" defaultSubtotal="0">
      <items count="7">
        <item x="0"/>
        <item x="1"/>
        <item x="3"/>
        <item x="2"/>
        <item m="1" x="5"/>
        <item m="1" x="6"/>
        <item m="1" x="4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3">
    <i>
      <x v="3"/>
      <x v="10"/>
      <x v="1"/>
      <x v="2"/>
    </i>
    <i r="1">
      <x v="15"/>
      <x/>
      <x/>
    </i>
    <i r="1">
      <x v="16"/>
      <x v="1"/>
      <x/>
    </i>
    <i r="1">
      <x v="79"/>
      <x v="3"/>
      <x v="1"/>
    </i>
    <i r="1">
      <x v="80"/>
      <x v="2"/>
      <x v="1"/>
    </i>
    <i r="1">
      <x v="81"/>
      <x v="3"/>
      <x v="1"/>
    </i>
    <i r="1">
      <x v="82"/>
      <x v="2"/>
      <x v="1"/>
    </i>
    <i r="1">
      <x v="83"/>
      <x v="3"/>
      <x v="1"/>
    </i>
    <i r="1">
      <x v="84"/>
      <x v="2"/>
      <x v="1"/>
    </i>
    <i r="1">
      <x v="85"/>
      <x v="3"/>
      <x v="1"/>
    </i>
    <i r="1">
      <x v="86"/>
      <x v="2"/>
      <x v="1"/>
    </i>
    <i r="1">
      <x v="87"/>
      <x v="3"/>
      <x v="1"/>
    </i>
    <i r="1">
      <x v="88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4" firstHeaderRow="0" firstDataRow="1" firstDataCol="4"/>
  <pivotFields count="1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x="0"/>
        <item x="1"/>
        <item m="1" x="2"/>
      </items>
    </pivotField>
    <pivotField axis="axisRow" compact="0" outline="0" showAll="0" defaultSubtotal="0">
      <items count="2">
        <item x="0"/>
        <item m="1" x="1"/>
      </items>
    </pivotField>
    <pivotField axis="axisRow" compact="0" outline="0" showAll="0" defaultSubtotal="0">
      <items count="2">
        <item x="0"/>
        <item m="1" x="1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2">
    <i>
      <x v="3"/>
      <x v="1"/>
      <x/>
      <x/>
    </i>
    <i r="1">
      <x v="2"/>
      <x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171" tableType="queryTable" totalsRowShown="0">
  <autoFilter ref="A1:Y171" xr:uid="{C3D003CA-1AFF-426C-A03D-D3AF5760DF1A}"/>
  <sortState xmlns:xlrd2="http://schemas.microsoft.com/office/spreadsheetml/2017/richdata2" ref="A2:Y171">
    <sortCondition ref="D1:D17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6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5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4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3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2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1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0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59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58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57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6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5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4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3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261" tableType="queryTable" totalsRowShown="0">
  <autoFilter ref="A1:U261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52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51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50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49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48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47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46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45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44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1" tableType="queryTable" totalsRowShown="0">
  <autoFilter ref="A1:O21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131" tableType="queryTable" totalsRowShown="0">
  <autoFilter ref="A1:P131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43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42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41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0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9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38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37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36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69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68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67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3.9" x14ac:dyDescent="0.4"/>
  <cols>
    <col min="1" max="1" width="15.796875" bestFit="1" customWidth="1"/>
    <col min="2" max="2" width="11.9296875" bestFit="1" customWidth="1"/>
    <col min="3" max="3" width="18.9296875" bestFit="1" customWidth="1"/>
    <col min="4" max="4" width="12.1328125" bestFit="1" customWidth="1"/>
    <col min="5" max="5" width="23.9296875" bestFit="1" customWidth="1"/>
    <col min="6" max="6" width="25.59765625" bestFit="1" customWidth="1"/>
    <col min="7" max="7" width="20.19921875" bestFit="1" customWidth="1"/>
    <col min="8" max="10" width="19.46484375" bestFit="1" customWidth="1"/>
    <col min="11" max="11" width="19.46484375" customWidth="1"/>
  </cols>
  <sheetData>
    <row r="1" spans="1:7" x14ac:dyDescent="0.4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4">
      <c r="A2" t="s">
        <v>66</v>
      </c>
      <c r="B2" t="s">
        <v>68</v>
      </c>
      <c r="C2" t="s">
        <v>69</v>
      </c>
      <c r="D2">
        <v>2</v>
      </c>
      <c r="E2">
        <v>10</v>
      </c>
      <c r="F2">
        <v>2160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28"/>
  <sheetViews>
    <sheetView tabSelected="1" workbookViewId="0"/>
  </sheetViews>
  <sheetFormatPr defaultRowHeight="13.9" x14ac:dyDescent="0.4"/>
  <cols>
    <col min="1" max="1" width="33.19921875" customWidth="1"/>
    <col min="2" max="2" width="28.6640625" bestFit="1" customWidth="1"/>
    <col min="3" max="3" width="12.53125" bestFit="1" customWidth="1"/>
    <col min="4" max="4" width="13.06640625" bestFit="1" customWidth="1"/>
    <col min="5" max="5" width="30.9296875" bestFit="1" customWidth="1"/>
    <col min="6" max="6" width="21" bestFit="1" customWidth="1"/>
    <col min="7" max="7" width="12.19921875" bestFit="1" customWidth="1"/>
    <col min="8" max="8" width="28.796875" bestFit="1" customWidth="1"/>
    <col min="9" max="9" width="28.73046875" bestFit="1" customWidth="1"/>
    <col min="10" max="10" width="29.06640625" bestFit="1" customWidth="1"/>
    <col min="11" max="11" width="17.19921875" bestFit="1" customWidth="1"/>
    <col min="12" max="12" width="17.59765625" bestFit="1" customWidth="1"/>
    <col min="13" max="13" width="31.46484375" bestFit="1" customWidth="1"/>
    <col min="14" max="14" width="27.6640625" bestFit="1" customWidth="1"/>
    <col min="15" max="15" width="18.6640625" bestFit="1" customWidth="1"/>
    <col min="16" max="16" width="12" bestFit="1" customWidth="1"/>
    <col min="17" max="17" width="12.53125" bestFit="1" customWidth="1"/>
    <col min="18" max="18" width="9.265625" bestFit="1" customWidth="1"/>
    <col min="19" max="19" width="30.9296875" bestFit="1" customWidth="1"/>
    <col min="20" max="20" width="12.19921875" bestFit="1" customWidth="1"/>
    <col min="21" max="21" width="28.796875" bestFit="1" customWidth="1"/>
    <col min="22" max="22" width="23.265625" bestFit="1" customWidth="1"/>
    <col min="23" max="23" width="23.6640625" bestFit="1" customWidth="1"/>
    <col min="24" max="24" width="17.19921875" bestFit="1" customWidth="1"/>
    <col min="25" max="25" width="17.59765625" bestFit="1" customWidth="1"/>
    <col min="26" max="26" width="16.33203125" bestFit="1" customWidth="1"/>
    <col min="27" max="27" width="20.6640625" bestFit="1" customWidth="1"/>
    <col min="28" max="28" width="24.6640625" bestFit="1" customWidth="1"/>
    <col min="29" max="29" width="12" bestFit="1" customWidth="1"/>
    <col min="30" max="30" width="13.06640625" bestFit="1" customWidth="1"/>
    <col min="31" max="31" width="26.6640625" bestFit="1" customWidth="1"/>
    <col min="32" max="32" width="12.19921875" bestFit="1" customWidth="1"/>
    <col min="33" max="33" width="31.73046875" bestFit="1" customWidth="1"/>
    <col min="34" max="34" width="20.9296875" bestFit="1" customWidth="1"/>
    <col min="35" max="35" width="21.33203125" bestFit="1" customWidth="1"/>
    <col min="36" max="36" width="19.86328125" bestFit="1" customWidth="1"/>
    <col min="37" max="37" width="32.33203125" bestFit="1" customWidth="1"/>
    <col min="38" max="38" width="24.6640625" bestFit="1" customWidth="1"/>
    <col min="39" max="39" width="12" bestFit="1" customWidth="1"/>
    <col min="40" max="40" width="9.265625" bestFit="1" customWidth="1"/>
    <col min="41" max="41" width="26.6640625" bestFit="1" customWidth="1"/>
    <col min="42" max="42" width="12.19921875" bestFit="1" customWidth="1"/>
    <col min="43" max="43" width="31.73046875" bestFit="1" customWidth="1"/>
    <col min="44" max="44" width="20.9296875" bestFit="1" customWidth="1"/>
    <col min="45" max="45" width="21.33203125" bestFit="1" customWidth="1"/>
    <col min="46" max="46" width="19.86328125" bestFit="1" customWidth="1"/>
    <col min="47" max="47" width="14.86328125" bestFit="1" customWidth="1"/>
    <col min="48" max="48" width="20.6640625" bestFit="1" customWidth="1"/>
    <col min="49" max="49" width="26.33203125" bestFit="1" customWidth="1"/>
    <col min="50" max="50" width="9.265625" bestFit="1" customWidth="1"/>
    <col min="51" max="51" width="27.86328125" bestFit="1" customWidth="1"/>
    <col min="52" max="52" width="28.796875" bestFit="1" customWidth="1"/>
    <col min="53" max="53" width="27" bestFit="1" customWidth="1"/>
    <col min="54" max="54" width="24.86328125" bestFit="1" customWidth="1"/>
    <col min="55" max="55" width="29.19921875" bestFit="1" customWidth="1"/>
    <col min="56" max="56" width="31.86328125" bestFit="1" customWidth="1"/>
    <col min="57" max="57" width="21.796875" bestFit="1" customWidth="1"/>
  </cols>
  <sheetData>
    <row r="1" spans="1:52" ht="17.649999999999999" x14ac:dyDescent="0.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4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4">
      <c r="A3" t="s">
        <v>66</v>
      </c>
      <c r="B3" t="s">
        <v>70</v>
      </c>
      <c r="C3" t="s">
        <v>71</v>
      </c>
      <c r="D3" t="s">
        <v>72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220.7</v>
      </c>
      <c r="O3" t="s">
        <v>66</v>
      </c>
      <c r="P3" t="s">
        <v>70</v>
      </c>
      <c r="Q3" t="s">
        <v>93</v>
      </c>
      <c r="R3" t="s">
        <v>72</v>
      </c>
      <c r="S3" s="5">
        <v>6.6735315353875011</v>
      </c>
      <c r="T3" s="5">
        <v>1.0608162437338877</v>
      </c>
      <c r="U3" s="5">
        <v>1.4829188547421246</v>
      </c>
      <c r="V3" s="5">
        <v>4.5894957727661101</v>
      </c>
      <c r="W3" s="5">
        <v>9.5134854029509093</v>
      </c>
      <c r="X3" s="5">
        <v>0</v>
      </c>
      <c r="Y3" s="5">
        <v>21</v>
      </c>
      <c r="AA3" t="s">
        <v>66</v>
      </c>
      <c r="AB3" t="s">
        <v>104</v>
      </c>
      <c r="AC3" t="s">
        <v>105</v>
      </c>
      <c r="AD3" t="s">
        <v>92</v>
      </c>
      <c r="AE3" s="5">
        <v>1955.1</v>
      </c>
      <c r="AF3" s="5">
        <v>106.90667975745569</v>
      </c>
      <c r="AG3" s="5">
        <v>149.44523337255617</v>
      </c>
      <c r="AH3" s="5">
        <v>1729</v>
      </c>
      <c r="AI3" s="5">
        <v>2126</v>
      </c>
      <c r="AK3" t="s">
        <v>66</v>
      </c>
      <c r="AL3" t="s">
        <v>123</v>
      </c>
      <c r="AM3" t="s">
        <v>110</v>
      </c>
      <c r="AN3" t="s">
        <v>124</v>
      </c>
      <c r="AO3" s="5">
        <v>220.7</v>
      </c>
      <c r="AP3" s="5">
        <v>11.164305202796802</v>
      </c>
      <c r="AQ3" s="5">
        <v>15.606622525923623</v>
      </c>
      <c r="AR3" s="5">
        <v>190</v>
      </c>
      <c r="AS3" s="5">
        <v>237</v>
      </c>
      <c r="AU3" t="s">
        <v>125</v>
      </c>
      <c r="AV3" t="s">
        <v>125</v>
      </c>
      <c r="AW3" t="s">
        <v>125</v>
      </c>
      <c r="AX3" t="s">
        <v>125</v>
      </c>
      <c r="AY3" s="4"/>
      <c r="AZ3" s="4"/>
    </row>
    <row r="4" spans="1:52" x14ac:dyDescent="0.4">
      <c r="C4" t="s">
        <v>73</v>
      </c>
      <c r="D4" t="s">
        <v>72</v>
      </c>
      <c r="E4" s="5">
        <v>35.690067898217421</v>
      </c>
      <c r="F4" s="5">
        <v>1</v>
      </c>
      <c r="G4" s="5">
        <v>0.71148425254024616</v>
      </c>
      <c r="H4" s="5">
        <v>0.99458640379634877</v>
      </c>
      <c r="I4" s="5">
        <v>34.179375139686798</v>
      </c>
      <c r="J4" s="5">
        <v>37.272040242740196</v>
      </c>
      <c r="K4" s="5">
        <v>13.0948236360219</v>
      </c>
      <c r="L4" s="5">
        <v>102.267336062097</v>
      </c>
      <c r="M4" s="5">
        <v>220.7</v>
      </c>
      <c r="P4" t="s">
        <v>78</v>
      </c>
      <c r="Q4" t="s">
        <v>94</v>
      </c>
      <c r="R4" t="s">
        <v>80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AB4" t="s">
        <v>106</v>
      </c>
      <c r="AC4" t="s">
        <v>105</v>
      </c>
      <c r="AD4" t="s">
        <v>92</v>
      </c>
      <c r="AE4" s="5">
        <v>466919</v>
      </c>
      <c r="AF4" s="5">
        <v>26340.276786688879</v>
      </c>
      <c r="AG4" s="5">
        <v>36821.167960834704</v>
      </c>
      <c r="AH4" s="5">
        <v>414420</v>
      </c>
      <c r="AI4" s="5">
        <v>511260</v>
      </c>
      <c r="AL4" t="s">
        <v>107</v>
      </c>
      <c r="AM4" t="s">
        <v>108</v>
      </c>
      <c r="AN4" t="s">
        <v>72</v>
      </c>
      <c r="AO4" s="5">
        <v>221.9</v>
      </c>
      <c r="AP4" s="5">
        <v>10.751264028454774</v>
      </c>
      <c r="AQ4" s="5">
        <v>15.029230777979883</v>
      </c>
      <c r="AR4" s="5">
        <v>196</v>
      </c>
      <c r="AS4" s="5">
        <v>237</v>
      </c>
    </row>
    <row r="5" spans="1:52" x14ac:dyDescent="0.4">
      <c r="C5" t="s">
        <v>74</v>
      </c>
      <c r="D5" t="s">
        <v>72</v>
      </c>
      <c r="E5" s="5">
        <v>64.532529133885035</v>
      </c>
      <c r="F5" s="5">
        <v>1</v>
      </c>
      <c r="G5" s="5">
        <v>7.7887620583286621</v>
      </c>
      <c r="H5" s="5">
        <v>10.887938584670717</v>
      </c>
      <c r="I5" s="5">
        <v>50.131846661260099</v>
      </c>
      <c r="J5" s="5">
        <v>87.273779080717802</v>
      </c>
      <c r="K5" s="5">
        <v>13.298568495813001</v>
      </c>
      <c r="L5" s="5">
        <v>320.80718678977303</v>
      </c>
      <c r="M5" s="5">
        <v>220.7</v>
      </c>
      <c r="P5" t="s">
        <v>81</v>
      </c>
      <c r="Q5" t="s">
        <v>94</v>
      </c>
      <c r="R5" t="s">
        <v>80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Y5" s="5">
        <v>0</v>
      </c>
      <c r="AL5" t="s">
        <v>109</v>
      </c>
      <c r="AM5" t="s">
        <v>110</v>
      </c>
      <c r="AN5" t="s">
        <v>72</v>
      </c>
      <c r="AO5" s="5">
        <v>220.7</v>
      </c>
      <c r="AP5" s="5">
        <v>11.164305202796802</v>
      </c>
      <c r="AQ5" s="5">
        <v>15.606622525923623</v>
      </c>
      <c r="AR5" s="5">
        <v>190</v>
      </c>
      <c r="AS5" s="5">
        <v>237</v>
      </c>
    </row>
    <row r="6" spans="1:52" x14ac:dyDescent="0.4">
      <c r="C6" t="s">
        <v>75</v>
      </c>
      <c r="D6" t="s">
        <v>72</v>
      </c>
      <c r="E6" s="5">
        <v>0</v>
      </c>
      <c r="F6" s="5">
        <v>1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220.7</v>
      </c>
      <c r="P6" t="s">
        <v>82</v>
      </c>
      <c r="Q6" t="s">
        <v>94</v>
      </c>
      <c r="R6" t="s">
        <v>80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AL6" t="s">
        <v>111</v>
      </c>
      <c r="AM6" t="s">
        <v>112</v>
      </c>
      <c r="AN6" t="s">
        <v>97</v>
      </c>
      <c r="AO6" s="5">
        <v>166.8</v>
      </c>
      <c r="AP6" s="5">
        <v>9.7374998198217781</v>
      </c>
      <c r="AQ6" s="5">
        <v>13.612086132877977</v>
      </c>
      <c r="AR6" s="5">
        <v>142</v>
      </c>
      <c r="AS6" s="5">
        <v>181</v>
      </c>
    </row>
    <row r="7" spans="1:52" x14ac:dyDescent="0.4">
      <c r="C7" t="s">
        <v>76</v>
      </c>
      <c r="D7" t="s">
        <v>72</v>
      </c>
      <c r="E7" s="5">
        <v>0</v>
      </c>
      <c r="F7" s="5">
        <v>1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220.7</v>
      </c>
      <c r="P7" t="s">
        <v>83</v>
      </c>
      <c r="Q7" t="s">
        <v>94</v>
      </c>
      <c r="R7" t="s">
        <v>80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AL7" t="s">
        <v>113</v>
      </c>
      <c r="AM7" t="s">
        <v>114</v>
      </c>
      <c r="AN7" t="s">
        <v>97</v>
      </c>
      <c r="AO7" s="5">
        <v>0.35418637725041224</v>
      </c>
      <c r="AP7" s="5">
        <v>2.3931504314920794E-2</v>
      </c>
      <c r="AQ7" s="5">
        <v>3.3453936231241439E-2</v>
      </c>
      <c r="AR7" s="5">
        <v>0.29539806709730798</v>
      </c>
      <c r="AS7" s="5">
        <v>0.39865120046345498</v>
      </c>
    </row>
    <row r="8" spans="1:52" x14ac:dyDescent="0.4">
      <c r="C8" t="s">
        <v>77</v>
      </c>
      <c r="D8" t="s">
        <v>72</v>
      </c>
      <c r="E8" s="5">
        <v>28.842461235667599</v>
      </c>
      <c r="F8" s="5">
        <v>1</v>
      </c>
      <c r="G8" s="5">
        <v>7.5686084533774753</v>
      </c>
      <c r="H8" s="5">
        <v>10.580185065953426</v>
      </c>
      <c r="I8" s="5">
        <v>15.242255352523699</v>
      </c>
      <c r="J8" s="5">
        <v>50.620872918588098</v>
      </c>
      <c r="K8" s="5">
        <v>0</v>
      </c>
      <c r="L8" s="5">
        <v>279.27951446189297</v>
      </c>
      <c r="M8" s="5">
        <v>220.7</v>
      </c>
      <c r="P8" t="s">
        <v>84</v>
      </c>
      <c r="Q8" t="s">
        <v>94</v>
      </c>
      <c r="R8" t="s">
        <v>80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AL8" t="s">
        <v>115</v>
      </c>
      <c r="AM8" t="s">
        <v>112</v>
      </c>
      <c r="AN8" t="s">
        <v>97</v>
      </c>
      <c r="AO8" s="5">
        <v>118.9</v>
      </c>
      <c r="AP8" s="5">
        <v>7.4985571859414781</v>
      </c>
      <c r="AQ8" s="5">
        <v>10.482260146446366</v>
      </c>
      <c r="AR8" s="5">
        <v>101</v>
      </c>
      <c r="AS8" s="5">
        <v>134</v>
      </c>
    </row>
    <row r="9" spans="1:52" x14ac:dyDescent="0.4">
      <c r="B9" t="s">
        <v>90</v>
      </c>
      <c r="C9" t="s">
        <v>91</v>
      </c>
      <c r="D9" t="s">
        <v>92</v>
      </c>
      <c r="E9" s="5">
        <v>50.857776733664473</v>
      </c>
      <c r="F9" s="5">
        <v>1</v>
      </c>
      <c r="G9" s="5">
        <v>4.2131412727083717</v>
      </c>
      <c r="H9" s="5">
        <v>5.8895653869330848</v>
      </c>
      <c r="I9" s="5">
        <v>43.777301708810903</v>
      </c>
      <c r="J9" s="5">
        <v>62.233185761312299</v>
      </c>
      <c r="K9" s="5">
        <v>13.298568495813001</v>
      </c>
      <c r="L9" s="5">
        <v>244.587504005581</v>
      </c>
      <c r="M9" s="5">
        <v>156.19999999999999</v>
      </c>
      <c r="P9" t="s">
        <v>95</v>
      </c>
      <c r="Q9" t="s">
        <v>96</v>
      </c>
      <c r="R9" t="s">
        <v>97</v>
      </c>
      <c r="S9" s="5">
        <v>0.35418637725041224</v>
      </c>
      <c r="T9" s="5">
        <v>2.3931504314920794E-2</v>
      </c>
      <c r="U9" s="5">
        <v>3.3453936231241439E-2</v>
      </c>
      <c r="V9" s="5">
        <v>0.29539806709730798</v>
      </c>
      <c r="W9" s="5">
        <v>0.39865120046345498</v>
      </c>
      <c r="X9" s="5">
        <v>0</v>
      </c>
      <c r="Y9" s="5">
        <v>1</v>
      </c>
      <c r="AL9" t="s">
        <v>116</v>
      </c>
      <c r="AM9" t="s">
        <v>114</v>
      </c>
      <c r="AN9" t="s">
        <v>97</v>
      </c>
      <c r="AO9" s="5">
        <v>0.79069410142096264</v>
      </c>
      <c r="AP9" s="5">
        <v>6.0574982000753563E-2</v>
      </c>
      <c r="AQ9" s="5">
        <v>8.4677985904895448E-2</v>
      </c>
      <c r="AR9" s="5">
        <v>0.62412916158771403</v>
      </c>
      <c r="AS9" s="5">
        <v>0.92247891730008102</v>
      </c>
    </row>
    <row r="10" spans="1:52" x14ac:dyDescent="0.4">
      <c r="B10" t="s">
        <v>78</v>
      </c>
      <c r="C10" t="s">
        <v>79</v>
      </c>
      <c r="D10" t="s">
        <v>80</v>
      </c>
      <c r="E10" s="5">
        <v>0</v>
      </c>
      <c r="F10" s="5">
        <v>1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167</v>
      </c>
      <c r="Q10" t="s">
        <v>98</v>
      </c>
      <c r="R10" t="s">
        <v>97</v>
      </c>
      <c r="S10" s="5">
        <v>0.70837275450082438</v>
      </c>
      <c r="T10" s="5">
        <v>4.7863008629841705E-2</v>
      </c>
      <c r="U10" s="5">
        <v>6.6907872462483045E-2</v>
      </c>
      <c r="V10" s="5">
        <v>0.59079613419461596</v>
      </c>
      <c r="W10" s="5">
        <v>0.79730240092691096</v>
      </c>
      <c r="X10" s="5">
        <v>0</v>
      </c>
      <c r="Y10" s="5">
        <v>2</v>
      </c>
      <c r="AL10" t="s">
        <v>117</v>
      </c>
      <c r="AM10" t="s">
        <v>112</v>
      </c>
      <c r="AN10" t="s">
        <v>97</v>
      </c>
      <c r="AO10" s="5">
        <v>176.2</v>
      </c>
      <c r="AP10" s="5">
        <v>10.571803717328045</v>
      </c>
      <c r="AQ10" s="5">
        <v>14.778362561528933</v>
      </c>
      <c r="AR10" s="5">
        <v>149</v>
      </c>
      <c r="AS10" s="5">
        <v>198</v>
      </c>
    </row>
    <row r="11" spans="1:52" x14ac:dyDescent="0.4">
      <c r="B11" t="s">
        <v>81</v>
      </c>
      <c r="C11" t="s">
        <v>79</v>
      </c>
      <c r="D11" t="s">
        <v>80</v>
      </c>
      <c r="E11" s="5">
        <v>0</v>
      </c>
      <c r="F11" s="5">
        <v>1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119.5</v>
      </c>
      <c r="Q11" t="s">
        <v>99</v>
      </c>
      <c r="R11" t="s">
        <v>97</v>
      </c>
      <c r="S11" s="5">
        <v>2</v>
      </c>
      <c r="T11" s="5">
        <v>0</v>
      </c>
      <c r="U11" s="5">
        <v>0</v>
      </c>
      <c r="V11" s="5">
        <v>2</v>
      </c>
      <c r="W11" s="5">
        <v>2</v>
      </c>
      <c r="X11" s="5">
        <v>2</v>
      </c>
      <c r="Y11" s="5">
        <v>2</v>
      </c>
      <c r="AL11" t="s">
        <v>118</v>
      </c>
      <c r="AM11" t="s">
        <v>114</v>
      </c>
      <c r="AN11" t="s">
        <v>97</v>
      </c>
      <c r="AO11" s="5">
        <v>0.38204498745219106</v>
      </c>
      <c r="AP11" s="5">
        <v>2.1177173826515884E-2</v>
      </c>
      <c r="AQ11" s="5">
        <v>2.9603647703352595E-2</v>
      </c>
      <c r="AR11" s="5">
        <v>0.32566726436532201</v>
      </c>
      <c r="AS11" s="5">
        <v>0.42511230467838501</v>
      </c>
    </row>
    <row r="12" spans="1:52" x14ac:dyDescent="0.4">
      <c r="B12" t="s">
        <v>82</v>
      </c>
      <c r="C12" t="s">
        <v>79</v>
      </c>
      <c r="D12" t="s">
        <v>80</v>
      </c>
      <c r="E12" s="5">
        <v>0</v>
      </c>
      <c r="F12" s="5">
        <v>1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176.2</v>
      </c>
      <c r="P12" t="s">
        <v>85</v>
      </c>
      <c r="Q12" t="s">
        <v>94</v>
      </c>
      <c r="R12" t="s">
        <v>80</v>
      </c>
      <c r="S12" s="5">
        <v>8.2638825969756052E-2</v>
      </c>
      <c r="T12" s="5">
        <v>2.1448898539349195E-2</v>
      </c>
      <c r="U12" s="5">
        <v>2.9983492659856659E-2</v>
      </c>
      <c r="V12" s="5">
        <v>3.4990004496426703E-2</v>
      </c>
      <c r="W12" s="5">
        <v>0.13146637852281401</v>
      </c>
      <c r="X12" s="5">
        <v>0</v>
      </c>
      <c r="Y12" s="5">
        <v>5</v>
      </c>
      <c r="AL12" t="s">
        <v>119</v>
      </c>
      <c r="AM12" t="s">
        <v>112</v>
      </c>
      <c r="AN12" t="s">
        <v>97</v>
      </c>
      <c r="AO12" s="5">
        <v>165.9</v>
      </c>
      <c r="AP12" s="5">
        <v>9.8688721800277719</v>
      </c>
      <c r="AQ12" s="5">
        <v>13.795732029226366</v>
      </c>
      <c r="AR12" s="5">
        <v>139</v>
      </c>
      <c r="AS12" s="5">
        <v>182</v>
      </c>
    </row>
    <row r="13" spans="1:52" x14ac:dyDescent="0.4">
      <c r="B13" t="s">
        <v>83</v>
      </c>
      <c r="C13" t="s">
        <v>79</v>
      </c>
      <c r="D13" t="s">
        <v>80</v>
      </c>
      <c r="E13" s="5">
        <v>0</v>
      </c>
      <c r="F13" s="5">
        <v>1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166.3</v>
      </c>
      <c r="P13" t="s">
        <v>100</v>
      </c>
      <c r="Q13" t="s">
        <v>96</v>
      </c>
      <c r="R13" t="s">
        <v>97</v>
      </c>
      <c r="S13" s="5">
        <v>0.79069410142096264</v>
      </c>
      <c r="T13" s="5">
        <v>6.0574982000753563E-2</v>
      </c>
      <c r="U13" s="5">
        <v>8.4677985904895448E-2</v>
      </c>
      <c r="V13" s="5">
        <v>0.62412916158771403</v>
      </c>
      <c r="W13" s="5">
        <v>0.92247891730008102</v>
      </c>
      <c r="X13" s="5">
        <v>0</v>
      </c>
      <c r="Y13" s="5">
        <v>1</v>
      </c>
      <c r="AL13" t="s">
        <v>120</v>
      </c>
      <c r="AM13" t="s">
        <v>114</v>
      </c>
      <c r="AN13" t="s">
        <v>97</v>
      </c>
      <c r="AO13" s="5">
        <v>0.68948907951108873</v>
      </c>
      <c r="AP13" s="5">
        <v>5.0146379986722875E-2</v>
      </c>
      <c r="AQ13" s="5">
        <v>7.0099805521104841E-2</v>
      </c>
      <c r="AR13" s="5">
        <v>0.59708526729729605</v>
      </c>
      <c r="AS13" s="5">
        <v>0.81511052462014799</v>
      </c>
    </row>
    <row r="14" spans="1:52" x14ac:dyDescent="0.4">
      <c r="B14" t="s">
        <v>84</v>
      </c>
      <c r="C14" t="s">
        <v>79</v>
      </c>
      <c r="D14" t="s">
        <v>80</v>
      </c>
      <c r="E14" s="5">
        <v>0</v>
      </c>
      <c r="F14" s="5">
        <v>1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220.7</v>
      </c>
      <c r="Q14" t="s">
        <v>98</v>
      </c>
      <c r="R14" t="s">
        <v>97</v>
      </c>
      <c r="S14" s="5">
        <v>0.79069410142096264</v>
      </c>
      <c r="T14" s="5">
        <v>6.0574982000753563E-2</v>
      </c>
      <c r="U14" s="5">
        <v>8.4677985904895448E-2</v>
      </c>
      <c r="V14" s="5">
        <v>0.62412916158771403</v>
      </c>
      <c r="W14" s="5">
        <v>0.92247891730008102</v>
      </c>
      <c r="X14" s="5">
        <v>0</v>
      </c>
      <c r="Y14" s="5">
        <v>1</v>
      </c>
      <c r="AL14" t="s">
        <v>121</v>
      </c>
      <c r="AM14" t="s">
        <v>112</v>
      </c>
      <c r="AN14" t="s">
        <v>97</v>
      </c>
      <c r="AO14" s="5">
        <v>220.6</v>
      </c>
      <c r="AP14" s="5">
        <v>11.276550293665537</v>
      </c>
      <c r="AQ14" s="5">
        <v>15.763530343450636</v>
      </c>
      <c r="AR14" s="5">
        <v>191</v>
      </c>
      <c r="AS14" s="5">
        <v>238</v>
      </c>
    </row>
    <row r="15" spans="1:52" x14ac:dyDescent="0.4">
      <c r="B15" t="s">
        <v>85</v>
      </c>
      <c r="C15" t="s">
        <v>79</v>
      </c>
      <c r="D15" t="s">
        <v>80</v>
      </c>
      <c r="E15" s="5">
        <v>1.0671040543452321</v>
      </c>
      <c r="F15" s="5">
        <v>1</v>
      </c>
      <c r="G15" s="5">
        <v>0.2650059375039997</v>
      </c>
      <c r="H15" s="5">
        <v>0.37045275622860491</v>
      </c>
      <c r="I15" s="5">
        <v>0.44197900416538999</v>
      </c>
      <c r="J15" s="5">
        <v>1.56888053927778</v>
      </c>
      <c r="K15" s="5">
        <v>0</v>
      </c>
      <c r="L15" s="5">
        <v>23.9509837185512</v>
      </c>
      <c r="M15" s="5">
        <v>166.8</v>
      </c>
      <c r="Q15" t="s">
        <v>99</v>
      </c>
      <c r="R15" t="s">
        <v>97</v>
      </c>
      <c r="S15" s="5">
        <v>1</v>
      </c>
      <c r="T15" s="5">
        <v>0</v>
      </c>
      <c r="U15" s="5">
        <v>0</v>
      </c>
      <c r="V15" s="5">
        <v>1</v>
      </c>
      <c r="W15" s="5">
        <v>1</v>
      </c>
      <c r="X15" s="5">
        <v>1</v>
      </c>
      <c r="Y15" s="5">
        <v>1</v>
      </c>
      <c r="AL15" t="s">
        <v>122</v>
      </c>
      <c r="AM15" t="s">
        <v>114</v>
      </c>
      <c r="AN15" t="s">
        <v>97</v>
      </c>
      <c r="AO15" s="5">
        <v>0.35254112855323727</v>
      </c>
      <c r="AP15" s="5">
        <v>1.4893545033435028E-2</v>
      </c>
      <c r="AQ15" s="5">
        <v>2.0819740340978523E-2</v>
      </c>
      <c r="AR15" s="5">
        <v>0.319082016284436</v>
      </c>
      <c r="AS15" s="5">
        <v>0.391918845838306</v>
      </c>
    </row>
    <row r="16" spans="1:52" x14ac:dyDescent="0.4">
      <c r="B16" t="s">
        <v>86</v>
      </c>
      <c r="C16" t="s">
        <v>79</v>
      </c>
      <c r="D16" t="s">
        <v>80</v>
      </c>
      <c r="E16" s="5">
        <v>34.44606615353954</v>
      </c>
      <c r="F16" s="5">
        <v>1</v>
      </c>
      <c r="G16" s="5">
        <v>12.889253283548451</v>
      </c>
      <c r="H16" s="5">
        <v>18.017933671946704</v>
      </c>
      <c r="I16" s="5">
        <v>12.627252141303</v>
      </c>
      <c r="J16" s="5">
        <v>65.803371989875501</v>
      </c>
      <c r="K16" s="5">
        <v>0</v>
      </c>
      <c r="L16" s="5">
        <v>225.51091633065201</v>
      </c>
      <c r="M16" s="5">
        <v>118.9</v>
      </c>
      <c r="P16" t="s">
        <v>86</v>
      </c>
      <c r="Q16" t="s">
        <v>94</v>
      </c>
      <c r="R16" t="s">
        <v>80</v>
      </c>
      <c r="S16" s="5">
        <v>1.9414248775037748</v>
      </c>
      <c r="T16" s="5">
        <v>0.78687206094246831</v>
      </c>
      <c r="U16" s="5">
        <v>1.0999712931753487</v>
      </c>
      <c r="V16" s="5">
        <v>0.64368437614034602</v>
      </c>
      <c r="W16" s="5">
        <v>3.96038812902029</v>
      </c>
      <c r="X16" s="5">
        <v>0</v>
      </c>
      <c r="Y16" s="5">
        <v>15</v>
      </c>
    </row>
    <row r="17" spans="2:25" x14ac:dyDescent="0.4">
      <c r="B17" t="s">
        <v>87</v>
      </c>
      <c r="C17" t="s">
        <v>79</v>
      </c>
      <c r="D17" t="s">
        <v>80</v>
      </c>
      <c r="E17" s="5">
        <v>0.3107068026011599</v>
      </c>
      <c r="F17" s="5">
        <v>1</v>
      </c>
      <c r="G17" s="5">
        <v>6.0166620868806149E-2</v>
      </c>
      <c r="H17" s="5">
        <v>8.4107136405101632E-2</v>
      </c>
      <c r="I17" s="5">
        <v>0.18745126643182999</v>
      </c>
      <c r="J17" s="5">
        <v>0.41527216816366702</v>
      </c>
      <c r="K17" s="5">
        <v>0</v>
      </c>
      <c r="L17" s="5">
        <v>20.568253815268498</v>
      </c>
      <c r="M17" s="5">
        <v>176.2</v>
      </c>
      <c r="P17" t="s">
        <v>101</v>
      </c>
      <c r="Q17" t="s">
        <v>96</v>
      </c>
      <c r="R17" t="s">
        <v>97</v>
      </c>
      <c r="S17" s="5">
        <v>0.38204498745219106</v>
      </c>
      <c r="T17" s="5">
        <v>2.1177173826515884E-2</v>
      </c>
      <c r="U17" s="5">
        <v>2.9603647703352595E-2</v>
      </c>
      <c r="V17" s="5">
        <v>0.32566726436532201</v>
      </c>
      <c r="W17" s="5">
        <v>0.42511230467838501</v>
      </c>
      <c r="X17" s="5">
        <v>0</v>
      </c>
      <c r="Y17" s="5">
        <v>1</v>
      </c>
    </row>
    <row r="18" spans="2:25" x14ac:dyDescent="0.4">
      <c r="B18" t="s">
        <v>88</v>
      </c>
      <c r="C18" t="s">
        <v>79</v>
      </c>
      <c r="D18" t="s">
        <v>80</v>
      </c>
      <c r="E18" s="5">
        <v>11.937035891377143</v>
      </c>
      <c r="F18" s="5">
        <v>1</v>
      </c>
      <c r="G18" s="5">
        <v>1.7398603279601377</v>
      </c>
      <c r="H18" s="5">
        <v>2.4321570302020485</v>
      </c>
      <c r="I18" s="5">
        <v>9.0500003375588793</v>
      </c>
      <c r="J18" s="5">
        <v>17.158211561399899</v>
      </c>
      <c r="K18" s="5">
        <v>0</v>
      </c>
      <c r="L18" s="5">
        <v>87.314133231163396</v>
      </c>
      <c r="M18" s="5">
        <v>165.9</v>
      </c>
      <c r="Q18" t="s">
        <v>98</v>
      </c>
      <c r="R18" t="s">
        <v>97</v>
      </c>
      <c r="S18" s="5">
        <v>0.76408997490438202</v>
      </c>
      <c r="T18" s="5">
        <v>4.2354347653031796E-2</v>
      </c>
      <c r="U18" s="5">
        <v>5.9207295406705232E-2</v>
      </c>
      <c r="V18" s="5">
        <v>0.65133452873064301</v>
      </c>
      <c r="W18" s="5">
        <v>0.85022460935677002</v>
      </c>
      <c r="X18" s="5">
        <v>0</v>
      </c>
      <c r="Y18" s="5">
        <v>2</v>
      </c>
    </row>
    <row r="19" spans="2:25" x14ac:dyDescent="0.4">
      <c r="B19" t="s">
        <v>89</v>
      </c>
      <c r="C19" t="s">
        <v>79</v>
      </c>
      <c r="D19" t="s">
        <v>80</v>
      </c>
      <c r="E19" s="5">
        <v>0.39665689085332995</v>
      </c>
      <c r="F19" s="5">
        <v>1</v>
      </c>
      <c r="G19" s="5">
        <v>0.1544798874877194</v>
      </c>
      <c r="H19" s="5">
        <v>0.21594799211186244</v>
      </c>
      <c r="I19" s="5">
        <v>0.146064109372333</v>
      </c>
      <c r="J19" s="5">
        <v>0.838540460893615</v>
      </c>
      <c r="K19" s="5">
        <v>0</v>
      </c>
      <c r="L19" s="5">
        <v>14.049023919221799</v>
      </c>
      <c r="M19" s="5">
        <v>220.6</v>
      </c>
      <c r="Q19" t="s">
        <v>99</v>
      </c>
      <c r="R19" t="s">
        <v>97</v>
      </c>
      <c r="S19" s="5">
        <v>2</v>
      </c>
      <c r="T19" s="5">
        <v>0</v>
      </c>
      <c r="U19" s="5">
        <v>0</v>
      </c>
      <c r="V19" s="5">
        <v>2</v>
      </c>
      <c r="W19" s="5">
        <v>2</v>
      </c>
      <c r="X19" s="5">
        <v>2</v>
      </c>
      <c r="Y19" s="5">
        <v>2</v>
      </c>
    </row>
    <row r="20" spans="2:25" x14ac:dyDescent="0.4">
      <c r="P20" t="s">
        <v>87</v>
      </c>
      <c r="Q20" t="s">
        <v>94</v>
      </c>
      <c r="R20" t="s">
        <v>80</v>
      </c>
      <c r="S20" s="5">
        <v>2.5183140573256935E-2</v>
      </c>
      <c r="T20" s="5">
        <v>4.7166269939678878E-3</v>
      </c>
      <c r="U20" s="5">
        <v>6.5933898933538881E-3</v>
      </c>
      <c r="V20" s="5">
        <v>1.7183032756251101E-2</v>
      </c>
      <c r="W20" s="5">
        <v>3.3093677405251203E-2</v>
      </c>
      <c r="X20" s="5">
        <v>0</v>
      </c>
      <c r="Y20" s="5">
        <v>2</v>
      </c>
    </row>
    <row r="21" spans="2:25" x14ac:dyDescent="0.4">
      <c r="P21" t="s">
        <v>102</v>
      </c>
      <c r="Q21" t="s">
        <v>96</v>
      </c>
      <c r="R21" t="s">
        <v>97</v>
      </c>
      <c r="S21" s="5">
        <v>0.68948907951108873</v>
      </c>
      <c r="T21" s="5">
        <v>5.0146379986722875E-2</v>
      </c>
      <c r="U21" s="5">
        <v>7.0099805521104841E-2</v>
      </c>
      <c r="V21" s="5">
        <v>0.59708526729729605</v>
      </c>
      <c r="W21" s="5">
        <v>0.81511052462014799</v>
      </c>
      <c r="X21" s="5">
        <v>0</v>
      </c>
      <c r="Y21" s="5">
        <v>1</v>
      </c>
    </row>
    <row r="22" spans="2:25" x14ac:dyDescent="0.4">
      <c r="Q22" t="s">
        <v>98</v>
      </c>
      <c r="R22" t="s">
        <v>97</v>
      </c>
      <c r="S22" s="5">
        <v>0.68948907951108873</v>
      </c>
      <c r="T22" s="5">
        <v>5.0146379986722875E-2</v>
      </c>
      <c r="U22" s="5">
        <v>7.0099805521104841E-2</v>
      </c>
      <c r="V22" s="5">
        <v>0.59708526729729605</v>
      </c>
      <c r="W22" s="5">
        <v>0.81511052462014799</v>
      </c>
      <c r="X22" s="5">
        <v>0</v>
      </c>
      <c r="Y22" s="5">
        <v>1</v>
      </c>
    </row>
    <row r="23" spans="2:25" x14ac:dyDescent="0.4">
      <c r="Q23" t="s">
        <v>99</v>
      </c>
      <c r="R23" t="s">
        <v>97</v>
      </c>
      <c r="S23" s="5">
        <v>1</v>
      </c>
      <c r="T23" s="5">
        <v>0</v>
      </c>
      <c r="U23" s="5">
        <v>0</v>
      </c>
      <c r="V23" s="5">
        <v>1</v>
      </c>
      <c r="W23" s="5">
        <v>1</v>
      </c>
      <c r="X23" s="5">
        <v>1</v>
      </c>
      <c r="Y23" s="5">
        <v>1</v>
      </c>
    </row>
    <row r="24" spans="2:25" x14ac:dyDescent="0.4">
      <c r="P24" t="s">
        <v>88</v>
      </c>
      <c r="Q24" t="s">
        <v>94</v>
      </c>
      <c r="R24" t="s">
        <v>80</v>
      </c>
      <c r="S24" s="5">
        <v>0.92596780474390472</v>
      </c>
      <c r="T24" s="5">
        <v>0.16857946596203516</v>
      </c>
      <c r="U24" s="5">
        <v>0.23565784373506599</v>
      </c>
      <c r="V24" s="5">
        <v>0.61954382246291895</v>
      </c>
      <c r="W24" s="5">
        <v>1.4060201140591599</v>
      </c>
      <c r="X24" s="5">
        <v>0</v>
      </c>
      <c r="Y24" s="5">
        <v>9</v>
      </c>
    </row>
    <row r="25" spans="2:25" x14ac:dyDescent="0.4">
      <c r="P25" t="s">
        <v>103</v>
      </c>
      <c r="Q25" t="s">
        <v>96</v>
      </c>
      <c r="R25" t="s">
        <v>97</v>
      </c>
      <c r="S25" s="5">
        <v>0.35254112855323727</v>
      </c>
      <c r="T25" s="5">
        <v>1.4893545033435028E-2</v>
      </c>
      <c r="U25" s="5">
        <v>2.0819740340978523E-2</v>
      </c>
      <c r="V25" s="5">
        <v>0.319082016284436</v>
      </c>
      <c r="W25" s="5">
        <v>0.391918845838306</v>
      </c>
      <c r="X25" s="5">
        <v>0</v>
      </c>
      <c r="Y25" s="5">
        <v>1</v>
      </c>
    </row>
    <row r="26" spans="2:25" x14ac:dyDescent="0.4">
      <c r="Q26" t="s">
        <v>98</v>
      </c>
      <c r="R26" t="s">
        <v>97</v>
      </c>
      <c r="S26" s="5">
        <v>0.70508225710647443</v>
      </c>
      <c r="T26" s="5">
        <v>2.9787090066869859E-2</v>
      </c>
      <c r="U26" s="5">
        <v>4.1639480681956775E-2</v>
      </c>
      <c r="V26" s="5">
        <v>0.638164032568872</v>
      </c>
      <c r="W26" s="5">
        <v>0.78383769167661099</v>
      </c>
      <c r="X26" s="5">
        <v>0</v>
      </c>
      <c r="Y26" s="5">
        <v>2</v>
      </c>
    </row>
    <row r="27" spans="2:25" x14ac:dyDescent="0.4">
      <c r="Q27" t="s">
        <v>99</v>
      </c>
      <c r="R27" t="s">
        <v>97</v>
      </c>
      <c r="S27" s="5">
        <v>2</v>
      </c>
      <c r="T27" s="5">
        <v>0</v>
      </c>
      <c r="U27" s="5">
        <v>0</v>
      </c>
      <c r="V27" s="5">
        <v>2</v>
      </c>
      <c r="W27" s="5">
        <v>2</v>
      </c>
      <c r="X27" s="5">
        <v>2</v>
      </c>
      <c r="Y27" s="5">
        <v>2</v>
      </c>
    </row>
    <row r="28" spans="2:25" x14ac:dyDescent="0.4">
      <c r="P28" t="s">
        <v>89</v>
      </c>
      <c r="Q28" t="s">
        <v>94</v>
      </c>
      <c r="R28" t="s">
        <v>80</v>
      </c>
      <c r="S28" s="5">
        <v>4.0588719153078524E-2</v>
      </c>
      <c r="T28" s="5">
        <v>1.6647488769739371E-2</v>
      </c>
      <c r="U28" s="5">
        <v>2.3271584618520549E-2</v>
      </c>
      <c r="V28" s="5">
        <v>1.58912341215269E-2</v>
      </c>
      <c r="W28" s="5">
        <v>9.0065456910795705E-2</v>
      </c>
      <c r="X28" s="5">
        <v>0</v>
      </c>
      <c r="Y28" s="5">
        <v>4</v>
      </c>
    </row>
  </sheetData>
  <dataConsolidate/>
  <phoneticPr fontId="3" type="noConversion"/>
  <conditionalFormatting pivot="1" sqref="G3:G19">
    <cfRule type="expression" dxfId="31" priority="14">
      <formula>G3=200000000000000000000</formula>
    </cfRule>
  </conditionalFormatting>
  <conditionalFormatting pivot="1" sqref="T3:T28">
    <cfRule type="expression" dxfId="30" priority="13">
      <formula>T3=200000000000000000000</formula>
    </cfRule>
  </conditionalFormatting>
  <conditionalFormatting pivot="1" sqref="T3:T28">
    <cfRule type="expression" dxfId="29" priority="12">
      <formula>T3=300000000000000000000</formula>
    </cfRule>
  </conditionalFormatting>
  <conditionalFormatting pivot="1" sqref="G3:G19">
    <cfRule type="expression" dxfId="28" priority="11">
      <formula>G3=300000000000000000000</formula>
    </cfRule>
  </conditionalFormatting>
  <conditionalFormatting pivot="1" sqref="F3:F19">
    <cfRule type="expression" dxfId="27" priority="10">
      <formula>F3=0</formula>
    </cfRule>
  </conditionalFormatting>
  <conditionalFormatting pivot="1" sqref="F3:F19">
    <cfRule type="expression" dxfId="26" priority="9">
      <formula>F3=1</formula>
    </cfRule>
  </conditionalFormatting>
  <conditionalFormatting pivot="1" sqref="T3:T28">
    <cfRule type="expression" dxfId="25" priority="8">
      <formula>T3=400000000000000000000</formula>
    </cfRule>
  </conditionalFormatting>
  <conditionalFormatting pivot="1" sqref="AP3:AP15">
    <cfRule type="expression" dxfId="24" priority="7">
      <formula>AP3=400000000000000000000</formula>
    </cfRule>
  </conditionalFormatting>
  <conditionalFormatting pivot="1" sqref="AF3:AF4">
    <cfRule type="expression" dxfId="23" priority="6">
      <formula>AF3=400000000000000000000</formula>
    </cfRule>
  </conditionalFormatting>
  <conditionalFormatting pivot="1" sqref="G3:G19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171"/>
  <sheetViews>
    <sheetView workbookViewId="0">
      <selection activeCell="A2" sqref="A2:K61"/>
    </sheetView>
  </sheetViews>
  <sheetFormatPr defaultRowHeight="13.9" x14ac:dyDescent="0.4"/>
  <cols>
    <col min="1" max="1" width="15.796875" bestFit="1" customWidth="1"/>
    <col min="2" max="2" width="22.3984375" bestFit="1" customWidth="1"/>
    <col min="3" max="3" width="13.1328125" bestFit="1" customWidth="1"/>
    <col min="4" max="4" width="14.53125" bestFit="1" customWidth="1"/>
    <col min="5" max="5" width="12.53125" bestFit="1" customWidth="1"/>
    <col min="6" max="6" width="13.06640625" bestFit="1" customWidth="1"/>
    <col min="7" max="7" width="12.19921875" bestFit="1" customWidth="1"/>
    <col min="8" max="8" width="23.59765625" bestFit="1" customWidth="1"/>
    <col min="9" max="10" width="12.19921875" bestFit="1" customWidth="1"/>
    <col min="11" max="11" width="22.59765625" bestFit="1" customWidth="1"/>
    <col min="12" max="12" width="47.265625" bestFit="1" customWidth="1"/>
    <col min="13" max="13" width="16.86328125" bestFit="1" customWidth="1"/>
    <col min="14" max="14" width="20.1328125" bestFit="1" customWidth="1"/>
    <col min="15" max="15" width="18" bestFit="1" customWidth="1"/>
    <col min="16" max="16" width="20.19921875" bestFit="1" customWidth="1"/>
    <col min="17" max="17" width="12.19921875" bestFit="1" customWidth="1"/>
    <col min="18" max="18" width="19.3984375" bestFit="1" customWidth="1"/>
    <col min="19" max="19" width="19.796875" bestFit="1" customWidth="1"/>
    <col min="20" max="20" width="18.53125" bestFit="1" customWidth="1"/>
    <col min="21" max="21" width="18.86328125" bestFit="1" customWidth="1"/>
    <col min="22" max="22" width="30.1328125" bestFit="1" customWidth="1"/>
    <col min="23" max="23" width="21.1328125" bestFit="1" customWidth="1"/>
    <col min="24" max="24" width="24.06640625" bestFit="1" customWidth="1"/>
    <col min="25" max="25" width="22.6640625" bestFit="1" customWidth="1"/>
  </cols>
  <sheetData>
    <row r="1" spans="1:25" x14ac:dyDescent="0.4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4">
      <c r="A2" t="s">
        <v>66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0</v>
      </c>
      <c r="H2">
        <v>2E+20</v>
      </c>
      <c r="I2">
        <v>0</v>
      </c>
      <c r="J2">
        <v>0</v>
      </c>
      <c r="K2">
        <v>214</v>
      </c>
      <c r="L2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10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220.7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10</v>
      </c>
      <c r="Y2">
        <f>IF(DiscreteStatsTable[[#This Row],[RepsRequested]]=DiscreteStatsTable[[#This Row],[RepsWithStatObserved]],1,0)</f>
        <v>1</v>
      </c>
    </row>
    <row r="3" spans="1:25" x14ac:dyDescent="0.4">
      <c r="A3" t="s">
        <v>66</v>
      </c>
      <c r="B3" t="s">
        <v>69</v>
      </c>
      <c r="C3">
        <v>1</v>
      </c>
      <c r="D3" t="s">
        <v>70</v>
      </c>
      <c r="E3" t="s">
        <v>73</v>
      </c>
      <c r="F3" t="s">
        <v>72</v>
      </c>
      <c r="G3">
        <v>37.272040242740196</v>
      </c>
      <c r="H3">
        <v>2E+20</v>
      </c>
      <c r="I3">
        <v>14.443621455104299</v>
      </c>
      <c r="J3">
        <v>100.303736637589</v>
      </c>
      <c r="K3">
        <v>214</v>
      </c>
      <c r="L3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10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35.690067898217421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0.99458640379634877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0.71148425254024616</v>
      </c>
      <c r="R3" cm="1">
        <f t="array" ref="R3">MIN(IF((DiscreteStatsTable[GroupByKey]=DiscreteStatsTable[[#This Row],[GroupByKey]]),(DiscreteStatsTable[GroupByKey]=DiscreteStatsTable[[#This Row],[GroupByKey]])*DiscreteStatsTable[Average]))</f>
        <v>34.179375139686798</v>
      </c>
      <c r="S3" cm="1">
        <f t="array" ref="S3">MAX(IF((DiscreteStatsTable[GroupByKey]=DiscreteStatsTable[[#This Row],[GroupByKey]]),(DiscreteStatsTable[GroupByKey]=DiscreteStatsTable[[#This Row],[GroupByKey]])*DiscreteStatsTable[Average]))</f>
        <v>37.272040242740196</v>
      </c>
      <c r="T3" cm="1">
        <f t="array" ref="T3">MIN(IF((DiscreteStatsTable[GroupByKey]=DiscreteStatsTable[[#This Row],[GroupByKey]]),(DiscreteStatsTable[GroupByKey]=DiscreteStatsTable[[#This Row],[GroupByKey]])*DiscreteStatsTable[Minimum]))</f>
        <v>13.0948236360219</v>
      </c>
      <c r="U3" cm="1">
        <f t="array" ref="U3">MAX(IF((DiscreteStatsTable[GroupByKey]=DiscreteStatsTable[[#This Row],[GroupByKey]]),(DiscreteStatsTable[GroupByKey]=DiscreteStatsTable[[#This Row],[GroupByKey]])*DiscreteStatsTable[Maximum]))</f>
        <v>102.267336062097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220.7</v>
      </c>
      <c r="W3">
        <f>IF((DiscreteStatsTable[[#This Row],[RepsRequested]]&gt;1),DiscreteStatsTable[[#This Row],[HalfWidth]],DiscreteStatsTable[[#This Row],[BatchMeansHalfWidth]])</f>
        <v>0.71148425254024616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10</v>
      </c>
      <c r="Y3">
        <f>IF(DiscreteStatsTable[[#This Row],[RepsRequested]]=DiscreteStatsTable[[#This Row],[RepsWithStatObserved]],1,0)</f>
        <v>1</v>
      </c>
    </row>
    <row r="4" spans="1:25" x14ac:dyDescent="0.4">
      <c r="A4" t="s">
        <v>66</v>
      </c>
      <c r="B4" t="s">
        <v>69</v>
      </c>
      <c r="C4">
        <v>1</v>
      </c>
      <c r="D4" t="s">
        <v>70</v>
      </c>
      <c r="E4" t="s">
        <v>74</v>
      </c>
      <c r="F4" t="s">
        <v>72</v>
      </c>
      <c r="G4">
        <v>60.069841244992702</v>
      </c>
      <c r="H4">
        <v>2E+20</v>
      </c>
      <c r="I4">
        <v>14.443621455104299</v>
      </c>
      <c r="J4">
        <v>170.51254829757499</v>
      </c>
      <c r="K4">
        <v>214</v>
      </c>
      <c r="L4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10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64.532529133885035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10.887938584670717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7.7887620583286621</v>
      </c>
      <c r="R4" cm="1">
        <f t="array" ref="R4">MIN(IF((DiscreteStatsTable[GroupByKey]=DiscreteStatsTable[[#This Row],[GroupByKey]]),(DiscreteStatsTable[GroupByKey]=DiscreteStatsTable[[#This Row],[GroupByKey]])*DiscreteStatsTable[Average]))</f>
        <v>50.131846661260099</v>
      </c>
      <c r="S4" cm="1">
        <f t="array" ref="S4">MAX(IF((DiscreteStatsTable[GroupByKey]=DiscreteStatsTable[[#This Row],[GroupByKey]]),(DiscreteStatsTable[GroupByKey]=DiscreteStatsTable[[#This Row],[GroupByKey]])*DiscreteStatsTable[Average]))</f>
        <v>87.273779080717802</v>
      </c>
      <c r="T4" cm="1">
        <f t="array" ref="T4">MIN(IF((DiscreteStatsTable[GroupByKey]=DiscreteStatsTable[[#This Row],[GroupByKey]]),(DiscreteStatsTable[GroupByKey]=DiscreteStatsTable[[#This Row],[GroupByKey]])*DiscreteStatsTable[Minimum]))</f>
        <v>13.298568495813001</v>
      </c>
      <c r="U4" cm="1">
        <f t="array" ref="U4">MAX(IF((DiscreteStatsTable[GroupByKey]=DiscreteStatsTable[[#This Row],[GroupByKey]]),(DiscreteStatsTable[GroupByKey]=DiscreteStatsTable[[#This Row],[GroupByKey]])*DiscreteStatsTable[Maximum]))</f>
        <v>320.80718678977303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220.7</v>
      </c>
      <c r="W4">
        <f>IF((DiscreteStatsTable[[#This Row],[RepsRequested]]&gt;1),DiscreteStatsTable[[#This Row],[HalfWidth]],DiscreteStatsTable[[#This Row],[BatchMeansHalfWidth]])</f>
        <v>7.7887620583286621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10</v>
      </c>
      <c r="Y4">
        <f>IF(DiscreteStatsTable[[#This Row],[RepsRequested]]=DiscreteStatsTable[[#This Row],[RepsWithStatObserved]],1,0)</f>
        <v>1</v>
      </c>
    </row>
    <row r="5" spans="1:25" x14ac:dyDescent="0.4">
      <c r="A5" t="s">
        <v>66</v>
      </c>
      <c r="B5" t="s">
        <v>69</v>
      </c>
      <c r="C5">
        <v>1</v>
      </c>
      <c r="D5" t="s">
        <v>70</v>
      </c>
      <c r="E5" t="s">
        <v>75</v>
      </c>
      <c r="F5" t="s">
        <v>72</v>
      </c>
      <c r="G5">
        <v>0</v>
      </c>
      <c r="H5">
        <v>2E+20</v>
      </c>
      <c r="I5">
        <v>0</v>
      </c>
      <c r="J5">
        <v>0</v>
      </c>
      <c r="K5">
        <v>214</v>
      </c>
      <c r="L5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10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220.7</v>
      </c>
      <c r="W5">
        <f>IF((DiscreteStatsTable[[#This Row],[RepsRequested]]&gt;1),DiscreteStatsTable[[#This Row],[HalfWidth]],DiscreteStatsTable[[#This Row],[BatchMeansHalfWidth]])</f>
        <v>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10</v>
      </c>
      <c r="Y5">
        <f>IF(DiscreteStatsTable[[#This Row],[RepsRequested]]=DiscreteStatsTable[[#This Row],[RepsWithStatObserved]],1,0)</f>
        <v>1</v>
      </c>
    </row>
    <row r="6" spans="1:25" x14ac:dyDescent="0.4">
      <c r="A6" t="s">
        <v>66</v>
      </c>
      <c r="B6" t="s">
        <v>69</v>
      </c>
      <c r="C6">
        <v>1</v>
      </c>
      <c r="D6" t="s">
        <v>70</v>
      </c>
      <c r="E6" t="s">
        <v>76</v>
      </c>
      <c r="F6" t="s">
        <v>72</v>
      </c>
      <c r="G6">
        <v>0</v>
      </c>
      <c r="H6">
        <v>2E+20</v>
      </c>
      <c r="I6">
        <v>0</v>
      </c>
      <c r="J6">
        <v>0</v>
      </c>
      <c r="K6">
        <v>214</v>
      </c>
      <c r="L6" t="str">
        <f>DiscreteStatsTable[[#This Row],[ProjectName]]&amp;DiscreteStatsTable[[#This Row],[Name]]&amp;DiscreteStatsTable[[#This Row],[Type]]&amp;DiscreteStatsTable[[#This Row],[Source]]</f>
        <v>Unnamed ProjectEntity 1VA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10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0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" cm="1">
        <f t="array" ref="R6">MIN(IF((DiscreteStatsTable[GroupByKey]=DiscreteStatsTable[[#This Row],[GroupByKey]]),(DiscreteStatsTable[GroupByKey]=DiscreteStatsTable[[#This Row],[GroupByKey]])*DiscreteStatsTable[Average]))</f>
        <v>0</v>
      </c>
      <c r="S6" cm="1">
        <f t="array" ref="S6">MAX(IF((DiscreteStatsTable[GroupByKey]=DiscreteStatsTable[[#This Row],[GroupByKey]]),(DiscreteStatsTable[GroupByKey]=DiscreteStatsTable[[#This Row],[GroupByKey]])*DiscreteStatsTable[Average]))</f>
        <v>0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0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220.7</v>
      </c>
      <c r="W6">
        <f>IF((DiscreteStatsTable[[#This Row],[RepsRequested]]&gt;1),DiscreteStatsTable[[#This Row],[HalfWidth]],DiscreteStatsTable[[#This Row],[BatchMeansHalfWidth]])</f>
        <v>0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10</v>
      </c>
      <c r="Y6">
        <f>IF(DiscreteStatsTable[[#This Row],[RepsRequested]]=DiscreteStatsTable[[#This Row],[RepsWithStatObserved]],1,0)</f>
        <v>1</v>
      </c>
    </row>
    <row r="7" spans="1:25" x14ac:dyDescent="0.4">
      <c r="A7" t="s">
        <v>66</v>
      </c>
      <c r="B7" t="s">
        <v>69</v>
      </c>
      <c r="C7">
        <v>1</v>
      </c>
      <c r="D7" t="s">
        <v>70</v>
      </c>
      <c r="E7" t="s">
        <v>77</v>
      </c>
      <c r="F7" t="s">
        <v>72</v>
      </c>
      <c r="G7">
        <v>22.797801002252498</v>
      </c>
      <c r="H7">
        <v>2E+20</v>
      </c>
      <c r="I7">
        <v>0</v>
      </c>
      <c r="J7">
        <v>116.589591933446</v>
      </c>
      <c r="K7">
        <v>214</v>
      </c>
      <c r="L7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10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28.842461235667599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10.580185065953426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7.5686084533774753</v>
      </c>
      <c r="R7" cm="1">
        <f t="array" ref="R7">MIN(IF((DiscreteStatsTable[GroupByKey]=DiscreteStatsTable[[#This Row],[GroupByKey]]),(DiscreteStatsTable[GroupByKey]=DiscreteStatsTable[[#This Row],[GroupByKey]])*DiscreteStatsTable[Average]))</f>
        <v>15.242255352523699</v>
      </c>
      <c r="S7" cm="1">
        <f t="array" ref="S7">MAX(IF((DiscreteStatsTable[GroupByKey]=DiscreteStatsTable[[#This Row],[GroupByKey]]),(DiscreteStatsTable[GroupByKey]=DiscreteStatsTable[[#This Row],[GroupByKey]])*DiscreteStatsTable[Average]))</f>
        <v>50.620872918588098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279.27951446189297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220.7</v>
      </c>
      <c r="W7">
        <f>IF((DiscreteStatsTable[[#This Row],[RepsRequested]]&gt;1),DiscreteStatsTable[[#This Row],[HalfWidth]],DiscreteStatsTable[[#This Row],[BatchMeansHalfWidth]])</f>
        <v>7.5686084533774753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10</v>
      </c>
      <c r="Y7">
        <f>IF(DiscreteStatsTable[[#This Row],[RepsRequested]]=DiscreteStatsTable[[#This Row],[RepsWithStatObserved]],1,0)</f>
        <v>1</v>
      </c>
    </row>
    <row r="8" spans="1:25" x14ac:dyDescent="0.4">
      <c r="A8" t="s">
        <v>66</v>
      </c>
      <c r="B8" t="s">
        <v>69</v>
      </c>
      <c r="C8">
        <v>2</v>
      </c>
      <c r="D8" t="s">
        <v>70</v>
      </c>
      <c r="E8" t="s">
        <v>71</v>
      </c>
      <c r="F8" t="s">
        <v>72</v>
      </c>
      <c r="G8">
        <v>0</v>
      </c>
      <c r="H8">
        <v>2E+20</v>
      </c>
      <c r="I8">
        <v>0</v>
      </c>
      <c r="J8">
        <v>0</v>
      </c>
      <c r="K8">
        <v>225</v>
      </c>
      <c r="L8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10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220.7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10</v>
      </c>
      <c r="Y8">
        <f>IF(DiscreteStatsTable[[#This Row],[RepsRequested]]=DiscreteStatsTable[[#This Row],[RepsWithStatObserved]],1,0)</f>
        <v>1</v>
      </c>
    </row>
    <row r="9" spans="1:25" x14ac:dyDescent="0.4">
      <c r="A9" t="s">
        <v>66</v>
      </c>
      <c r="B9" t="s">
        <v>69</v>
      </c>
      <c r="C9">
        <v>2</v>
      </c>
      <c r="D9" t="s">
        <v>70</v>
      </c>
      <c r="E9" t="s">
        <v>73</v>
      </c>
      <c r="F9" t="s">
        <v>72</v>
      </c>
      <c r="G9">
        <v>36.875351560238698</v>
      </c>
      <c r="H9">
        <v>2E+20</v>
      </c>
      <c r="I9">
        <v>13.4225842566461</v>
      </c>
      <c r="J9">
        <v>85.994446965820998</v>
      </c>
      <c r="K9">
        <v>225</v>
      </c>
      <c r="L9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10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35.690067898217421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0.99458640379634877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0.71148425254024616</v>
      </c>
      <c r="R9" cm="1">
        <f t="array" ref="R9">MIN(IF((DiscreteStatsTable[GroupByKey]=DiscreteStatsTable[[#This Row],[GroupByKey]]),(DiscreteStatsTable[GroupByKey]=DiscreteStatsTable[[#This Row],[GroupByKey]])*DiscreteStatsTable[Average]))</f>
        <v>34.179375139686798</v>
      </c>
      <c r="S9" cm="1">
        <f t="array" ref="S9">MAX(IF((DiscreteStatsTable[GroupByKey]=DiscreteStatsTable[[#This Row],[GroupByKey]]),(DiscreteStatsTable[GroupByKey]=DiscreteStatsTable[[#This Row],[GroupByKey]])*DiscreteStatsTable[Average]))</f>
        <v>37.272040242740196</v>
      </c>
      <c r="T9" cm="1">
        <f t="array" ref="T9">MIN(IF((DiscreteStatsTable[GroupByKey]=DiscreteStatsTable[[#This Row],[GroupByKey]]),(DiscreteStatsTable[GroupByKey]=DiscreteStatsTable[[#This Row],[GroupByKey]])*DiscreteStatsTable[Minimum]))</f>
        <v>13.0948236360219</v>
      </c>
      <c r="U9" cm="1">
        <f t="array" ref="U9">MAX(IF((DiscreteStatsTable[GroupByKey]=DiscreteStatsTable[[#This Row],[GroupByKey]]),(DiscreteStatsTable[GroupByKey]=DiscreteStatsTable[[#This Row],[GroupByKey]])*DiscreteStatsTable[Maximum]))</f>
        <v>102.267336062097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220.7</v>
      </c>
      <c r="W9">
        <f>IF((DiscreteStatsTable[[#This Row],[RepsRequested]]&gt;1),DiscreteStatsTable[[#This Row],[HalfWidth]],DiscreteStatsTable[[#This Row],[BatchMeansHalfWidth]])</f>
        <v>0.71148425254024616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10</v>
      </c>
      <c r="Y9">
        <f>IF(DiscreteStatsTable[[#This Row],[RepsRequested]]=DiscreteStatsTable[[#This Row],[RepsWithStatObserved]],1,0)</f>
        <v>1</v>
      </c>
    </row>
    <row r="10" spans="1:25" x14ac:dyDescent="0.4">
      <c r="A10" t="s">
        <v>66</v>
      </c>
      <c r="B10" t="s">
        <v>69</v>
      </c>
      <c r="C10">
        <v>2</v>
      </c>
      <c r="D10" t="s">
        <v>70</v>
      </c>
      <c r="E10" t="s">
        <v>74</v>
      </c>
      <c r="F10" t="s">
        <v>72</v>
      </c>
      <c r="G10">
        <v>64.637611276371899</v>
      </c>
      <c r="H10">
        <v>2E+20</v>
      </c>
      <c r="I10">
        <v>16.052333432383602</v>
      </c>
      <c r="J10">
        <v>201.58841983052</v>
      </c>
      <c r="K10">
        <v>225</v>
      </c>
      <c r="L10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10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64.532529133885035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10.887938584670717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7.7887620583286621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50.131846661260099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87.273779080717802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13.298568495813001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320.80718678977303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220.7</v>
      </c>
      <c r="W10">
        <f>IF((DiscreteStatsTable[[#This Row],[RepsRequested]]&gt;1),DiscreteStatsTable[[#This Row],[HalfWidth]],DiscreteStatsTable[[#This Row],[BatchMeansHalfWidth]])</f>
        <v>7.7887620583286621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10</v>
      </c>
      <c r="Y10">
        <f>IF(DiscreteStatsTable[[#This Row],[RepsRequested]]=DiscreteStatsTable[[#This Row],[RepsWithStatObserved]],1,0)</f>
        <v>1</v>
      </c>
    </row>
    <row r="11" spans="1:25" x14ac:dyDescent="0.4">
      <c r="A11" t="s">
        <v>66</v>
      </c>
      <c r="B11" t="s">
        <v>69</v>
      </c>
      <c r="C11">
        <v>2</v>
      </c>
      <c r="D11" t="s">
        <v>70</v>
      </c>
      <c r="E11" t="s">
        <v>75</v>
      </c>
      <c r="F11" t="s">
        <v>72</v>
      </c>
      <c r="G11">
        <v>0</v>
      </c>
      <c r="H11">
        <v>2E+20</v>
      </c>
      <c r="I11">
        <v>0</v>
      </c>
      <c r="J11">
        <v>0</v>
      </c>
      <c r="K11">
        <v>225</v>
      </c>
      <c r="L11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10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220.7</v>
      </c>
      <c r="W11">
        <f>IF((DiscreteStatsTable[[#This Row],[RepsRequested]]&gt;1),DiscreteStatsTable[[#This Row],[HalfWidth]],DiscreteStatsTable[[#This Row],[BatchMeansHalfWidth]])</f>
        <v>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10</v>
      </c>
      <c r="Y11">
        <f>IF(DiscreteStatsTable[[#This Row],[RepsRequested]]=DiscreteStatsTable[[#This Row],[RepsWithStatObserved]],1,0)</f>
        <v>1</v>
      </c>
    </row>
    <row r="12" spans="1:25" x14ac:dyDescent="0.4">
      <c r="A12" t="s">
        <v>66</v>
      </c>
      <c r="B12" t="s">
        <v>69</v>
      </c>
      <c r="C12">
        <v>2</v>
      </c>
      <c r="D12" t="s">
        <v>70</v>
      </c>
      <c r="E12" t="s">
        <v>76</v>
      </c>
      <c r="F12" t="s">
        <v>72</v>
      </c>
      <c r="G12">
        <v>0</v>
      </c>
      <c r="H12">
        <v>2E+20</v>
      </c>
      <c r="I12">
        <v>0</v>
      </c>
      <c r="J12">
        <v>0</v>
      </c>
      <c r="K12">
        <v>225</v>
      </c>
      <c r="L12" t="str">
        <f>DiscreteStatsTable[[#This Row],[ProjectName]]&amp;DiscreteStatsTable[[#This Row],[Name]]&amp;DiscreteStatsTable[[#This Row],[Type]]&amp;DiscreteStatsTable[[#This Row],[Source]]</f>
        <v>Unnamed ProjectEntity 1VA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10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0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0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0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0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220.7</v>
      </c>
      <c r="W12">
        <f>IF((DiscreteStatsTable[[#This Row],[RepsRequested]]&gt;1),DiscreteStatsTable[[#This Row],[HalfWidth]],DiscreteStatsTable[[#This Row],[BatchMeansHalfWidth]])</f>
        <v>0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10</v>
      </c>
      <c r="Y12">
        <f>IF(DiscreteStatsTable[[#This Row],[RepsRequested]]=DiscreteStatsTable[[#This Row],[RepsWithStatObserved]],1,0)</f>
        <v>1</v>
      </c>
    </row>
    <row r="13" spans="1:25" x14ac:dyDescent="0.4">
      <c r="A13" t="s">
        <v>66</v>
      </c>
      <c r="B13" t="s">
        <v>69</v>
      </c>
      <c r="C13">
        <v>2</v>
      </c>
      <c r="D13" t="s">
        <v>70</v>
      </c>
      <c r="E13" t="s">
        <v>77</v>
      </c>
      <c r="F13" t="s">
        <v>72</v>
      </c>
      <c r="G13">
        <v>27.762259716133201</v>
      </c>
      <c r="H13">
        <v>2E+20</v>
      </c>
      <c r="I13">
        <v>0</v>
      </c>
      <c r="J13">
        <v>153.73968177546899</v>
      </c>
      <c r="K13">
        <v>225</v>
      </c>
      <c r="L13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10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28.842461235667599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10.580185065953426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7.5686084533774753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15.242255352523699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50.620872918588098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279.27951446189297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220.7</v>
      </c>
      <c r="W13">
        <f>IF((DiscreteStatsTable[[#This Row],[RepsRequested]]&gt;1),DiscreteStatsTable[[#This Row],[HalfWidth]],DiscreteStatsTable[[#This Row],[BatchMeansHalfWidth]])</f>
        <v>7.5686084533774753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10</v>
      </c>
      <c r="Y13">
        <f>IF(DiscreteStatsTable[[#This Row],[RepsRequested]]=DiscreteStatsTable[[#This Row],[RepsWithStatObserved]],1,0)</f>
        <v>1</v>
      </c>
    </row>
    <row r="14" spans="1:25" x14ac:dyDescent="0.4">
      <c r="A14" t="s">
        <v>66</v>
      </c>
      <c r="B14" t="s">
        <v>69</v>
      </c>
      <c r="C14">
        <v>3</v>
      </c>
      <c r="D14" t="s">
        <v>70</v>
      </c>
      <c r="E14" t="s">
        <v>71</v>
      </c>
      <c r="F14" t="s">
        <v>72</v>
      </c>
      <c r="G14">
        <v>0</v>
      </c>
      <c r="H14">
        <v>2E+20</v>
      </c>
      <c r="I14">
        <v>0</v>
      </c>
      <c r="J14">
        <v>0</v>
      </c>
      <c r="K14">
        <v>237</v>
      </c>
      <c r="L14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10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220.7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10</v>
      </c>
      <c r="Y14">
        <f>IF(DiscreteStatsTable[[#This Row],[RepsRequested]]=DiscreteStatsTable[[#This Row],[RepsWithStatObserved]],1,0)</f>
        <v>1</v>
      </c>
    </row>
    <row r="15" spans="1:25" x14ac:dyDescent="0.4">
      <c r="A15" t="s">
        <v>66</v>
      </c>
      <c r="B15" t="s">
        <v>69</v>
      </c>
      <c r="C15">
        <v>3</v>
      </c>
      <c r="D15" t="s">
        <v>70</v>
      </c>
      <c r="E15" t="s">
        <v>73</v>
      </c>
      <c r="F15" t="s">
        <v>72</v>
      </c>
      <c r="G15">
        <v>36.652906162129703</v>
      </c>
      <c r="H15">
        <v>2E+20</v>
      </c>
      <c r="I15">
        <v>14.6573601038492</v>
      </c>
      <c r="J15">
        <v>102.267336062097</v>
      </c>
      <c r="K15">
        <v>237</v>
      </c>
      <c r="L15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10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35.690067898217421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0.99458640379634877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0.71148425254024616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34.179375139686798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37.272040242740196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13.0948236360219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102.267336062097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220.7</v>
      </c>
      <c r="W15">
        <f>IF((DiscreteStatsTable[[#This Row],[RepsRequested]]&gt;1),DiscreteStatsTable[[#This Row],[HalfWidth]],DiscreteStatsTable[[#This Row],[BatchMeansHalfWidth]])</f>
        <v>0.71148425254024616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10</v>
      </c>
      <c r="Y15">
        <f>IF(DiscreteStatsTable[[#This Row],[RepsRequested]]=DiscreteStatsTable[[#This Row],[RepsWithStatObserved]],1,0)</f>
        <v>1</v>
      </c>
    </row>
    <row r="16" spans="1:25" x14ac:dyDescent="0.4">
      <c r="A16" t="s">
        <v>66</v>
      </c>
      <c r="B16" t="s">
        <v>69</v>
      </c>
      <c r="C16">
        <v>3</v>
      </c>
      <c r="D16" t="s">
        <v>70</v>
      </c>
      <c r="E16" t="s">
        <v>74</v>
      </c>
      <c r="F16" t="s">
        <v>72</v>
      </c>
      <c r="G16">
        <v>87.273779080717802</v>
      </c>
      <c r="H16">
        <v>2E+20</v>
      </c>
      <c r="I16">
        <v>14.7096057128285</v>
      </c>
      <c r="J16">
        <v>320.80718678977303</v>
      </c>
      <c r="K16">
        <v>237</v>
      </c>
      <c r="L16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10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64.532529133885035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10.887938584670717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7.7887620583286621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50.131846661260099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87.273779080717802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13.298568495813001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320.80718678977303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220.7</v>
      </c>
      <c r="W16">
        <f>IF((DiscreteStatsTable[[#This Row],[RepsRequested]]&gt;1),DiscreteStatsTable[[#This Row],[HalfWidth]],DiscreteStatsTable[[#This Row],[BatchMeansHalfWidth]])</f>
        <v>7.7887620583286621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10</v>
      </c>
      <c r="Y16">
        <f>IF(DiscreteStatsTable[[#This Row],[RepsRequested]]=DiscreteStatsTable[[#This Row],[RepsWithStatObserved]],1,0)</f>
        <v>1</v>
      </c>
    </row>
    <row r="17" spans="1:25" x14ac:dyDescent="0.4">
      <c r="A17" t="s">
        <v>66</v>
      </c>
      <c r="B17" t="s">
        <v>69</v>
      </c>
      <c r="C17">
        <v>3</v>
      </c>
      <c r="D17" t="s">
        <v>70</v>
      </c>
      <c r="E17" t="s">
        <v>75</v>
      </c>
      <c r="F17" t="s">
        <v>72</v>
      </c>
      <c r="G17">
        <v>0</v>
      </c>
      <c r="H17">
        <v>2E+20</v>
      </c>
      <c r="I17">
        <v>0</v>
      </c>
      <c r="J17">
        <v>0</v>
      </c>
      <c r="K17">
        <v>237</v>
      </c>
      <c r="L17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10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0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0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0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0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220.7</v>
      </c>
      <c r="W17">
        <f>IF((DiscreteStatsTable[[#This Row],[RepsRequested]]&gt;1),DiscreteStatsTable[[#This Row],[HalfWidth]],DiscreteStatsTable[[#This Row],[BatchMeansHalfWidth]])</f>
        <v>0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10</v>
      </c>
      <c r="Y17">
        <f>IF(DiscreteStatsTable[[#This Row],[RepsRequested]]=DiscreteStatsTable[[#This Row],[RepsWithStatObserved]],1,0)</f>
        <v>1</v>
      </c>
    </row>
    <row r="18" spans="1:25" x14ac:dyDescent="0.4">
      <c r="A18" t="s">
        <v>66</v>
      </c>
      <c r="B18" t="s">
        <v>69</v>
      </c>
      <c r="C18">
        <v>3</v>
      </c>
      <c r="D18" t="s">
        <v>70</v>
      </c>
      <c r="E18" t="s">
        <v>76</v>
      </c>
      <c r="F18" t="s">
        <v>72</v>
      </c>
      <c r="G18">
        <v>0</v>
      </c>
      <c r="H18">
        <v>2E+20</v>
      </c>
      <c r="I18">
        <v>0</v>
      </c>
      <c r="J18">
        <v>0</v>
      </c>
      <c r="K18">
        <v>237</v>
      </c>
      <c r="L18" t="str">
        <f>DiscreteStatsTable[[#This Row],[ProjectName]]&amp;DiscreteStatsTable[[#This Row],[Name]]&amp;DiscreteStatsTable[[#This Row],[Type]]&amp;DiscreteStatsTable[[#This Row],[Source]]</f>
        <v>Unnamed ProjectEntity 1VA TimeEntity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10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0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0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0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0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0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0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220.7</v>
      </c>
      <c r="W18">
        <f>IF((DiscreteStatsTable[[#This Row],[RepsRequested]]&gt;1),DiscreteStatsTable[[#This Row],[HalfWidth]],DiscreteStatsTable[[#This Row],[BatchMeansHalfWidth]])</f>
        <v>0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10</v>
      </c>
      <c r="Y18">
        <f>IF(DiscreteStatsTable[[#This Row],[RepsRequested]]=DiscreteStatsTable[[#This Row],[RepsWithStatObserved]],1,0)</f>
        <v>1</v>
      </c>
    </row>
    <row r="19" spans="1:25" x14ac:dyDescent="0.4">
      <c r="A19" t="s">
        <v>66</v>
      </c>
      <c r="B19" t="s">
        <v>69</v>
      </c>
      <c r="C19">
        <v>3</v>
      </c>
      <c r="D19" t="s">
        <v>70</v>
      </c>
      <c r="E19" t="s">
        <v>77</v>
      </c>
      <c r="F19" t="s">
        <v>72</v>
      </c>
      <c r="G19">
        <v>50.620872918588098</v>
      </c>
      <c r="H19">
        <v>2E+20</v>
      </c>
      <c r="I19">
        <v>0</v>
      </c>
      <c r="J19">
        <v>279.27951446189297</v>
      </c>
      <c r="K19">
        <v>237</v>
      </c>
      <c r="L19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10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28.842461235667599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10.580185065953426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7.5686084533774753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15.242255352523699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50.620872918588098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279.27951446189297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220.7</v>
      </c>
      <c r="W19">
        <f>IF((DiscreteStatsTable[[#This Row],[RepsRequested]]&gt;1),DiscreteStatsTable[[#This Row],[HalfWidth]],DiscreteStatsTable[[#This Row],[BatchMeansHalfWidth]])</f>
        <v>7.5686084533774753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10</v>
      </c>
      <c r="Y19">
        <f>IF(DiscreteStatsTable[[#This Row],[RepsRequested]]=DiscreteStatsTable[[#This Row],[RepsWithStatObserved]],1,0)</f>
        <v>1</v>
      </c>
    </row>
    <row r="20" spans="1:25" x14ac:dyDescent="0.4">
      <c r="A20" t="s">
        <v>66</v>
      </c>
      <c r="B20" t="s">
        <v>69</v>
      </c>
      <c r="C20">
        <v>4</v>
      </c>
      <c r="D20" t="s">
        <v>70</v>
      </c>
      <c r="E20" t="s">
        <v>71</v>
      </c>
      <c r="F20" t="s">
        <v>72</v>
      </c>
      <c r="G20">
        <v>0</v>
      </c>
      <c r="H20">
        <v>2E+20</v>
      </c>
      <c r="I20">
        <v>0</v>
      </c>
      <c r="J20">
        <v>0</v>
      </c>
      <c r="K20">
        <v>237</v>
      </c>
      <c r="L20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10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220.7</v>
      </c>
      <c r="W20">
        <f>IF((DiscreteStatsTable[[#This Row],[RepsRequested]]&gt;1),DiscreteStatsTable[[#This Row],[HalfWidth]],DiscreteStatsTable[[#This Row],[BatchMeansHalfWidth]])</f>
        <v>0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10</v>
      </c>
      <c r="Y20">
        <f>IF(DiscreteStatsTable[[#This Row],[RepsRequested]]=DiscreteStatsTable[[#This Row],[RepsWithStatObserved]],1,0)</f>
        <v>1</v>
      </c>
    </row>
    <row r="21" spans="1:25" x14ac:dyDescent="0.4">
      <c r="A21" t="s">
        <v>66</v>
      </c>
      <c r="B21" t="s">
        <v>69</v>
      </c>
      <c r="C21">
        <v>4</v>
      </c>
      <c r="D21" t="s">
        <v>70</v>
      </c>
      <c r="E21" t="s">
        <v>73</v>
      </c>
      <c r="F21" t="s">
        <v>72</v>
      </c>
      <c r="G21">
        <v>36.051549307417801</v>
      </c>
      <c r="H21">
        <v>2E+20</v>
      </c>
      <c r="I21">
        <v>13.150582652114799</v>
      </c>
      <c r="J21">
        <v>101.43584840005801</v>
      </c>
      <c r="K21">
        <v>237</v>
      </c>
      <c r="L21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10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35.690067898217421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0.99458640379634877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0.71148425254024616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34.179375139686798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37.272040242740196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13.0948236360219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102.267336062097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220.7</v>
      </c>
      <c r="W21">
        <f>IF((DiscreteStatsTable[[#This Row],[RepsRequested]]&gt;1),DiscreteStatsTable[[#This Row],[HalfWidth]],DiscreteStatsTable[[#This Row],[BatchMeansHalfWidth]])</f>
        <v>0.71148425254024616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10</v>
      </c>
      <c r="Y21">
        <f>IF(DiscreteStatsTable[[#This Row],[RepsRequested]]=DiscreteStatsTable[[#This Row],[RepsWithStatObserved]],1,0)</f>
        <v>1</v>
      </c>
    </row>
    <row r="22" spans="1:25" x14ac:dyDescent="0.4">
      <c r="A22" t="s">
        <v>66</v>
      </c>
      <c r="B22" t="s">
        <v>69</v>
      </c>
      <c r="C22">
        <v>4</v>
      </c>
      <c r="D22" t="s">
        <v>70</v>
      </c>
      <c r="E22" t="s">
        <v>74</v>
      </c>
      <c r="F22" t="s">
        <v>72</v>
      </c>
      <c r="G22">
        <v>68.486637801001706</v>
      </c>
      <c r="H22">
        <v>2E+20</v>
      </c>
      <c r="I22">
        <v>13.298568495813001</v>
      </c>
      <c r="J22">
        <v>166.61569234640899</v>
      </c>
      <c r="K22">
        <v>237</v>
      </c>
      <c r="L22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10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64.532529133885035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10.887938584670717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7.7887620583286621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50.131846661260099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87.273779080717802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13.298568495813001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320.80718678977303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220.7</v>
      </c>
      <c r="W22">
        <f>IF((DiscreteStatsTable[[#This Row],[RepsRequested]]&gt;1),DiscreteStatsTable[[#This Row],[HalfWidth]],DiscreteStatsTable[[#This Row],[BatchMeansHalfWidth]])</f>
        <v>7.7887620583286621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10</v>
      </c>
      <c r="Y22">
        <f>IF(DiscreteStatsTable[[#This Row],[RepsRequested]]=DiscreteStatsTable[[#This Row],[RepsWithStatObserved]],1,0)</f>
        <v>1</v>
      </c>
    </row>
    <row r="23" spans="1:25" x14ac:dyDescent="0.4">
      <c r="A23" t="s">
        <v>66</v>
      </c>
      <c r="B23" t="s">
        <v>69</v>
      </c>
      <c r="C23">
        <v>4</v>
      </c>
      <c r="D23" t="s">
        <v>70</v>
      </c>
      <c r="E23" t="s">
        <v>75</v>
      </c>
      <c r="F23" t="s">
        <v>72</v>
      </c>
      <c r="G23">
        <v>0</v>
      </c>
      <c r="H23">
        <v>2E+20</v>
      </c>
      <c r="I23">
        <v>0</v>
      </c>
      <c r="J23">
        <v>0</v>
      </c>
      <c r="K23">
        <v>237</v>
      </c>
      <c r="L23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10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0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0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0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0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220.7</v>
      </c>
      <c r="W23">
        <f>IF((DiscreteStatsTable[[#This Row],[RepsRequested]]&gt;1),DiscreteStatsTable[[#This Row],[HalfWidth]],DiscreteStatsTable[[#This Row],[BatchMeansHalfWidth]])</f>
        <v>0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10</v>
      </c>
      <c r="Y23">
        <f>IF(DiscreteStatsTable[[#This Row],[RepsRequested]]=DiscreteStatsTable[[#This Row],[RepsWithStatObserved]],1,0)</f>
        <v>1</v>
      </c>
    </row>
    <row r="24" spans="1:25" x14ac:dyDescent="0.4">
      <c r="A24" t="s">
        <v>66</v>
      </c>
      <c r="B24" t="s">
        <v>69</v>
      </c>
      <c r="C24">
        <v>4</v>
      </c>
      <c r="D24" t="s">
        <v>70</v>
      </c>
      <c r="E24" t="s">
        <v>76</v>
      </c>
      <c r="F24" t="s">
        <v>72</v>
      </c>
      <c r="G24">
        <v>0</v>
      </c>
      <c r="H24">
        <v>2E+20</v>
      </c>
      <c r="I24">
        <v>0</v>
      </c>
      <c r="J24">
        <v>0</v>
      </c>
      <c r="K24">
        <v>237</v>
      </c>
      <c r="L24" t="str">
        <f>DiscreteStatsTable[[#This Row],[ProjectName]]&amp;DiscreteStatsTable[[#This Row],[Name]]&amp;DiscreteStatsTable[[#This Row],[Type]]&amp;DiscreteStatsTable[[#This Row],[Source]]</f>
        <v>Unnamed ProjectEntity 1VA TimeEntity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10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0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0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0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0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0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0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220.7</v>
      </c>
      <c r="W24">
        <f>IF((DiscreteStatsTable[[#This Row],[RepsRequested]]&gt;1),DiscreteStatsTable[[#This Row],[HalfWidth]],DiscreteStatsTable[[#This Row],[BatchMeansHalfWidth]])</f>
        <v>0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10</v>
      </c>
      <c r="Y24">
        <f>IF(DiscreteStatsTable[[#This Row],[RepsRequested]]=DiscreteStatsTable[[#This Row],[RepsWithStatObserved]],1,0)</f>
        <v>1</v>
      </c>
    </row>
    <row r="25" spans="1:25" x14ac:dyDescent="0.4">
      <c r="A25" t="s">
        <v>66</v>
      </c>
      <c r="B25" t="s">
        <v>69</v>
      </c>
      <c r="C25">
        <v>4</v>
      </c>
      <c r="D25" t="s">
        <v>70</v>
      </c>
      <c r="E25" t="s">
        <v>77</v>
      </c>
      <c r="F25" t="s">
        <v>72</v>
      </c>
      <c r="G25">
        <v>32.435088493583898</v>
      </c>
      <c r="H25">
        <v>2E+20</v>
      </c>
      <c r="I25">
        <v>0</v>
      </c>
      <c r="J25">
        <v>113.163870531158</v>
      </c>
      <c r="K25">
        <v>237</v>
      </c>
      <c r="L25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10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28.842461235667599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10.580185065953426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7.5686084533774753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15.242255352523699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50.620872918588098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279.27951446189297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220.7</v>
      </c>
      <c r="W25">
        <f>IF((DiscreteStatsTable[[#This Row],[RepsRequested]]&gt;1),DiscreteStatsTable[[#This Row],[HalfWidth]],DiscreteStatsTable[[#This Row],[BatchMeansHalfWidth]])</f>
        <v>7.5686084533774753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10</v>
      </c>
      <c r="Y25">
        <f>IF(DiscreteStatsTable[[#This Row],[RepsRequested]]=DiscreteStatsTable[[#This Row],[RepsWithStatObserved]],1,0)</f>
        <v>1</v>
      </c>
    </row>
    <row r="26" spans="1:25" x14ac:dyDescent="0.4">
      <c r="A26" t="s">
        <v>66</v>
      </c>
      <c r="B26" t="s">
        <v>69</v>
      </c>
      <c r="C26">
        <v>5</v>
      </c>
      <c r="D26" t="s">
        <v>70</v>
      </c>
      <c r="E26" t="s">
        <v>71</v>
      </c>
      <c r="F26" t="s">
        <v>72</v>
      </c>
      <c r="G26">
        <v>0</v>
      </c>
      <c r="H26">
        <v>2E+20</v>
      </c>
      <c r="I26">
        <v>0</v>
      </c>
      <c r="J26">
        <v>0</v>
      </c>
      <c r="K26">
        <v>190</v>
      </c>
      <c r="L26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10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220.7</v>
      </c>
      <c r="W26">
        <f>IF((DiscreteStatsTable[[#This Row],[RepsRequested]]&gt;1),DiscreteStatsTable[[#This Row],[HalfWidth]],DiscreteStatsTable[[#This Row],[BatchMeansHalfWidth]])</f>
        <v>0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10</v>
      </c>
      <c r="Y26">
        <f>IF(DiscreteStatsTable[[#This Row],[RepsRequested]]=DiscreteStatsTable[[#This Row],[RepsWithStatObserved]],1,0)</f>
        <v>1</v>
      </c>
    </row>
    <row r="27" spans="1:25" x14ac:dyDescent="0.4">
      <c r="A27" t="s">
        <v>66</v>
      </c>
      <c r="B27" t="s">
        <v>69</v>
      </c>
      <c r="C27">
        <v>5</v>
      </c>
      <c r="D27" t="s">
        <v>70</v>
      </c>
      <c r="E27" t="s">
        <v>73</v>
      </c>
      <c r="F27" t="s">
        <v>72</v>
      </c>
      <c r="G27">
        <v>34.8895913087363</v>
      </c>
      <c r="H27">
        <v>2E+20</v>
      </c>
      <c r="I27">
        <v>13.6772970283674</v>
      </c>
      <c r="J27">
        <v>100.586486675575</v>
      </c>
      <c r="K27">
        <v>190</v>
      </c>
      <c r="L27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10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35.690067898217421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0.99458640379634877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0.71148425254024616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34.179375139686798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37.272040242740196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13.0948236360219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102.267336062097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220.7</v>
      </c>
      <c r="W27">
        <f>IF((DiscreteStatsTable[[#This Row],[RepsRequested]]&gt;1),DiscreteStatsTable[[#This Row],[HalfWidth]],DiscreteStatsTable[[#This Row],[BatchMeansHalfWidth]])</f>
        <v>0.71148425254024616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10</v>
      </c>
      <c r="Y27">
        <f>IF(DiscreteStatsTable[[#This Row],[RepsRequested]]=DiscreteStatsTable[[#This Row],[RepsWithStatObserved]],1,0)</f>
        <v>1</v>
      </c>
    </row>
    <row r="28" spans="1:25" x14ac:dyDescent="0.4">
      <c r="A28" t="s">
        <v>66</v>
      </c>
      <c r="B28" t="s">
        <v>69</v>
      </c>
      <c r="C28">
        <v>5</v>
      </c>
      <c r="D28" t="s">
        <v>70</v>
      </c>
      <c r="E28" t="s">
        <v>74</v>
      </c>
      <c r="F28" t="s">
        <v>72</v>
      </c>
      <c r="G28">
        <v>50.131846661260099</v>
      </c>
      <c r="H28">
        <v>2E+20</v>
      </c>
      <c r="I28">
        <v>14.4766449974704</v>
      </c>
      <c r="J28">
        <v>141.52007509688099</v>
      </c>
      <c r="K28">
        <v>190</v>
      </c>
      <c r="L28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10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64.532529133885035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10.887938584670717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7.7887620583286621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50.131846661260099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87.273779080717802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13.298568495813001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320.80718678977303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220.7</v>
      </c>
      <c r="W28">
        <f>IF((DiscreteStatsTable[[#This Row],[RepsRequested]]&gt;1),DiscreteStatsTable[[#This Row],[HalfWidth]],DiscreteStatsTable[[#This Row],[BatchMeansHalfWidth]])</f>
        <v>7.7887620583286621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10</v>
      </c>
      <c r="Y28">
        <f>IF(DiscreteStatsTable[[#This Row],[RepsRequested]]=DiscreteStatsTable[[#This Row],[RepsWithStatObserved]],1,0)</f>
        <v>1</v>
      </c>
    </row>
    <row r="29" spans="1:25" x14ac:dyDescent="0.4">
      <c r="A29" t="s">
        <v>66</v>
      </c>
      <c r="B29" t="s">
        <v>69</v>
      </c>
      <c r="C29">
        <v>5</v>
      </c>
      <c r="D29" t="s">
        <v>70</v>
      </c>
      <c r="E29" t="s">
        <v>75</v>
      </c>
      <c r="F29" t="s">
        <v>72</v>
      </c>
      <c r="G29">
        <v>0</v>
      </c>
      <c r="H29">
        <v>2E+20</v>
      </c>
      <c r="I29">
        <v>0</v>
      </c>
      <c r="J29">
        <v>0</v>
      </c>
      <c r="K29">
        <v>190</v>
      </c>
      <c r="L29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10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0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0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0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0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0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220.7</v>
      </c>
      <c r="W29">
        <f>IF((DiscreteStatsTable[[#This Row],[RepsRequested]]&gt;1),DiscreteStatsTable[[#This Row],[HalfWidth]],DiscreteStatsTable[[#This Row],[BatchMeansHalfWidth]])</f>
        <v>0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10</v>
      </c>
      <c r="Y29">
        <f>IF(DiscreteStatsTable[[#This Row],[RepsRequested]]=DiscreteStatsTable[[#This Row],[RepsWithStatObserved]],1,0)</f>
        <v>1</v>
      </c>
    </row>
    <row r="30" spans="1:25" x14ac:dyDescent="0.4">
      <c r="A30" t="s">
        <v>66</v>
      </c>
      <c r="B30" t="s">
        <v>69</v>
      </c>
      <c r="C30">
        <v>5</v>
      </c>
      <c r="D30" t="s">
        <v>70</v>
      </c>
      <c r="E30" t="s">
        <v>76</v>
      </c>
      <c r="F30" t="s">
        <v>72</v>
      </c>
      <c r="G30">
        <v>0</v>
      </c>
      <c r="H30">
        <v>2E+20</v>
      </c>
      <c r="I30">
        <v>0</v>
      </c>
      <c r="J30">
        <v>0</v>
      </c>
      <c r="K30">
        <v>190</v>
      </c>
      <c r="L30" t="str">
        <f>DiscreteStatsTable[[#This Row],[ProjectName]]&amp;DiscreteStatsTable[[#This Row],[Name]]&amp;DiscreteStatsTable[[#This Row],[Type]]&amp;DiscreteStatsTable[[#This Row],[Source]]</f>
        <v>Unnamed ProjectEntity 1VA TimeEntity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10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0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0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0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0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0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0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220.7</v>
      </c>
      <c r="W30">
        <f>IF((DiscreteStatsTable[[#This Row],[RepsRequested]]&gt;1),DiscreteStatsTable[[#This Row],[HalfWidth]],DiscreteStatsTable[[#This Row],[BatchMeansHalfWidth]])</f>
        <v>0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10</v>
      </c>
      <c r="Y30">
        <f>IF(DiscreteStatsTable[[#This Row],[RepsRequested]]=DiscreteStatsTable[[#This Row],[RepsWithStatObserved]],1,0)</f>
        <v>1</v>
      </c>
    </row>
    <row r="31" spans="1:25" x14ac:dyDescent="0.4">
      <c r="A31" t="s">
        <v>66</v>
      </c>
      <c r="B31" t="s">
        <v>69</v>
      </c>
      <c r="C31">
        <v>5</v>
      </c>
      <c r="D31" t="s">
        <v>70</v>
      </c>
      <c r="E31" t="s">
        <v>77</v>
      </c>
      <c r="F31" t="s">
        <v>72</v>
      </c>
      <c r="G31">
        <v>15.242255352523699</v>
      </c>
      <c r="H31">
        <v>2E+20</v>
      </c>
      <c r="I31">
        <v>0</v>
      </c>
      <c r="J31">
        <v>85.790446330171605</v>
      </c>
      <c r="K31">
        <v>190</v>
      </c>
      <c r="L31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10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28.842461235667599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10.580185065953426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7.5686084533774753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15.242255352523699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50.620872918588098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279.27951446189297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220.7</v>
      </c>
      <c r="W31">
        <f>IF((DiscreteStatsTable[[#This Row],[RepsRequested]]&gt;1),DiscreteStatsTable[[#This Row],[HalfWidth]],DiscreteStatsTable[[#This Row],[BatchMeansHalfWidth]])</f>
        <v>7.5686084533774753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10</v>
      </c>
      <c r="Y31">
        <f>IF(DiscreteStatsTable[[#This Row],[RepsRequested]]=DiscreteStatsTable[[#This Row],[RepsWithStatObserved]],1,0)</f>
        <v>1</v>
      </c>
    </row>
    <row r="32" spans="1:25" x14ac:dyDescent="0.4">
      <c r="A32" t="s">
        <v>66</v>
      </c>
      <c r="B32" t="s">
        <v>69</v>
      </c>
      <c r="C32">
        <v>6</v>
      </c>
      <c r="D32" t="s">
        <v>70</v>
      </c>
      <c r="E32" t="s">
        <v>71</v>
      </c>
      <c r="F32" t="s">
        <v>72</v>
      </c>
      <c r="G32">
        <v>0</v>
      </c>
      <c r="H32">
        <v>2E+20</v>
      </c>
      <c r="I32">
        <v>0</v>
      </c>
      <c r="J32">
        <v>0</v>
      </c>
      <c r="K32">
        <v>234</v>
      </c>
      <c r="L32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10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0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0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0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220.7</v>
      </c>
      <c r="W32">
        <f>IF((DiscreteStatsTable[[#This Row],[RepsRequested]]&gt;1),DiscreteStatsTable[[#This Row],[HalfWidth]],DiscreteStatsTable[[#This Row],[BatchMeansHalfWidth]])</f>
        <v>0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10</v>
      </c>
      <c r="Y32">
        <f>IF(DiscreteStatsTable[[#This Row],[RepsRequested]]=DiscreteStatsTable[[#This Row],[RepsWithStatObserved]],1,0)</f>
        <v>1</v>
      </c>
    </row>
    <row r="33" spans="1:25" x14ac:dyDescent="0.4">
      <c r="A33" t="s">
        <v>66</v>
      </c>
      <c r="B33" t="s">
        <v>69</v>
      </c>
      <c r="C33">
        <v>6</v>
      </c>
      <c r="D33" t="s">
        <v>70</v>
      </c>
      <c r="E33" t="s">
        <v>73</v>
      </c>
      <c r="F33" t="s">
        <v>72</v>
      </c>
      <c r="G33">
        <v>34.179375139686798</v>
      </c>
      <c r="H33">
        <v>2E+20</v>
      </c>
      <c r="I33">
        <v>13.765281528695599</v>
      </c>
      <c r="J33">
        <v>100.34059971477301</v>
      </c>
      <c r="K33">
        <v>234</v>
      </c>
      <c r="L33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10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35.690067898217421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0.99458640379634877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0.71148425254024616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34.179375139686798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37.272040242740196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13.0948236360219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102.267336062097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220.7</v>
      </c>
      <c r="W33">
        <f>IF((DiscreteStatsTable[[#This Row],[RepsRequested]]&gt;1),DiscreteStatsTable[[#This Row],[HalfWidth]],DiscreteStatsTable[[#This Row],[BatchMeansHalfWidth]])</f>
        <v>0.71148425254024616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10</v>
      </c>
      <c r="Y33">
        <f>IF(DiscreteStatsTable[[#This Row],[RepsRequested]]=DiscreteStatsTable[[#This Row],[RepsWithStatObserved]],1,0)</f>
        <v>1</v>
      </c>
    </row>
    <row r="34" spans="1:25" x14ac:dyDescent="0.4">
      <c r="A34" t="s">
        <v>66</v>
      </c>
      <c r="B34" t="s">
        <v>69</v>
      </c>
      <c r="C34">
        <v>6</v>
      </c>
      <c r="D34" t="s">
        <v>70</v>
      </c>
      <c r="E34" t="s">
        <v>74</v>
      </c>
      <c r="F34" t="s">
        <v>72</v>
      </c>
      <c r="G34">
        <v>60.825463488973398</v>
      </c>
      <c r="H34">
        <v>2E+20</v>
      </c>
      <c r="I34">
        <v>13.765281528695599</v>
      </c>
      <c r="J34">
        <v>181.95667038154099</v>
      </c>
      <c r="K34">
        <v>234</v>
      </c>
      <c r="L34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10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64.532529133885035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10.887938584670717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7.7887620583286621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50.131846661260099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87.273779080717802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13.298568495813001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320.80718678977303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220.7</v>
      </c>
      <c r="W34">
        <f>IF((DiscreteStatsTable[[#This Row],[RepsRequested]]&gt;1),DiscreteStatsTable[[#This Row],[HalfWidth]],DiscreteStatsTable[[#This Row],[BatchMeansHalfWidth]])</f>
        <v>7.7887620583286621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10</v>
      </c>
      <c r="Y34">
        <f>IF(DiscreteStatsTable[[#This Row],[RepsRequested]]=DiscreteStatsTable[[#This Row],[RepsWithStatObserved]],1,0)</f>
        <v>1</v>
      </c>
    </row>
    <row r="35" spans="1:25" x14ac:dyDescent="0.4">
      <c r="A35" t="s">
        <v>66</v>
      </c>
      <c r="B35" t="s">
        <v>69</v>
      </c>
      <c r="C35">
        <v>6</v>
      </c>
      <c r="D35" t="s">
        <v>70</v>
      </c>
      <c r="E35" t="s">
        <v>75</v>
      </c>
      <c r="F35" t="s">
        <v>72</v>
      </c>
      <c r="G35">
        <v>0</v>
      </c>
      <c r="H35">
        <v>2E+20</v>
      </c>
      <c r="I35">
        <v>0</v>
      </c>
      <c r="J35">
        <v>0</v>
      </c>
      <c r="K35">
        <v>234</v>
      </c>
      <c r="L35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10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0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0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0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0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0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220.7</v>
      </c>
      <c r="W35">
        <f>IF((DiscreteStatsTable[[#This Row],[RepsRequested]]&gt;1),DiscreteStatsTable[[#This Row],[HalfWidth]],DiscreteStatsTable[[#This Row],[BatchMeansHalfWidth]])</f>
        <v>0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10</v>
      </c>
      <c r="Y35">
        <f>IF(DiscreteStatsTable[[#This Row],[RepsRequested]]=DiscreteStatsTable[[#This Row],[RepsWithStatObserved]],1,0)</f>
        <v>1</v>
      </c>
    </row>
    <row r="36" spans="1:25" x14ac:dyDescent="0.4">
      <c r="A36" t="s">
        <v>66</v>
      </c>
      <c r="B36" t="s">
        <v>69</v>
      </c>
      <c r="C36">
        <v>6</v>
      </c>
      <c r="D36" t="s">
        <v>70</v>
      </c>
      <c r="E36" t="s">
        <v>76</v>
      </c>
      <c r="F36" t="s">
        <v>72</v>
      </c>
      <c r="G36">
        <v>0</v>
      </c>
      <c r="H36">
        <v>2E+20</v>
      </c>
      <c r="I36">
        <v>0</v>
      </c>
      <c r="J36">
        <v>0</v>
      </c>
      <c r="K36">
        <v>234</v>
      </c>
      <c r="L36" t="str">
        <f>DiscreteStatsTable[[#This Row],[ProjectName]]&amp;DiscreteStatsTable[[#This Row],[Name]]&amp;DiscreteStatsTable[[#This Row],[Type]]&amp;DiscreteStatsTable[[#This Row],[Source]]</f>
        <v>Unnamed ProjectEntity 1VA TimeEntity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10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0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0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0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0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0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0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220.7</v>
      </c>
      <c r="W36">
        <f>IF((DiscreteStatsTable[[#This Row],[RepsRequested]]&gt;1),DiscreteStatsTable[[#This Row],[HalfWidth]],DiscreteStatsTable[[#This Row],[BatchMeansHalfWidth]])</f>
        <v>0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10</v>
      </c>
      <c r="Y36">
        <f>IF(DiscreteStatsTable[[#This Row],[RepsRequested]]=DiscreteStatsTable[[#This Row],[RepsWithStatObserved]],1,0)</f>
        <v>1</v>
      </c>
    </row>
    <row r="37" spans="1:25" x14ac:dyDescent="0.4">
      <c r="A37" t="s">
        <v>66</v>
      </c>
      <c r="B37" t="s">
        <v>69</v>
      </c>
      <c r="C37">
        <v>6</v>
      </c>
      <c r="D37" t="s">
        <v>70</v>
      </c>
      <c r="E37" t="s">
        <v>77</v>
      </c>
      <c r="F37" t="s">
        <v>72</v>
      </c>
      <c r="G37">
        <v>26.6460883492866</v>
      </c>
      <c r="H37">
        <v>2E+20</v>
      </c>
      <c r="I37">
        <v>0</v>
      </c>
      <c r="J37">
        <v>152.59489297079401</v>
      </c>
      <c r="K37">
        <v>234</v>
      </c>
      <c r="L37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10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28.842461235667599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10.580185065953426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7.5686084533774753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15.242255352523699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50.620872918588098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0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279.27951446189297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220.7</v>
      </c>
      <c r="W37">
        <f>IF((DiscreteStatsTable[[#This Row],[RepsRequested]]&gt;1),DiscreteStatsTable[[#This Row],[HalfWidth]],DiscreteStatsTable[[#This Row],[BatchMeansHalfWidth]])</f>
        <v>7.5686084533774753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10</v>
      </c>
      <c r="Y37">
        <f>IF(DiscreteStatsTable[[#This Row],[RepsRequested]]=DiscreteStatsTable[[#This Row],[RepsWithStatObserved]],1,0)</f>
        <v>1</v>
      </c>
    </row>
    <row r="38" spans="1:25" x14ac:dyDescent="0.4">
      <c r="A38" t="s">
        <v>66</v>
      </c>
      <c r="B38" t="s">
        <v>69</v>
      </c>
      <c r="C38">
        <v>7</v>
      </c>
      <c r="D38" t="s">
        <v>70</v>
      </c>
      <c r="E38" t="s">
        <v>71</v>
      </c>
      <c r="F38" t="s">
        <v>72</v>
      </c>
      <c r="G38">
        <v>0</v>
      </c>
      <c r="H38">
        <v>2E+20</v>
      </c>
      <c r="I38">
        <v>0</v>
      </c>
      <c r="J38">
        <v>0</v>
      </c>
      <c r="K38">
        <v>205</v>
      </c>
      <c r="L38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10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0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0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0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0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0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0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220.7</v>
      </c>
      <c r="W38">
        <f>IF((DiscreteStatsTable[[#This Row],[RepsRequested]]&gt;1),DiscreteStatsTable[[#This Row],[HalfWidth]],DiscreteStatsTable[[#This Row],[BatchMeansHalfWidth]])</f>
        <v>0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10</v>
      </c>
      <c r="Y38">
        <f>IF(DiscreteStatsTable[[#This Row],[RepsRequested]]=DiscreteStatsTable[[#This Row],[RepsWithStatObserved]],1,0)</f>
        <v>1</v>
      </c>
    </row>
    <row r="39" spans="1:25" x14ac:dyDescent="0.4">
      <c r="A39" t="s">
        <v>66</v>
      </c>
      <c r="B39" t="s">
        <v>69</v>
      </c>
      <c r="C39">
        <v>7</v>
      </c>
      <c r="D39" t="s">
        <v>70</v>
      </c>
      <c r="E39" t="s">
        <v>73</v>
      </c>
      <c r="F39" t="s">
        <v>72</v>
      </c>
      <c r="G39">
        <v>35.551677597995301</v>
      </c>
      <c r="H39">
        <v>2E+20</v>
      </c>
      <c r="I39">
        <v>14.215976090962201</v>
      </c>
      <c r="J39">
        <v>87.601870971646306</v>
      </c>
      <c r="K39">
        <v>205</v>
      </c>
      <c r="L39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10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35.690067898217421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0.99458640379634877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0.71148425254024616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34.179375139686798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37.272040242740196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13.0948236360219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102.267336062097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220.7</v>
      </c>
      <c r="W39">
        <f>IF((DiscreteStatsTable[[#This Row],[RepsRequested]]&gt;1),DiscreteStatsTable[[#This Row],[HalfWidth]],DiscreteStatsTable[[#This Row],[BatchMeansHalfWidth]])</f>
        <v>0.71148425254024616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10</v>
      </c>
      <c r="Y39">
        <f>IF(DiscreteStatsTable[[#This Row],[RepsRequested]]=DiscreteStatsTable[[#This Row],[RepsWithStatObserved]],1,0)</f>
        <v>1</v>
      </c>
    </row>
    <row r="40" spans="1:25" x14ac:dyDescent="0.4">
      <c r="A40" t="s">
        <v>66</v>
      </c>
      <c r="B40" t="s">
        <v>69</v>
      </c>
      <c r="C40">
        <v>7</v>
      </c>
      <c r="D40" t="s">
        <v>70</v>
      </c>
      <c r="E40" t="s">
        <v>74</v>
      </c>
      <c r="F40" t="s">
        <v>72</v>
      </c>
      <c r="G40">
        <v>52.463472036712098</v>
      </c>
      <c r="H40">
        <v>2E+20</v>
      </c>
      <c r="I40">
        <v>14.313289999954099</v>
      </c>
      <c r="J40">
        <v>206.495741812067</v>
      </c>
      <c r="K40">
        <v>205</v>
      </c>
      <c r="L40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10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64.532529133885035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10.887938584670717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7.7887620583286621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50.131846661260099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87.273779080717802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13.298568495813001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320.80718678977303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220.7</v>
      </c>
      <c r="W40">
        <f>IF((DiscreteStatsTable[[#This Row],[RepsRequested]]&gt;1),DiscreteStatsTable[[#This Row],[HalfWidth]],DiscreteStatsTable[[#This Row],[BatchMeansHalfWidth]])</f>
        <v>7.7887620583286621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10</v>
      </c>
      <c r="Y40">
        <f>IF(DiscreteStatsTable[[#This Row],[RepsRequested]]=DiscreteStatsTable[[#This Row],[RepsWithStatObserved]],1,0)</f>
        <v>1</v>
      </c>
    </row>
    <row r="41" spans="1:25" x14ac:dyDescent="0.4">
      <c r="A41" t="s">
        <v>66</v>
      </c>
      <c r="B41" t="s">
        <v>69</v>
      </c>
      <c r="C41">
        <v>7</v>
      </c>
      <c r="D41" t="s">
        <v>70</v>
      </c>
      <c r="E41" t="s">
        <v>75</v>
      </c>
      <c r="F41" t="s">
        <v>72</v>
      </c>
      <c r="G41">
        <v>0</v>
      </c>
      <c r="H41">
        <v>2E+20</v>
      </c>
      <c r="I41">
        <v>0</v>
      </c>
      <c r="J41">
        <v>0</v>
      </c>
      <c r="K41">
        <v>205</v>
      </c>
      <c r="L41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10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0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0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0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0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0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0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220.7</v>
      </c>
      <c r="W41">
        <f>IF((DiscreteStatsTable[[#This Row],[RepsRequested]]&gt;1),DiscreteStatsTable[[#This Row],[HalfWidth]],DiscreteStatsTable[[#This Row],[BatchMeansHalfWidth]])</f>
        <v>0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10</v>
      </c>
      <c r="Y41">
        <f>IF(DiscreteStatsTable[[#This Row],[RepsRequested]]=DiscreteStatsTable[[#This Row],[RepsWithStatObserved]],1,0)</f>
        <v>1</v>
      </c>
    </row>
    <row r="42" spans="1:25" x14ac:dyDescent="0.4">
      <c r="A42" t="s">
        <v>66</v>
      </c>
      <c r="B42" t="s">
        <v>69</v>
      </c>
      <c r="C42">
        <v>7</v>
      </c>
      <c r="D42" t="s">
        <v>70</v>
      </c>
      <c r="E42" t="s">
        <v>76</v>
      </c>
      <c r="F42" t="s">
        <v>72</v>
      </c>
      <c r="G42">
        <v>0</v>
      </c>
      <c r="H42">
        <v>2E+20</v>
      </c>
      <c r="I42">
        <v>0</v>
      </c>
      <c r="J42">
        <v>0</v>
      </c>
      <c r="K42">
        <v>205</v>
      </c>
      <c r="L42" t="str">
        <f>DiscreteStatsTable[[#This Row],[ProjectName]]&amp;DiscreteStatsTable[[#This Row],[Name]]&amp;DiscreteStatsTable[[#This Row],[Type]]&amp;DiscreteStatsTable[[#This Row],[Source]]</f>
        <v>Unnamed ProjectEntity 1VA TimeEntity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10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0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0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0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0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0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0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220.7</v>
      </c>
      <c r="W42">
        <f>IF((DiscreteStatsTable[[#This Row],[RepsRequested]]&gt;1),DiscreteStatsTable[[#This Row],[HalfWidth]],DiscreteStatsTable[[#This Row],[BatchMeansHalfWidth]])</f>
        <v>0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10</v>
      </c>
      <c r="Y42">
        <f>IF(DiscreteStatsTable[[#This Row],[RepsRequested]]=DiscreteStatsTable[[#This Row],[RepsWithStatObserved]],1,0)</f>
        <v>1</v>
      </c>
    </row>
    <row r="43" spans="1:25" x14ac:dyDescent="0.4">
      <c r="A43" t="s">
        <v>66</v>
      </c>
      <c r="B43" t="s">
        <v>69</v>
      </c>
      <c r="C43">
        <v>7</v>
      </c>
      <c r="D43" t="s">
        <v>70</v>
      </c>
      <c r="E43" t="s">
        <v>77</v>
      </c>
      <c r="F43" t="s">
        <v>72</v>
      </c>
      <c r="G43">
        <v>16.911794438716701</v>
      </c>
      <c r="H43">
        <v>2E+20</v>
      </c>
      <c r="I43">
        <v>0</v>
      </c>
      <c r="J43">
        <v>134.14586167115701</v>
      </c>
      <c r="K43">
        <v>205</v>
      </c>
      <c r="L43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10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28.842461235667599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10.580185065953426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7.5686084533774753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15.242255352523699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50.620872918588098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0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279.27951446189297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220.7</v>
      </c>
      <c r="W43">
        <f>IF((DiscreteStatsTable[[#This Row],[RepsRequested]]&gt;1),DiscreteStatsTable[[#This Row],[HalfWidth]],DiscreteStatsTable[[#This Row],[BatchMeansHalfWidth]])</f>
        <v>7.5686084533774753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10</v>
      </c>
      <c r="Y43">
        <f>IF(DiscreteStatsTable[[#This Row],[RepsRequested]]=DiscreteStatsTable[[#This Row],[RepsWithStatObserved]],1,0)</f>
        <v>1</v>
      </c>
    </row>
    <row r="44" spans="1:25" x14ac:dyDescent="0.4">
      <c r="A44" t="s">
        <v>66</v>
      </c>
      <c r="B44" t="s">
        <v>69</v>
      </c>
      <c r="C44">
        <v>8</v>
      </c>
      <c r="D44" t="s">
        <v>70</v>
      </c>
      <c r="E44" t="s">
        <v>71</v>
      </c>
      <c r="F44" t="s">
        <v>72</v>
      </c>
      <c r="G44">
        <v>0</v>
      </c>
      <c r="H44">
        <v>2E+20</v>
      </c>
      <c r="I44">
        <v>0</v>
      </c>
      <c r="J44">
        <v>0</v>
      </c>
      <c r="K44">
        <v>231</v>
      </c>
      <c r="L44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10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0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0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0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0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0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0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220.7</v>
      </c>
      <c r="W44">
        <f>IF((DiscreteStatsTable[[#This Row],[RepsRequested]]&gt;1),DiscreteStatsTable[[#This Row],[HalfWidth]],DiscreteStatsTable[[#This Row],[BatchMeansHalfWidth]])</f>
        <v>0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10</v>
      </c>
      <c r="Y44">
        <f>IF(DiscreteStatsTable[[#This Row],[RepsRequested]]=DiscreteStatsTable[[#This Row],[RepsWithStatObserved]],1,0)</f>
        <v>1</v>
      </c>
    </row>
    <row r="45" spans="1:25" x14ac:dyDescent="0.4">
      <c r="A45" t="s">
        <v>66</v>
      </c>
      <c r="B45" t="s">
        <v>69</v>
      </c>
      <c r="C45">
        <v>8</v>
      </c>
      <c r="D45" t="s">
        <v>70</v>
      </c>
      <c r="E45" t="s">
        <v>73</v>
      </c>
      <c r="F45" t="s">
        <v>72</v>
      </c>
      <c r="G45">
        <v>35.371198581048297</v>
      </c>
      <c r="H45">
        <v>2E+20</v>
      </c>
      <c r="I45">
        <v>14.3546005861322</v>
      </c>
      <c r="J45">
        <v>99.895795990400799</v>
      </c>
      <c r="K45">
        <v>231</v>
      </c>
      <c r="L45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10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35.690067898217421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0.99458640379634877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0.71148425254024616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34.179375139686798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37.272040242740196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13.0948236360219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102.267336062097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220.7</v>
      </c>
      <c r="W45">
        <f>IF((DiscreteStatsTable[[#This Row],[RepsRequested]]&gt;1),DiscreteStatsTable[[#This Row],[HalfWidth]],DiscreteStatsTable[[#This Row],[BatchMeansHalfWidth]])</f>
        <v>0.71148425254024616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10</v>
      </c>
      <c r="Y45">
        <f>IF(DiscreteStatsTable[[#This Row],[RepsRequested]]=DiscreteStatsTable[[#This Row],[RepsWithStatObserved]],1,0)</f>
        <v>1</v>
      </c>
    </row>
    <row r="46" spans="1:25" x14ac:dyDescent="0.4">
      <c r="A46" t="s">
        <v>66</v>
      </c>
      <c r="B46" t="s">
        <v>69</v>
      </c>
      <c r="C46">
        <v>8</v>
      </c>
      <c r="D46" t="s">
        <v>70</v>
      </c>
      <c r="E46" t="s">
        <v>74</v>
      </c>
      <c r="F46" t="s">
        <v>72</v>
      </c>
      <c r="G46">
        <v>76.301845164431299</v>
      </c>
      <c r="H46">
        <v>2E+20</v>
      </c>
      <c r="I46">
        <v>14.652348288828501</v>
      </c>
      <c r="J46">
        <v>225.29751973364401</v>
      </c>
      <c r="K46">
        <v>231</v>
      </c>
      <c r="L46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10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64.532529133885035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10.887938584670717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7.7887620583286621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50.131846661260099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87.273779080717802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13.298568495813001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320.80718678977303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220.7</v>
      </c>
      <c r="W46">
        <f>IF((DiscreteStatsTable[[#This Row],[RepsRequested]]&gt;1),DiscreteStatsTable[[#This Row],[HalfWidth]],DiscreteStatsTable[[#This Row],[BatchMeansHalfWidth]])</f>
        <v>7.7887620583286621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10</v>
      </c>
      <c r="Y46">
        <f>IF(DiscreteStatsTable[[#This Row],[RepsRequested]]=DiscreteStatsTable[[#This Row],[RepsWithStatObserved]],1,0)</f>
        <v>1</v>
      </c>
    </row>
    <row r="47" spans="1:25" x14ac:dyDescent="0.4">
      <c r="A47" t="s">
        <v>66</v>
      </c>
      <c r="B47" t="s">
        <v>69</v>
      </c>
      <c r="C47">
        <v>8</v>
      </c>
      <c r="D47" t="s">
        <v>70</v>
      </c>
      <c r="E47" t="s">
        <v>75</v>
      </c>
      <c r="F47" t="s">
        <v>72</v>
      </c>
      <c r="G47">
        <v>0</v>
      </c>
      <c r="H47">
        <v>2E+20</v>
      </c>
      <c r="I47">
        <v>0</v>
      </c>
      <c r="J47">
        <v>0</v>
      </c>
      <c r="K47">
        <v>231</v>
      </c>
      <c r="L47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10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0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0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0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0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0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0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220.7</v>
      </c>
      <c r="W47">
        <f>IF((DiscreteStatsTable[[#This Row],[RepsRequested]]&gt;1),DiscreteStatsTable[[#This Row],[HalfWidth]],DiscreteStatsTable[[#This Row],[BatchMeansHalfWidth]])</f>
        <v>0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10</v>
      </c>
      <c r="Y47">
        <f>IF(DiscreteStatsTable[[#This Row],[RepsRequested]]=DiscreteStatsTable[[#This Row],[RepsWithStatObserved]],1,0)</f>
        <v>1</v>
      </c>
    </row>
    <row r="48" spans="1:25" x14ac:dyDescent="0.4">
      <c r="A48" t="s">
        <v>66</v>
      </c>
      <c r="B48" t="s">
        <v>69</v>
      </c>
      <c r="C48">
        <v>8</v>
      </c>
      <c r="D48" t="s">
        <v>70</v>
      </c>
      <c r="E48" t="s">
        <v>76</v>
      </c>
      <c r="F48" t="s">
        <v>72</v>
      </c>
      <c r="G48">
        <v>0</v>
      </c>
      <c r="H48">
        <v>2E+20</v>
      </c>
      <c r="I48">
        <v>0</v>
      </c>
      <c r="J48">
        <v>0</v>
      </c>
      <c r="K48">
        <v>231</v>
      </c>
      <c r="L48" t="str">
        <f>DiscreteStatsTable[[#This Row],[ProjectName]]&amp;DiscreteStatsTable[[#This Row],[Name]]&amp;DiscreteStatsTable[[#This Row],[Type]]&amp;DiscreteStatsTable[[#This Row],[Source]]</f>
        <v>Unnamed ProjectEntity 1VA TimeEntity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10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0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0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0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0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0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0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220.7</v>
      </c>
      <c r="W48">
        <f>IF((DiscreteStatsTable[[#This Row],[RepsRequested]]&gt;1),DiscreteStatsTable[[#This Row],[HalfWidth]],DiscreteStatsTable[[#This Row],[BatchMeansHalfWidth]])</f>
        <v>0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10</v>
      </c>
      <c r="Y48">
        <f>IF(DiscreteStatsTable[[#This Row],[RepsRequested]]=DiscreteStatsTable[[#This Row],[RepsWithStatObserved]],1,0)</f>
        <v>1</v>
      </c>
    </row>
    <row r="49" spans="1:25" x14ac:dyDescent="0.4">
      <c r="A49" t="s">
        <v>66</v>
      </c>
      <c r="B49" t="s">
        <v>69</v>
      </c>
      <c r="C49">
        <v>8</v>
      </c>
      <c r="D49" t="s">
        <v>70</v>
      </c>
      <c r="E49" t="s">
        <v>77</v>
      </c>
      <c r="F49" t="s">
        <v>72</v>
      </c>
      <c r="G49">
        <v>40.930646583383101</v>
      </c>
      <c r="H49">
        <v>2E+20</v>
      </c>
      <c r="I49">
        <v>0</v>
      </c>
      <c r="J49">
        <v>154.35363721484299</v>
      </c>
      <c r="K49">
        <v>231</v>
      </c>
      <c r="L49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10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28.842461235667599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10.580185065953426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7.5686084533774753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15.242255352523699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50.620872918588098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0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279.27951446189297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220.7</v>
      </c>
      <c r="W49">
        <f>IF((DiscreteStatsTable[[#This Row],[RepsRequested]]&gt;1),DiscreteStatsTable[[#This Row],[HalfWidth]],DiscreteStatsTable[[#This Row],[BatchMeansHalfWidth]])</f>
        <v>7.5686084533774753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10</v>
      </c>
      <c r="Y49">
        <f>IF(DiscreteStatsTable[[#This Row],[RepsRequested]]=DiscreteStatsTable[[#This Row],[RepsWithStatObserved]],1,0)</f>
        <v>1</v>
      </c>
    </row>
    <row r="50" spans="1:25" x14ac:dyDescent="0.4">
      <c r="A50" t="s">
        <v>66</v>
      </c>
      <c r="B50" t="s">
        <v>69</v>
      </c>
      <c r="C50">
        <v>9</v>
      </c>
      <c r="D50" t="s">
        <v>70</v>
      </c>
      <c r="E50" t="s">
        <v>71</v>
      </c>
      <c r="F50" t="s">
        <v>72</v>
      </c>
      <c r="G50">
        <v>0</v>
      </c>
      <c r="H50">
        <v>2E+20</v>
      </c>
      <c r="I50">
        <v>0</v>
      </c>
      <c r="J50">
        <v>0</v>
      </c>
      <c r="K50">
        <v>224</v>
      </c>
      <c r="L50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10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0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0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0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0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0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0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220.7</v>
      </c>
      <c r="W50">
        <f>IF((DiscreteStatsTable[[#This Row],[RepsRequested]]&gt;1),DiscreteStatsTable[[#This Row],[HalfWidth]],DiscreteStatsTable[[#This Row],[BatchMeansHalfWidth]])</f>
        <v>0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10</v>
      </c>
      <c r="Y50">
        <f>IF(DiscreteStatsTable[[#This Row],[RepsRequested]]=DiscreteStatsTable[[#This Row],[RepsWithStatObserved]],1,0)</f>
        <v>1</v>
      </c>
    </row>
    <row r="51" spans="1:25" x14ac:dyDescent="0.4">
      <c r="A51" t="s">
        <v>66</v>
      </c>
      <c r="B51" t="s">
        <v>69</v>
      </c>
      <c r="C51">
        <v>9</v>
      </c>
      <c r="D51" t="s">
        <v>70</v>
      </c>
      <c r="E51" t="s">
        <v>73</v>
      </c>
      <c r="F51" t="s">
        <v>72</v>
      </c>
      <c r="G51">
        <v>35.124451120532797</v>
      </c>
      <c r="H51">
        <v>2E+20</v>
      </c>
      <c r="I51">
        <v>13.0948236360219</v>
      </c>
      <c r="J51">
        <v>99.8488388297949</v>
      </c>
      <c r="K51">
        <v>224</v>
      </c>
      <c r="L51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10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35.690067898217421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0.99458640379634877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0.71148425254024616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34.179375139686798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37.272040242740196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13.0948236360219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102.267336062097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220.7</v>
      </c>
      <c r="W51">
        <f>IF((DiscreteStatsTable[[#This Row],[RepsRequested]]&gt;1),DiscreteStatsTable[[#This Row],[HalfWidth]],DiscreteStatsTable[[#This Row],[BatchMeansHalfWidth]])</f>
        <v>0.71148425254024616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10</v>
      </c>
      <c r="Y51">
        <f>IF(DiscreteStatsTable[[#This Row],[RepsRequested]]=DiscreteStatsTable[[#This Row],[RepsWithStatObserved]],1,0)</f>
        <v>1</v>
      </c>
    </row>
    <row r="52" spans="1:25" x14ac:dyDescent="0.4">
      <c r="A52" t="s">
        <v>66</v>
      </c>
      <c r="B52" t="s">
        <v>69</v>
      </c>
      <c r="C52">
        <v>9</v>
      </c>
      <c r="D52" t="s">
        <v>70</v>
      </c>
      <c r="E52" t="s">
        <v>74</v>
      </c>
      <c r="F52" t="s">
        <v>72</v>
      </c>
      <c r="G52">
        <v>63.333684751580599</v>
      </c>
      <c r="H52">
        <v>2E+20</v>
      </c>
      <c r="I52">
        <v>14.550630517451699</v>
      </c>
      <c r="J52">
        <v>201.254374281373</v>
      </c>
      <c r="K52">
        <v>224</v>
      </c>
      <c r="L52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10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64.532529133885035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10.887938584670717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7.7887620583286621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50.131846661260099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87.273779080717802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13.298568495813001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320.80718678977303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220.7</v>
      </c>
      <c r="W52">
        <f>IF((DiscreteStatsTable[[#This Row],[RepsRequested]]&gt;1),DiscreteStatsTable[[#This Row],[HalfWidth]],DiscreteStatsTable[[#This Row],[BatchMeansHalfWidth]])</f>
        <v>7.7887620583286621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10</v>
      </c>
      <c r="Y52">
        <f>IF(DiscreteStatsTable[[#This Row],[RepsRequested]]=DiscreteStatsTable[[#This Row],[RepsWithStatObserved]],1,0)</f>
        <v>1</v>
      </c>
    </row>
    <row r="53" spans="1:25" x14ac:dyDescent="0.4">
      <c r="A53" t="s">
        <v>66</v>
      </c>
      <c r="B53" t="s">
        <v>69</v>
      </c>
      <c r="C53">
        <v>9</v>
      </c>
      <c r="D53" t="s">
        <v>70</v>
      </c>
      <c r="E53" t="s">
        <v>75</v>
      </c>
      <c r="F53" t="s">
        <v>72</v>
      </c>
      <c r="G53">
        <v>0</v>
      </c>
      <c r="H53">
        <v>2E+20</v>
      </c>
      <c r="I53">
        <v>0</v>
      </c>
      <c r="J53">
        <v>0</v>
      </c>
      <c r="K53">
        <v>224</v>
      </c>
      <c r="L53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10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0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0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0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0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0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0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220.7</v>
      </c>
      <c r="W53">
        <f>IF((DiscreteStatsTable[[#This Row],[RepsRequested]]&gt;1),DiscreteStatsTable[[#This Row],[HalfWidth]],DiscreteStatsTable[[#This Row],[BatchMeansHalfWidth]])</f>
        <v>0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10</v>
      </c>
      <c r="Y53">
        <f>IF(DiscreteStatsTable[[#This Row],[RepsRequested]]=DiscreteStatsTable[[#This Row],[RepsWithStatObserved]],1,0)</f>
        <v>1</v>
      </c>
    </row>
    <row r="54" spans="1:25" x14ac:dyDescent="0.4">
      <c r="A54" t="s">
        <v>66</v>
      </c>
      <c r="B54" t="s">
        <v>69</v>
      </c>
      <c r="C54">
        <v>9</v>
      </c>
      <c r="D54" t="s">
        <v>70</v>
      </c>
      <c r="E54" t="s">
        <v>76</v>
      </c>
      <c r="F54" t="s">
        <v>72</v>
      </c>
      <c r="G54">
        <v>0</v>
      </c>
      <c r="H54">
        <v>2E+20</v>
      </c>
      <c r="I54">
        <v>0</v>
      </c>
      <c r="J54">
        <v>0</v>
      </c>
      <c r="K54">
        <v>224</v>
      </c>
      <c r="L54" t="str">
        <f>DiscreteStatsTable[[#This Row],[ProjectName]]&amp;DiscreteStatsTable[[#This Row],[Name]]&amp;DiscreteStatsTable[[#This Row],[Type]]&amp;DiscreteStatsTable[[#This Row],[Source]]</f>
        <v>Unnamed ProjectEntity 1VA TimeEntity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10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0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0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0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0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0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0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220.7</v>
      </c>
      <c r="W54">
        <f>IF((DiscreteStatsTable[[#This Row],[RepsRequested]]&gt;1),DiscreteStatsTable[[#This Row],[HalfWidth]],DiscreteStatsTable[[#This Row],[BatchMeansHalfWidth]])</f>
        <v>0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10</v>
      </c>
      <c r="Y54">
        <f>IF(DiscreteStatsTable[[#This Row],[RepsRequested]]=DiscreteStatsTable[[#This Row],[RepsWithStatObserved]],1,0)</f>
        <v>1</v>
      </c>
    </row>
    <row r="55" spans="1:25" x14ac:dyDescent="0.4">
      <c r="A55" t="s">
        <v>66</v>
      </c>
      <c r="B55" t="s">
        <v>69</v>
      </c>
      <c r="C55">
        <v>9</v>
      </c>
      <c r="D55" t="s">
        <v>70</v>
      </c>
      <c r="E55" t="s">
        <v>77</v>
      </c>
      <c r="F55" t="s">
        <v>72</v>
      </c>
      <c r="G55">
        <v>28.209233631047901</v>
      </c>
      <c r="H55">
        <v>2E+20</v>
      </c>
      <c r="I55">
        <v>0</v>
      </c>
      <c r="J55">
        <v>154.43617758344101</v>
      </c>
      <c r="K55">
        <v>224</v>
      </c>
      <c r="L55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10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28.842461235667599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10.580185065953426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7.5686084533774753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15.242255352523699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50.620872918588098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0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279.27951446189297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220.7</v>
      </c>
      <c r="W55">
        <f>IF((DiscreteStatsTable[[#This Row],[RepsRequested]]&gt;1),DiscreteStatsTable[[#This Row],[HalfWidth]],DiscreteStatsTable[[#This Row],[BatchMeansHalfWidth]])</f>
        <v>7.5686084533774753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10</v>
      </c>
      <c r="Y55">
        <f>IF(DiscreteStatsTable[[#This Row],[RepsRequested]]=DiscreteStatsTable[[#This Row],[RepsWithStatObserved]],1,0)</f>
        <v>1</v>
      </c>
    </row>
    <row r="56" spans="1:25" x14ac:dyDescent="0.4">
      <c r="A56" t="s">
        <v>66</v>
      </c>
      <c r="B56" t="s">
        <v>69</v>
      </c>
      <c r="C56">
        <v>10</v>
      </c>
      <c r="D56" t="s">
        <v>70</v>
      </c>
      <c r="E56" t="s">
        <v>71</v>
      </c>
      <c r="F56" t="s">
        <v>72</v>
      </c>
      <c r="G56">
        <v>0</v>
      </c>
      <c r="H56">
        <v>2E+20</v>
      </c>
      <c r="I56">
        <v>0</v>
      </c>
      <c r="J56">
        <v>0</v>
      </c>
      <c r="K56">
        <v>210</v>
      </c>
      <c r="L56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10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0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0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0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0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0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0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220.7</v>
      </c>
      <c r="W56">
        <f>IF((DiscreteStatsTable[[#This Row],[RepsRequested]]&gt;1),DiscreteStatsTable[[#This Row],[HalfWidth]],DiscreteStatsTable[[#This Row],[BatchMeansHalfWidth]])</f>
        <v>0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10</v>
      </c>
      <c r="Y56">
        <f>IF(DiscreteStatsTable[[#This Row],[RepsRequested]]=DiscreteStatsTable[[#This Row],[RepsWithStatObserved]],1,0)</f>
        <v>1</v>
      </c>
    </row>
    <row r="57" spans="1:25" x14ac:dyDescent="0.4">
      <c r="A57" t="s">
        <v>66</v>
      </c>
      <c r="B57" t="s">
        <v>69</v>
      </c>
      <c r="C57">
        <v>10</v>
      </c>
      <c r="D57" t="s">
        <v>70</v>
      </c>
      <c r="E57" t="s">
        <v>73</v>
      </c>
      <c r="F57" t="s">
        <v>72</v>
      </c>
      <c r="G57">
        <v>34.9325379616483</v>
      </c>
      <c r="H57">
        <v>2E+20</v>
      </c>
      <c r="I57">
        <v>13.6395291993051</v>
      </c>
      <c r="J57">
        <v>88.045148061173705</v>
      </c>
      <c r="K57">
        <v>210</v>
      </c>
      <c r="L57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10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35.690067898217421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0.99458640379634877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0.71148425254024616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34.179375139686798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37.272040242740196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13.0948236360219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102.267336062097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220.7</v>
      </c>
      <c r="W57">
        <f>IF((DiscreteStatsTable[[#This Row],[RepsRequested]]&gt;1),DiscreteStatsTable[[#This Row],[HalfWidth]],DiscreteStatsTable[[#This Row],[BatchMeansHalfWidth]])</f>
        <v>0.71148425254024616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10</v>
      </c>
      <c r="Y57">
        <f>IF(DiscreteStatsTable[[#This Row],[RepsRequested]]=DiscreteStatsTable[[#This Row],[RepsWithStatObserved]],1,0)</f>
        <v>1</v>
      </c>
    </row>
    <row r="58" spans="1:25" x14ac:dyDescent="0.4">
      <c r="A58" t="s">
        <v>66</v>
      </c>
      <c r="B58" t="s">
        <v>69</v>
      </c>
      <c r="C58">
        <v>10</v>
      </c>
      <c r="D58" t="s">
        <v>70</v>
      </c>
      <c r="E58" t="s">
        <v>74</v>
      </c>
      <c r="F58" t="s">
        <v>72</v>
      </c>
      <c r="G58">
        <v>61.801109832808699</v>
      </c>
      <c r="H58">
        <v>2E+20</v>
      </c>
      <c r="I58">
        <v>14.163930546644799</v>
      </c>
      <c r="J58">
        <v>174.657529487479</v>
      </c>
      <c r="K58">
        <v>210</v>
      </c>
      <c r="L58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10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64.532529133885035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10.887938584670717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7.7887620583286621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50.131846661260099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87.273779080717802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13.298568495813001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320.80718678977303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220.7</v>
      </c>
      <c r="W58">
        <f>IF((DiscreteStatsTable[[#This Row],[RepsRequested]]&gt;1),DiscreteStatsTable[[#This Row],[HalfWidth]],DiscreteStatsTable[[#This Row],[BatchMeansHalfWidth]])</f>
        <v>7.7887620583286621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10</v>
      </c>
      <c r="Y58">
        <f>IF(DiscreteStatsTable[[#This Row],[RepsRequested]]=DiscreteStatsTable[[#This Row],[RepsWithStatObserved]],1,0)</f>
        <v>1</v>
      </c>
    </row>
    <row r="59" spans="1:25" x14ac:dyDescent="0.4">
      <c r="A59" t="s">
        <v>66</v>
      </c>
      <c r="B59" t="s">
        <v>69</v>
      </c>
      <c r="C59">
        <v>10</v>
      </c>
      <c r="D59" t="s">
        <v>70</v>
      </c>
      <c r="E59" t="s">
        <v>75</v>
      </c>
      <c r="F59" t="s">
        <v>72</v>
      </c>
      <c r="G59">
        <v>0</v>
      </c>
      <c r="H59">
        <v>2E+20</v>
      </c>
      <c r="I59">
        <v>0</v>
      </c>
      <c r="J59">
        <v>0</v>
      </c>
      <c r="K59">
        <v>210</v>
      </c>
      <c r="L59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10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0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0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0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0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0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0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220.7</v>
      </c>
      <c r="W59">
        <f>IF((DiscreteStatsTable[[#This Row],[RepsRequested]]&gt;1),DiscreteStatsTable[[#This Row],[HalfWidth]],DiscreteStatsTable[[#This Row],[BatchMeansHalfWidth]])</f>
        <v>0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10</v>
      </c>
      <c r="Y59">
        <f>IF(DiscreteStatsTable[[#This Row],[RepsRequested]]=DiscreteStatsTable[[#This Row],[RepsWithStatObserved]],1,0)</f>
        <v>1</v>
      </c>
    </row>
    <row r="60" spans="1:25" x14ac:dyDescent="0.4">
      <c r="A60" t="s">
        <v>66</v>
      </c>
      <c r="B60" t="s">
        <v>69</v>
      </c>
      <c r="C60">
        <v>10</v>
      </c>
      <c r="D60" t="s">
        <v>70</v>
      </c>
      <c r="E60" t="s">
        <v>76</v>
      </c>
      <c r="F60" t="s">
        <v>72</v>
      </c>
      <c r="G60">
        <v>0</v>
      </c>
      <c r="H60">
        <v>2E+20</v>
      </c>
      <c r="I60">
        <v>0</v>
      </c>
      <c r="J60">
        <v>0</v>
      </c>
      <c r="K60">
        <v>210</v>
      </c>
      <c r="L60" t="str">
        <f>DiscreteStatsTable[[#This Row],[ProjectName]]&amp;DiscreteStatsTable[[#This Row],[Name]]&amp;DiscreteStatsTable[[#This Row],[Type]]&amp;DiscreteStatsTable[[#This Row],[Source]]</f>
        <v>Unnamed ProjectEntity 1VA TimeEntity</v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10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0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0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0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0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0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0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220.7</v>
      </c>
      <c r="W60">
        <f>IF((DiscreteStatsTable[[#This Row],[RepsRequested]]&gt;1),DiscreteStatsTable[[#This Row],[HalfWidth]],DiscreteStatsTable[[#This Row],[BatchMeansHalfWidth]])</f>
        <v>0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10</v>
      </c>
      <c r="Y60">
        <f>IF(DiscreteStatsTable[[#This Row],[RepsRequested]]=DiscreteStatsTable[[#This Row],[RepsWithStatObserved]],1,0)</f>
        <v>1</v>
      </c>
    </row>
    <row r="61" spans="1:25" x14ac:dyDescent="0.4">
      <c r="A61" t="s">
        <v>66</v>
      </c>
      <c r="B61" t="s">
        <v>69</v>
      </c>
      <c r="C61">
        <v>10</v>
      </c>
      <c r="D61" t="s">
        <v>70</v>
      </c>
      <c r="E61" t="s">
        <v>77</v>
      </c>
      <c r="F61" t="s">
        <v>72</v>
      </c>
      <c r="G61">
        <v>26.868571871160299</v>
      </c>
      <c r="H61">
        <v>2E+20</v>
      </c>
      <c r="I61">
        <v>0</v>
      </c>
      <c r="J61">
        <v>146.729085118977</v>
      </c>
      <c r="K61">
        <v>210</v>
      </c>
      <c r="L61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10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28.842461235667599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10.580185065953426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7.5686084533774753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15.242255352523699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50.620872918588098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0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279.27951446189297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220.7</v>
      </c>
      <c r="W61">
        <f>IF((DiscreteStatsTable[[#This Row],[RepsRequested]]&gt;1),DiscreteStatsTable[[#This Row],[HalfWidth]],DiscreteStatsTable[[#This Row],[BatchMeansHalfWidth]])</f>
        <v>7.5686084533774753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10</v>
      </c>
      <c r="Y61">
        <f>IF(DiscreteStatsTable[[#This Row],[RepsRequested]]=DiscreteStatsTable[[#This Row],[RepsWithStatObserved]],1,0)</f>
        <v>1</v>
      </c>
    </row>
    <row r="62" spans="1:25" x14ac:dyDescent="0.4">
      <c r="A62" t="s">
        <v>66</v>
      </c>
      <c r="B62" t="s">
        <v>69</v>
      </c>
      <c r="C62">
        <v>1</v>
      </c>
      <c r="D62" t="s">
        <v>78</v>
      </c>
      <c r="E62" t="s">
        <v>79</v>
      </c>
      <c r="F62" t="s">
        <v>80</v>
      </c>
      <c r="G62">
        <v>0</v>
      </c>
      <c r="H62">
        <v>2E+20</v>
      </c>
      <c r="I62">
        <v>0</v>
      </c>
      <c r="J62">
        <v>0</v>
      </c>
      <c r="K62">
        <v>157</v>
      </c>
      <c r="L62" s="5" t="str">
        <f>DiscreteStatsTable[[#This Row],[ProjectName]]&amp;DiscreteStatsTable[[#This Row],[Name]]&amp;DiscreteStatsTable[[#This Row],[Type]]&amp;DiscreteStatsTable[[#This Row],[Source]]</f>
        <v>Unnamed ProjectHold M1.QueueWaiting TimeQueue</v>
      </c>
      <c r="M62" s="5" cm="1">
        <f t="array" ref="M62">MAX(IF((ProjectInfoTable[ProjectName]=DiscreteStatsTable[[#This Row],[ProjectName]]),(ProjectInfoTable[ProjectName]=DiscreteStatsTable[[#This Row],[ProjectName]])*ProjectInfoTable[NumberOfReplications]))</f>
        <v>10</v>
      </c>
      <c r="N62" s="5" cm="1">
        <f t="array" ref="N62">IFERROR(AVERAGE(IF((DiscreteStatsTable[GroupByKey]=DiscreteStatsTable[[#This Row],[GroupByKey]]),(DiscreteStatsTable[GroupByKey]=DiscreteStatsTable[[#This Row],[GroupByKey]])*DiscreteStatsTable[Average])),0)</f>
        <v>0</v>
      </c>
      <c r="O62" s="5" cm="1">
        <f t="array" ref="O62">IFERROR(_xlfn.STDEV.S(IF((DiscreteStatsTable[GroupByKey]=DiscreteStatsTable[[#This Row],[GroupByKey]]),(DiscreteStatsTable[GroupByKey]=DiscreteStatsTable[[#This Row],[GroupByKey]])*DiscreteStatsTable[Average])),0)</f>
        <v>0</v>
      </c>
      <c r="P62" s="5" cm="1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 s="5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" s="5" cm="1">
        <f t="array" ref="R62">MIN(IF((DiscreteStatsTable[GroupByKey]=DiscreteStatsTable[[#This Row],[GroupByKey]]),(DiscreteStatsTable[GroupByKey]=DiscreteStatsTable[[#This Row],[GroupByKey]])*DiscreteStatsTable[Average]))</f>
        <v>0</v>
      </c>
      <c r="S62" s="5" cm="1">
        <f t="array" ref="S62">MAX(IF((DiscreteStatsTable[GroupByKey]=DiscreteStatsTable[[#This Row],[GroupByKey]]),(DiscreteStatsTable[GroupByKey]=DiscreteStatsTable[[#This Row],[GroupByKey]])*DiscreteStatsTable[Average]))</f>
        <v>0</v>
      </c>
      <c r="T62" s="5" cm="1">
        <f t="array" ref="T62">MIN(IF((DiscreteStatsTable[GroupByKey]=DiscreteStatsTable[[#This Row],[GroupByKey]]),(DiscreteStatsTable[GroupByKey]=DiscreteStatsTable[[#This Row],[GroupByKey]])*DiscreteStatsTable[Minimum]))</f>
        <v>0</v>
      </c>
      <c r="U62" s="5" cm="1">
        <f t="array" ref="U62">MAX(IF((DiscreteStatsTable[GroupByKey]=DiscreteStatsTable[[#This Row],[GroupByKey]]),(DiscreteStatsTable[GroupByKey]=DiscreteStatsTable[[#This Row],[GroupByKey]])*DiscreteStatsTable[Maximum]))</f>
        <v>0</v>
      </c>
      <c r="V62" s="5" cm="1">
        <f t="array" ref="V62">IFERROR(AVERAGE(IF((DiscreteStatsTable[GroupByKey]=DiscreteStatsTable[[#This Row],[GroupByKey]]),(DiscreteStatsTable[GroupByKey]=DiscreteStatsTable[[#This Row],[GroupByKey]])*DiscreteStatsTable[NumberObservations])),0)</f>
        <v>167</v>
      </c>
      <c r="W62" s="5">
        <f>IF((DiscreteStatsTable[[#This Row],[RepsRequested]]&gt;1),DiscreteStatsTable[[#This Row],[HalfWidth]],DiscreteStatsTable[[#This Row],[BatchMeansHalfWidth]])</f>
        <v>0</v>
      </c>
      <c r="X62" s="5" cm="1">
        <f t="array" ref="X62">COUNT(IF((DiscreteStatsTable[GroupByKey]=DiscreteStatsTable[[#This Row],[GroupByKey]]),(DiscreteStatsTable[GroupByKey]=DiscreteStatsTable[[#This Row],[GroupByKey]])*DiscreteStatsTable[Replication]))</f>
        <v>10</v>
      </c>
      <c r="Y62" s="5">
        <f>IF(DiscreteStatsTable[[#This Row],[RepsRequested]]=DiscreteStatsTable[[#This Row],[RepsWithStatObserved]],1,0)</f>
        <v>1</v>
      </c>
    </row>
    <row r="63" spans="1:25" x14ac:dyDescent="0.4">
      <c r="A63" t="s">
        <v>66</v>
      </c>
      <c r="B63" t="s">
        <v>69</v>
      </c>
      <c r="C63">
        <v>2</v>
      </c>
      <c r="D63" t="s">
        <v>78</v>
      </c>
      <c r="E63" t="s">
        <v>79</v>
      </c>
      <c r="F63" t="s">
        <v>80</v>
      </c>
      <c r="G63">
        <v>0</v>
      </c>
      <c r="H63">
        <v>2E+20</v>
      </c>
      <c r="I63">
        <v>0</v>
      </c>
      <c r="J63">
        <v>0</v>
      </c>
      <c r="K63">
        <v>181</v>
      </c>
      <c r="L63" s="5" t="str">
        <f>DiscreteStatsTable[[#This Row],[ProjectName]]&amp;DiscreteStatsTable[[#This Row],[Name]]&amp;DiscreteStatsTable[[#This Row],[Type]]&amp;DiscreteStatsTable[[#This Row],[Source]]</f>
        <v>Unnamed ProjectHold M1.QueueWaiting TimeQueue</v>
      </c>
      <c r="M63" s="5" cm="1">
        <f t="array" ref="M63">MAX(IF((ProjectInfoTable[ProjectName]=DiscreteStatsTable[[#This Row],[ProjectName]]),(ProjectInfoTable[ProjectName]=DiscreteStatsTable[[#This Row],[ProjectName]])*ProjectInfoTable[NumberOfReplications]))</f>
        <v>10</v>
      </c>
      <c r="N63" s="5" cm="1">
        <f t="array" ref="N63">IFERROR(AVERAGE(IF((DiscreteStatsTable[GroupByKey]=DiscreteStatsTable[[#This Row],[GroupByKey]]),(DiscreteStatsTable[GroupByKey]=DiscreteStatsTable[[#This Row],[GroupByKey]])*DiscreteStatsTable[Average])),0)</f>
        <v>0</v>
      </c>
      <c r="O63" s="5" cm="1">
        <f t="array" ref="O63">IFERROR(_xlfn.STDEV.S(IF((DiscreteStatsTable[GroupByKey]=DiscreteStatsTable[[#This Row],[GroupByKey]]),(DiscreteStatsTable[GroupByKey]=DiscreteStatsTable[[#This Row],[GroupByKey]])*DiscreteStatsTable[Average])),0)</f>
        <v>0</v>
      </c>
      <c r="P63" s="5" cm="1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 s="5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3" s="5" cm="1">
        <f t="array" ref="R63">MIN(IF((DiscreteStatsTable[GroupByKey]=DiscreteStatsTable[[#This Row],[GroupByKey]]),(DiscreteStatsTable[GroupByKey]=DiscreteStatsTable[[#This Row],[GroupByKey]])*DiscreteStatsTable[Average]))</f>
        <v>0</v>
      </c>
      <c r="S63" s="5" cm="1">
        <f t="array" ref="S63">MAX(IF((DiscreteStatsTable[GroupByKey]=DiscreteStatsTable[[#This Row],[GroupByKey]]),(DiscreteStatsTable[GroupByKey]=DiscreteStatsTable[[#This Row],[GroupByKey]])*DiscreteStatsTable[Average]))</f>
        <v>0</v>
      </c>
      <c r="T63" s="5" cm="1">
        <f t="array" ref="T63">MIN(IF((DiscreteStatsTable[GroupByKey]=DiscreteStatsTable[[#This Row],[GroupByKey]]),(DiscreteStatsTable[GroupByKey]=DiscreteStatsTable[[#This Row],[GroupByKey]])*DiscreteStatsTable[Minimum]))</f>
        <v>0</v>
      </c>
      <c r="U63" s="5" cm="1">
        <f t="array" ref="U63">MAX(IF((DiscreteStatsTable[GroupByKey]=DiscreteStatsTable[[#This Row],[GroupByKey]]),(DiscreteStatsTable[GroupByKey]=DiscreteStatsTable[[#This Row],[GroupByKey]])*DiscreteStatsTable[Maximum]))</f>
        <v>0</v>
      </c>
      <c r="V63" s="5" cm="1">
        <f t="array" ref="V63">IFERROR(AVERAGE(IF((DiscreteStatsTable[GroupByKey]=DiscreteStatsTable[[#This Row],[GroupByKey]]),(DiscreteStatsTable[GroupByKey]=DiscreteStatsTable[[#This Row],[GroupByKey]])*DiscreteStatsTable[NumberObservations])),0)</f>
        <v>167</v>
      </c>
      <c r="W63" s="5">
        <f>IF((DiscreteStatsTable[[#This Row],[RepsRequested]]&gt;1),DiscreteStatsTable[[#This Row],[HalfWidth]],DiscreteStatsTable[[#This Row],[BatchMeansHalfWidth]])</f>
        <v>0</v>
      </c>
      <c r="X63" s="5" cm="1">
        <f t="array" ref="X63">COUNT(IF((DiscreteStatsTable[GroupByKey]=DiscreteStatsTable[[#This Row],[GroupByKey]]),(DiscreteStatsTable[GroupByKey]=DiscreteStatsTable[[#This Row],[GroupByKey]])*DiscreteStatsTable[Replication]))</f>
        <v>10</v>
      </c>
      <c r="Y63" s="5">
        <f>IF(DiscreteStatsTable[[#This Row],[RepsRequested]]=DiscreteStatsTable[[#This Row],[RepsWithStatObserved]],1,0)</f>
        <v>1</v>
      </c>
    </row>
    <row r="64" spans="1:25" x14ac:dyDescent="0.4">
      <c r="A64" t="s">
        <v>66</v>
      </c>
      <c r="B64" t="s">
        <v>69</v>
      </c>
      <c r="C64">
        <v>3</v>
      </c>
      <c r="D64" t="s">
        <v>78</v>
      </c>
      <c r="E64" t="s">
        <v>79</v>
      </c>
      <c r="F64" t="s">
        <v>80</v>
      </c>
      <c r="G64">
        <v>0</v>
      </c>
      <c r="H64">
        <v>2E+20</v>
      </c>
      <c r="I64">
        <v>0</v>
      </c>
      <c r="J64">
        <v>0</v>
      </c>
      <c r="K64">
        <v>175</v>
      </c>
      <c r="L64" s="5" t="str">
        <f>DiscreteStatsTable[[#This Row],[ProjectName]]&amp;DiscreteStatsTable[[#This Row],[Name]]&amp;DiscreteStatsTable[[#This Row],[Type]]&amp;DiscreteStatsTable[[#This Row],[Source]]</f>
        <v>Unnamed ProjectHold M1.QueueWaiting TimeQueue</v>
      </c>
      <c r="M64" s="5" cm="1">
        <f t="array" ref="M64">MAX(IF((ProjectInfoTable[ProjectName]=DiscreteStatsTable[[#This Row],[ProjectName]]),(ProjectInfoTable[ProjectName]=DiscreteStatsTable[[#This Row],[ProjectName]])*ProjectInfoTable[NumberOfReplications]))</f>
        <v>10</v>
      </c>
      <c r="N64" s="5" cm="1">
        <f t="array" ref="N64">IFERROR(AVERAGE(IF((DiscreteStatsTable[GroupByKey]=DiscreteStatsTable[[#This Row],[GroupByKey]]),(DiscreteStatsTable[GroupByKey]=DiscreteStatsTable[[#This Row],[GroupByKey]])*DiscreteStatsTable[Average])),0)</f>
        <v>0</v>
      </c>
      <c r="O64" s="5" cm="1">
        <f t="array" ref="O64">IFERROR(_xlfn.STDEV.S(IF((DiscreteStatsTable[GroupByKey]=DiscreteStatsTable[[#This Row],[GroupByKey]]),(DiscreteStatsTable[GroupByKey]=DiscreteStatsTable[[#This Row],[GroupByKey]])*DiscreteStatsTable[Average])),0)</f>
        <v>0</v>
      </c>
      <c r="P64" s="5" cm="1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 s="5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4" s="5" cm="1">
        <f t="array" ref="R64">MIN(IF((DiscreteStatsTable[GroupByKey]=DiscreteStatsTable[[#This Row],[GroupByKey]]),(DiscreteStatsTable[GroupByKey]=DiscreteStatsTable[[#This Row],[GroupByKey]])*DiscreteStatsTable[Average]))</f>
        <v>0</v>
      </c>
      <c r="S64" s="5" cm="1">
        <f t="array" ref="S64">MAX(IF((DiscreteStatsTable[GroupByKey]=DiscreteStatsTable[[#This Row],[GroupByKey]]),(DiscreteStatsTable[GroupByKey]=DiscreteStatsTable[[#This Row],[GroupByKey]])*DiscreteStatsTable[Average]))</f>
        <v>0</v>
      </c>
      <c r="T64" s="5" cm="1">
        <f t="array" ref="T64">MIN(IF((DiscreteStatsTable[GroupByKey]=DiscreteStatsTable[[#This Row],[GroupByKey]]),(DiscreteStatsTable[GroupByKey]=DiscreteStatsTable[[#This Row],[GroupByKey]])*DiscreteStatsTable[Minimum]))</f>
        <v>0</v>
      </c>
      <c r="U64" s="5" cm="1">
        <f t="array" ref="U64">MAX(IF((DiscreteStatsTable[GroupByKey]=DiscreteStatsTable[[#This Row],[GroupByKey]]),(DiscreteStatsTable[GroupByKey]=DiscreteStatsTable[[#This Row],[GroupByKey]])*DiscreteStatsTable[Maximum]))</f>
        <v>0</v>
      </c>
      <c r="V64" s="5" cm="1">
        <f t="array" ref="V64">IFERROR(AVERAGE(IF((DiscreteStatsTable[GroupByKey]=DiscreteStatsTable[[#This Row],[GroupByKey]]),(DiscreteStatsTable[GroupByKey]=DiscreteStatsTable[[#This Row],[GroupByKey]])*DiscreteStatsTable[NumberObservations])),0)</f>
        <v>167</v>
      </c>
      <c r="W64" s="5">
        <f>IF((DiscreteStatsTable[[#This Row],[RepsRequested]]&gt;1),DiscreteStatsTable[[#This Row],[HalfWidth]],DiscreteStatsTable[[#This Row],[BatchMeansHalfWidth]])</f>
        <v>0</v>
      </c>
      <c r="X64" s="5" cm="1">
        <f t="array" ref="X64">COUNT(IF((DiscreteStatsTable[GroupByKey]=DiscreteStatsTable[[#This Row],[GroupByKey]]),(DiscreteStatsTable[GroupByKey]=DiscreteStatsTable[[#This Row],[GroupByKey]])*DiscreteStatsTable[Replication]))</f>
        <v>10</v>
      </c>
      <c r="Y64" s="5">
        <f>IF(DiscreteStatsTable[[#This Row],[RepsRequested]]=DiscreteStatsTable[[#This Row],[RepsWithStatObserved]],1,0)</f>
        <v>1</v>
      </c>
    </row>
    <row r="65" spans="1:25" x14ac:dyDescent="0.4">
      <c r="A65" t="s">
        <v>66</v>
      </c>
      <c r="B65" t="s">
        <v>69</v>
      </c>
      <c r="C65">
        <v>4</v>
      </c>
      <c r="D65" t="s">
        <v>78</v>
      </c>
      <c r="E65" t="s">
        <v>79</v>
      </c>
      <c r="F65" t="s">
        <v>80</v>
      </c>
      <c r="G65">
        <v>0</v>
      </c>
      <c r="H65">
        <v>2E+20</v>
      </c>
      <c r="I65">
        <v>0</v>
      </c>
      <c r="J65">
        <v>0</v>
      </c>
      <c r="K65">
        <v>175</v>
      </c>
      <c r="L65" s="5" t="str">
        <f>DiscreteStatsTable[[#This Row],[ProjectName]]&amp;DiscreteStatsTable[[#This Row],[Name]]&amp;DiscreteStatsTable[[#This Row],[Type]]&amp;DiscreteStatsTable[[#This Row],[Source]]</f>
        <v>Unnamed ProjectHold M1.QueueWaiting TimeQueue</v>
      </c>
      <c r="M65" s="5" cm="1">
        <f t="array" ref="M65">MAX(IF((ProjectInfoTable[ProjectName]=DiscreteStatsTable[[#This Row],[ProjectName]]),(ProjectInfoTable[ProjectName]=DiscreteStatsTable[[#This Row],[ProjectName]])*ProjectInfoTable[NumberOfReplications]))</f>
        <v>10</v>
      </c>
      <c r="N65" s="5" cm="1">
        <f t="array" ref="N65">IFERROR(AVERAGE(IF((DiscreteStatsTable[GroupByKey]=DiscreteStatsTable[[#This Row],[GroupByKey]]),(DiscreteStatsTable[GroupByKey]=DiscreteStatsTable[[#This Row],[GroupByKey]])*DiscreteStatsTable[Average])),0)</f>
        <v>0</v>
      </c>
      <c r="O65" s="5" cm="1">
        <f t="array" ref="O65">IFERROR(_xlfn.STDEV.S(IF((DiscreteStatsTable[GroupByKey]=DiscreteStatsTable[[#This Row],[GroupByKey]]),(DiscreteStatsTable[GroupByKey]=DiscreteStatsTable[[#This Row],[GroupByKey]])*DiscreteStatsTable[Average])),0)</f>
        <v>0</v>
      </c>
      <c r="P65" s="5" cm="1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 s="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" s="5" cm="1">
        <f t="array" ref="R65">MIN(IF((DiscreteStatsTable[GroupByKey]=DiscreteStatsTable[[#This Row],[GroupByKey]]),(DiscreteStatsTable[GroupByKey]=DiscreteStatsTable[[#This Row],[GroupByKey]])*DiscreteStatsTable[Average]))</f>
        <v>0</v>
      </c>
      <c r="S65" s="5" cm="1">
        <f t="array" ref="S65">MAX(IF((DiscreteStatsTable[GroupByKey]=DiscreteStatsTable[[#This Row],[GroupByKey]]),(DiscreteStatsTable[GroupByKey]=DiscreteStatsTable[[#This Row],[GroupByKey]])*DiscreteStatsTable[Average]))</f>
        <v>0</v>
      </c>
      <c r="T65" s="5" cm="1">
        <f t="array" ref="T65">MIN(IF((DiscreteStatsTable[GroupByKey]=DiscreteStatsTable[[#This Row],[GroupByKey]]),(DiscreteStatsTable[GroupByKey]=DiscreteStatsTable[[#This Row],[GroupByKey]])*DiscreteStatsTable[Minimum]))</f>
        <v>0</v>
      </c>
      <c r="U65" s="5" cm="1">
        <f t="array" ref="U65">MAX(IF((DiscreteStatsTable[GroupByKey]=DiscreteStatsTable[[#This Row],[GroupByKey]]),(DiscreteStatsTable[GroupByKey]=DiscreteStatsTable[[#This Row],[GroupByKey]])*DiscreteStatsTable[Maximum]))</f>
        <v>0</v>
      </c>
      <c r="V65" s="5" cm="1">
        <f t="array" ref="V65">IFERROR(AVERAGE(IF((DiscreteStatsTable[GroupByKey]=DiscreteStatsTable[[#This Row],[GroupByKey]]),(DiscreteStatsTable[GroupByKey]=DiscreteStatsTable[[#This Row],[GroupByKey]])*DiscreteStatsTable[NumberObservations])),0)</f>
        <v>167</v>
      </c>
      <c r="W65" s="5">
        <f>IF((DiscreteStatsTable[[#This Row],[RepsRequested]]&gt;1),DiscreteStatsTable[[#This Row],[HalfWidth]],DiscreteStatsTable[[#This Row],[BatchMeansHalfWidth]])</f>
        <v>0</v>
      </c>
      <c r="X65" s="5" cm="1">
        <f t="array" ref="X65">COUNT(IF((DiscreteStatsTable[GroupByKey]=DiscreteStatsTable[[#This Row],[GroupByKey]]),(DiscreteStatsTable[GroupByKey]=DiscreteStatsTable[[#This Row],[GroupByKey]])*DiscreteStatsTable[Replication]))</f>
        <v>10</v>
      </c>
      <c r="Y65" s="5">
        <f>IF(DiscreteStatsTable[[#This Row],[RepsRequested]]=DiscreteStatsTable[[#This Row],[RepsWithStatObserved]],1,0)</f>
        <v>1</v>
      </c>
    </row>
    <row r="66" spans="1:25" x14ac:dyDescent="0.4">
      <c r="A66" t="s">
        <v>66</v>
      </c>
      <c r="B66" t="s">
        <v>69</v>
      </c>
      <c r="C66">
        <v>5</v>
      </c>
      <c r="D66" t="s">
        <v>78</v>
      </c>
      <c r="E66" t="s">
        <v>79</v>
      </c>
      <c r="F66" t="s">
        <v>80</v>
      </c>
      <c r="G66">
        <v>0</v>
      </c>
      <c r="H66">
        <v>2E+20</v>
      </c>
      <c r="I66">
        <v>0</v>
      </c>
      <c r="J66">
        <v>0</v>
      </c>
      <c r="K66">
        <v>142</v>
      </c>
      <c r="L66" s="5" t="str">
        <f>DiscreteStatsTable[[#This Row],[ProjectName]]&amp;DiscreteStatsTable[[#This Row],[Name]]&amp;DiscreteStatsTable[[#This Row],[Type]]&amp;DiscreteStatsTable[[#This Row],[Source]]</f>
        <v>Unnamed ProjectHold M1.QueueWaiting TimeQueue</v>
      </c>
      <c r="M66" s="5" cm="1">
        <f t="array" ref="M66">MAX(IF((ProjectInfoTable[ProjectName]=DiscreteStatsTable[[#This Row],[ProjectName]]),(ProjectInfoTable[ProjectName]=DiscreteStatsTable[[#This Row],[ProjectName]])*ProjectInfoTable[NumberOfReplications]))</f>
        <v>10</v>
      </c>
      <c r="N66" s="5" cm="1">
        <f t="array" ref="N66">IFERROR(AVERAGE(IF((DiscreteStatsTable[GroupByKey]=DiscreteStatsTable[[#This Row],[GroupByKey]]),(DiscreteStatsTable[GroupByKey]=DiscreteStatsTable[[#This Row],[GroupByKey]])*DiscreteStatsTable[Average])),0)</f>
        <v>0</v>
      </c>
      <c r="O66" s="5" cm="1">
        <f t="array" ref="O66">IFERROR(_xlfn.STDEV.S(IF((DiscreteStatsTable[GroupByKey]=DiscreteStatsTable[[#This Row],[GroupByKey]]),(DiscreteStatsTable[GroupByKey]=DiscreteStatsTable[[#This Row],[GroupByKey]])*DiscreteStatsTable[Average])),0)</f>
        <v>0</v>
      </c>
      <c r="P66" s="5" cm="1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 s="5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6" s="5" cm="1">
        <f t="array" ref="R66">MIN(IF((DiscreteStatsTable[GroupByKey]=DiscreteStatsTable[[#This Row],[GroupByKey]]),(DiscreteStatsTable[GroupByKey]=DiscreteStatsTable[[#This Row],[GroupByKey]])*DiscreteStatsTable[Average]))</f>
        <v>0</v>
      </c>
      <c r="S66" s="5" cm="1">
        <f t="array" ref="S66">MAX(IF((DiscreteStatsTable[GroupByKey]=DiscreteStatsTable[[#This Row],[GroupByKey]]),(DiscreteStatsTable[GroupByKey]=DiscreteStatsTable[[#This Row],[GroupByKey]])*DiscreteStatsTable[Average]))</f>
        <v>0</v>
      </c>
      <c r="T66" s="5" cm="1">
        <f t="array" ref="T66">MIN(IF((DiscreteStatsTable[GroupByKey]=DiscreteStatsTable[[#This Row],[GroupByKey]]),(DiscreteStatsTable[GroupByKey]=DiscreteStatsTable[[#This Row],[GroupByKey]])*DiscreteStatsTable[Minimum]))</f>
        <v>0</v>
      </c>
      <c r="U66" s="5" cm="1">
        <f t="array" ref="U66">MAX(IF((DiscreteStatsTable[GroupByKey]=DiscreteStatsTable[[#This Row],[GroupByKey]]),(DiscreteStatsTable[GroupByKey]=DiscreteStatsTable[[#This Row],[GroupByKey]])*DiscreteStatsTable[Maximum]))</f>
        <v>0</v>
      </c>
      <c r="V66" s="5" cm="1">
        <f t="array" ref="V66">IFERROR(AVERAGE(IF((DiscreteStatsTable[GroupByKey]=DiscreteStatsTable[[#This Row],[GroupByKey]]),(DiscreteStatsTable[GroupByKey]=DiscreteStatsTable[[#This Row],[GroupByKey]])*DiscreteStatsTable[NumberObservations])),0)</f>
        <v>167</v>
      </c>
      <c r="W66" s="5">
        <f>IF((DiscreteStatsTable[[#This Row],[RepsRequested]]&gt;1),DiscreteStatsTable[[#This Row],[HalfWidth]],DiscreteStatsTable[[#This Row],[BatchMeansHalfWidth]])</f>
        <v>0</v>
      </c>
      <c r="X66" s="5" cm="1">
        <f t="array" ref="X66">COUNT(IF((DiscreteStatsTable[GroupByKey]=DiscreteStatsTable[[#This Row],[GroupByKey]]),(DiscreteStatsTable[GroupByKey]=DiscreteStatsTable[[#This Row],[GroupByKey]])*DiscreteStatsTable[Replication]))</f>
        <v>10</v>
      </c>
      <c r="Y66" s="5">
        <f>IF(DiscreteStatsTable[[#This Row],[RepsRequested]]=DiscreteStatsTable[[#This Row],[RepsWithStatObserved]],1,0)</f>
        <v>1</v>
      </c>
    </row>
    <row r="67" spans="1:25" x14ac:dyDescent="0.4">
      <c r="A67" t="s">
        <v>66</v>
      </c>
      <c r="B67" t="s">
        <v>69</v>
      </c>
      <c r="C67">
        <v>6</v>
      </c>
      <c r="D67" t="s">
        <v>78</v>
      </c>
      <c r="E67" t="s">
        <v>79</v>
      </c>
      <c r="F67" t="s">
        <v>80</v>
      </c>
      <c r="G67">
        <v>0</v>
      </c>
      <c r="H67">
        <v>2E+20</v>
      </c>
      <c r="I67">
        <v>0</v>
      </c>
      <c r="J67">
        <v>0</v>
      </c>
      <c r="K67">
        <v>171</v>
      </c>
      <c r="L67" s="5" t="str">
        <f>DiscreteStatsTable[[#This Row],[ProjectName]]&amp;DiscreteStatsTable[[#This Row],[Name]]&amp;DiscreteStatsTable[[#This Row],[Type]]&amp;DiscreteStatsTable[[#This Row],[Source]]</f>
        <v>Unnamed ProjectHold M1.QueueWaiting TimeQueue</v>
      </c>
      <c r="M67" s="5" cm="1">
        <f t="array" ref="M67">MAX(IF((ProjectInfoTable[ProjectName]=DiscreteStatsTable[[#This Row],[ProjectName]]),(ProjectInfoTable[ProjectName]=DiscreteStatsTable[[#This Row],[ProjectName]])*ProjectInfoTable[NumberOfReplications]))</f>
        <v>10</v>
      </c>
      <c r="N67" s="5" cm="1">
        <f t="array" ref="N67">IFERROR(AVERAGE(IF((DiscreteStatsTable[GroupByKey]=DiscreteStatsTable[[#This Row],[GroupByKey]]),(DiscreteStatsTable[GroupByKey]=DiscreteStatsTable[[#This Row],[GroupByKey]])*DiscreteStatsTable[Average])),0)</f>
        <v>0</v>
      </c>
      <c r="O67" s="5" cm="1">
        <f t="array" ref="O67">IFERROR(_xlfn.STDEV.S(IF((DiscreteStatsTable[GroupByKey]=DiscreteStatsTable[[#This Row],[GroupByKey]]),(DiscreteStatsTable[GroupByKey]=DiscreteStatsTable[[#This Row],[GroupByKey]])*DiscreteStatsTable[Average])),0)</f>
        <v>0</v>
      </c>
      <c r="P67" s="5" cm="1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 s="5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7" s="5" cm="1">
        <f t="array" ref="R67">MIN(IF((DiscreteStatsTable[GroupByKey]=DiscreteStatsTable[[#This Row],[GroupByKey]]),(DiscreteStatsTable[GroupByKey]=DiscreteStatsTable[[#This Row],[GroupByKey]])*DiscreteStatsTable[Average]))</f>
        <v>0</v>
      </c>
      <c r="S67" s="5" cm="1">
        <f t="array" ref="S67">MAX(IF((DiscreteStatsTable[GroupByKey]=DiscreteStatsTable[[#This Row],[GroupByKey]]),(DiscreteStatsTable[GroupByKey]=DiscreteStatsTable[[#This Row],[GroupByKey]])*DiscreteStatsTable[Average]))</f>
        <v>0</v>
      </c>
      <c r="T67" s="5" cm="1">
        <f t="array" ref="T67">MIN(IF((DiscreteStatsTable[GroupByKey]=DiscreteStatsTable[[#This Row],[GroupByKey]]),(DiscreteStatsTable[GroupByKey]=DiscreteStatsTable[[#This Row],[GroupByKey]])*DiscreteStatsTable[Minimum]))</f>
        <v>0</v>
      </c>
      <c r="U67" s="5" cm="1">
        <f t="array" ref="U67">MAX(IF((DiscreteStatsTable[GroupByKey]=DiscreteStatsTable[[#This Row],[GroupByKey]]),(DiscreteStatsTable[GroupByKey]=DiscreteStatsTable[[#This Row],[GroupByKey]])*DiscreteStatsTable[Maximum]))</f>
        <v>0</v>
      </c>
      <c r="V67" s="5" cm="1">
        <f t="array" ref="V67">IFERROR(AVERAGE(IF((DiscreteStatsTable[GroupByKey]=DiscreteStatsTable[[#This Row],[GroupByKey]]),(DiscreteStatsTable[GroupByKey]=DiscreteStatsTable[[#This Row],[GroupByKey]])*DiscreteStatsTable[NumberObservations])),0)</f>
        <v>167</v>
      </c>
      <c r="W67" s="5">
        <f>IF((DiscreteStatsTable[[#This Row],[RepsRequested]]&gt;1),DiscreteStatsTable[[#This Row],[HalfWidth]],DiscreteStatsTable[[#This Row],[BatchMeansHalfWidth]])</f>
        <v>0</v>
      </c>
      <c r="X67" s="5" cm="1">
        <f t="array" ref="X67">COUNT(IF((DiscreteStatsTable[GroupByKey]=DiscreteStatsTable[[#This Row],[GroupByKey]]),(DiscreteStatsTable[GroupByKey]=DiscreteStatsTable[[#This Row],[GroupByKey]])*DiscreteStatsTable[Replication]))</f>
        <v>10</v>
      </c>
      <c r="Y67" s="5">
        <f>IF(DiscreteStatsTable[[#This Row],[RepsRequested]]=DiscreteStatsTable[[#This Row],[RepsWithStatObserved]],1,0)</f>
        <v>1</v>
      </c>
    </row>
    <row r="68" spans="1:25" x14ac:dyDescent="0.4">
      <c r="A68" t="s">
        <v>66</v>
      </c>
      <c r="B68" t="s">
        <v>69</v>
      </c>
      <c r="C68">
        <v>7</v>
      </c>
      <c r="D68" t="s">
        <v>78</v>
      </c>
      <c r="E68" t="s">
        <v>79</v>
      </c>
      <c r="F68" t="s">
        <v>80</v>
      </c>
      <c r="G68">
        <v>0</v>
      </c>
      <c r="H68">
        <v>2E+20</v>
      </c>
      <c r="I68">
        <v>0</v>
      </c>
      <c r="J68">
        <v>0</v>
      </c>
      <c r="K68">
        <v>147</v>
      </c>
      <c r="L68" s="5" t="str">
        <f>DiscreteStatsTable[[#This Row],[ProjectName]]&amp;DiscreteStatsTable[[#This Row],[Name]]&amp;DiscreteStatsTable[[#This Row],[Type]]&amp;DiscreteStatsTable[[#This Row],[Source]]</f>
        <v>Unnamed ProjectHold M1.QueueWaiting TimeQueue</v>
      </c>
      <c r="M68" s="5" cm="1">
        <f t="array" ref="M68">MAX(IF((ProjectInfoTable[ProjectName]=DiscreteStatsTable[[#This Row],[ProjectName]]),(ProjectInfoTable[ProjectName]=DiscreteStatsTable[[#This Row],[ProjectName]])*ProjectInfoTable[NumberOfReplications]))</f>
        <v>10</v>
      </c>
      <c r="N68" s="5" cm="1">
        <f t="array" ref="N68">IFERROR(AVERAGE(IF((DiscreteStatsTable[GroupByKey]=DiscreteStatsTable[[#This Row],[GroupByKey]]),(DiscreteStatsTable[GroupByKey]=DiscreteStatsTable[[#This Row],[GroupByKey]])*DiscreteStatsTable[Average])),0)</f>
        <v>0</v>
      </c>
      <c r="O68" s="5" cm="1">
        <f t="array" ref="O68">IFERROR(_xlfn.STDEV.S(IF((DiscreteStatsTable[GroupByKey]=DiscreteStatsTable[[#This Row],[GroupByKey]]),(DiscreteStatsTable[GroupByKey]=DiscreteStatsTable[[#This Row],[GroupByKey]])*DiscreteStatsTable[Average])),0)</f>
        <v>0</v>
      </c>
      <c r="P68" s="5" cm="1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 s="5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" s="5" cm="1">
        <f t="array" ref="R68">MIN(IF((DiscreteStatsTable[GroupByKey]=DiscreteStatsTable[[#This Row],[GroupByKey]]),(DiscreteStatsTable[GroupByKey]=DiscreteStatsTable[[#This Row],[GroupByKey]])*DiscreteStatsTable[Average]))</f>
        <v>0</v>
      </c>
      <c r="S68" s="5" cm="1">
        <f t="array" ref="S68">MAX(IF((DiscreteStatsTable[GroupByKey]=DiscreteStatsTable[[#This Row],[GroupByKey]]),(DiscreteStatsTable[GroupByKey]=DiscreteStatsTable[[#This Row],[GroupByKey]])*DiscreteStatsTable[Average]))</f>
        <v>0</v>
      </c>
      <c r="T68" s="5" cm="1">
        <f t="array" ref="T68">MIN(IF((DiscreteStatsTable[GroupByKey]=DiscreteStatsTable[[#This Row],[GroupByKey]]),(DiscreteStatsTable[GroupByKey]=DiscreteStatsTable[[#This Row],[GroupByKey]])*DiscreteStatsTable[Minimum]))</f>
        <v>0</v>
      </c>
      <c r="U68" s="5" cm="1">
        <f t="array" ref="U68">MAX(IF((DiscreteStatsTable[GroupByKey]=DiscreteStatsTable[[#This Row],[GroupByKey]]),(DiscreteStatsTable[GroupByKey]=DiscreteStatsTable[[#This Row],[GroupByKey]])*DiscreteStatsTable[Maximum]))</f>
        <v>0</v>
      </c>
      <c r="V68" s="5" cm="1">
        <f t="array" ref="V68">IFERROR(AVERAGE(IF((DiscreteStatsTable[GroupByKey]=DiscreteStatsTable[[#This Row],[GroupByKey]]),(DiscreteStatsTable[GroupByKey]=DiscreteStatsTable[[#This Row],[GroupByKey]])*DiscreteStatsTable[NumberObservations])),0)</f>
        <v>167</v>
      </c>
      <c r="W68" s="5">
        <f>IF((DiscreteStatsTable[[#This Row],[RepsRequested]]&gt;1),DiscreteStatsTable[[#This Row],[HalfWidth]],DiscreteStatsTable[[#This Row],[BatchMeansHalfWidth]])</f>
        <v>0</v>
      </c>
      <c r="X68" s="5" cm="1">
        <f t="array" ref="X68">COUNT(IF((DiscreteStatsTable[GroupByKey]=DiscreteStatsTable[[#This Row],[GroupByKey]]),(DiscreteStatsTable[GroupByKey]=DiscreteStatsTable[[#This Row],[GroupByKey]])*DiscreteStatsTable[Replication]))</f>
        <v>10</v>
      </c>
      <c r="Y68" s="5">
        <f>IF(DiscreteStatsTable[[#This Row],[RepsRequested]]=DiscreteStatsTable[[#This Row],[RepsWithStatObserved]],1,0)</f>
        <v>1</v>
      </c>
    </row>
    <row r="69" spans="1:25" x14ac:dyDescent="0.4">
      <c r="A69" t="s">
        <v>66</v>
      </c>
      <c r="B69" t="s">
        <v>69</v>
      </c>
      <c r="C69">
        <v>8</v>
      </c>
      <c r="D69" t="s">
        <v>78</v>
      </c>
      <c r="E69" t="s">
        <v>79</v>
      </c>
      <c r="F69" t="s">
        <v>80</v>
      </c>
      <c r="G69">
        <v>0</v>
      </c>
      <c r="H69">
        <v>2E+20</v>
      </c>
      <c r="I69">
        <v>0</v>
      </c>
      <c r="J69">
        <v>0</v>
      </c>
      <c r="K69">
        <v>176</v>
      </c>
      <c r="L69" s="5" t="str">
        <f>DiscreteStatsTable[[#This Row],[ProjectName]]&amp;DiscreteStatsTable[[#This Row],[Name]]&amp;DiscreteStatsTable[[#This Row],[Type]]&amp;DiscreteStatsTable[[#This Row],[Source]]</f>
        <v>Unnamed ProjectHold M1.QueueWaiting TimeQueue</v>
      </c>
      <c r="M69" s="5" cm="1">
        <f t="array" ref="M69">MAX(IF((ProjectInfoTable[ProjectName]=DiscreteStatsTable[[#This Row],[ProjectName]]),(ProjectInfoTable[ProjectName]=DiscreteStatsTable[[#This Row],[ProjectName]])*ProjectInfoTable[NumberOfReplications]))</f>
        <v>10</v>
      </c>
      <c r="N69" s="5" cm="1">
        <f t="array" ref="N69">IFERROR(AVERAGE(IF((DiscreteStatsTable[GroupByKey]=DiscreteStatsTable[[#This Row],[GroupByKey]]),(DiscreteStatsTable[GroupByKey]=DiscreteStatsTable[[#This Row],[GroupByKey]])*DiscreteStatsTable[Average])),0)</f>
        <v>0</v>
      </c>
      <c r="O69" s="5" cm="1">
        <f t="array" ref="O69">IFERROR(_xlfn.STDEV.S(IF((DiscreteStatsTable[GroupByKey]=DiscreteStatsTable[[#This Row],[GroupByKey]]),(DiscreteStatsTable[GroupByKey]=DiscreteStatsTable[[#This Row],[GroupByKey]])*DiscreteStatsTable[Average])),0)</f>
        <v>0</v>
      </c>
      <c r="P69" s="5" cm="1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 s="5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9" s="5" cm="1">
        <f t="array" ref="R69">MIN(IF((DiscreteStatsTable[GroupByKey]=DiscreteStatsTable[[#This Row],[GroupByKey]]),(DiscreteStatsTable[GroupByKey]=DiscreteStatsTable[[#This Row],[GroupByKey]])*DiscreteStatsTable[Average]))</f>
        <v>0</v>
      </c>
      <c r="S69" s="5" cm="1">
        <f t="array" ref="S69">MAX(IF((DiscreteStatsTable[GroupByKey]=DiscreteStatsTable[[#This Row],[GroupByKey]]),(DiscreteStatsTable[GroupByKey]=DiscreteStatsTable[[#This Row],[GroupByKey]])*DiscreteStatsTable[Average]))</f>
        <v>0</v>
      </c>
      <c r="T69" s="5" cm="1">
        <f t="array" ref="T69">MIN(IF((DiscreteStatsTable[GroupByKey]=DiscreteStatsTable[[#This Row],[GroupByKey]]),(DiscreteStatsTable[GroupByKey]=DiscreteStatsTable[[#This Row],[GroupByKey]])*DiscreteStatsTable[Minimum]))</f>
        <v>0</v>
      </c>
      <c r="U69" s="5" cm="1">
        <f t="array" ref="U69">MAX(IF((DiscreteStatsTable[GroupByKey]=DiscreteStatsTable[[#This Row],[GroupByKey]]),(DiscreteStatsTable[GroupByKey]=DiscreteStatsTable[[#This Row],[GroupByKey]])*DiscreteStatsTable[Maximum]))</f>
        <v>0</v>
      </c>
      <c r="V69" s="5" cm="1">
        <f t="array" ref="V69">IFERROR(AVERAGE(IF((DiscreteStatsTable[GroupByKey]=DiscreteStatsTable[[#This Row],[GroupByKey]]),(DiscreteStatsTable[GroupByKey]=DiscreteStatsTable[[#This Row],[GroupByKey]])*DiscreteStatsTable[NumberObservations])),0)</f>
        <v>167</v>
      </c>
      <c r="W69" s="5">
        <f>IF((DiscreteStatsTable[[#This Row],[RepsRequested]]&gt;1),DiscreteStatsTable[[#This Row],[HalfWidth]],DiscreteStatsTable[[#This Row],[BatchMeansHalfWidth]])</f>
        <v>0</v>
      </c>
      <c r="X69" s="5" cm="1">
        <f t="array" ref="X69">COUNT(IF((DiscreteStatsTable[GroupByKey]=DiscreteStatsTable[[#This Row],[GroupByKey]]),(DiscreteStatsTable[GroupByKey]=DiscreteStatsTable[[#This Row],[GroupByKey]])*DiscreteStatsTable[Replication]))</f>
        <v>10</v>
      </c>
      <c r="Y69" s="5">
        <f>IF(DiscreteStatsTable[[#This Row],[RepsRequested]]=DiscreteStatsTable[[#This Row],[RepsWithStatObserved]],1,0)</f>
        <v>1</v>
      </c>
    </row>
    <row r="70" spans="1:25" x14ac:dyDescent="0.4">
      <c r="A70" t="s">
        <v>66</v>
      </c>
      <c r="B70" t="s">
        <v>69</v>
      </c>
      <c r="C70">
        <v>9</v>
      </c>
      <c r="D70" t="s">
        <v>78</v>
      </c>
      <c r="E70" t="s">
        <v>79</v>
      </c>
      <c r="F70" t="s">
        <v>80</v>
      </c>
      <c r="G70">
        <v>0</v>
      </c>
      <c r="H70">
        <v>2E+20</v>
      </c>
      <c r="I70">
        <v>0</v>
      </c>
      <c r="J70">
        <v>0</v>
      </c>
      <c r="K70">
        <v>178</v>
      </c>
      <c r="L70" s="5" t="str">
        <f>DiscreteStatsTable[[#This Row],[ProjectName]]&amp;DiscreteStatsTable[[#This Row],[Name]]&amp;DiscreteStatsTable[[#This Row],[Type]]&amp;DiscreteStatsTable[[#This Row],[Source]]</f>
        <v>Unnamed ProjectHold M1.QueueWaiting TimeQueue</v>
      </c>
      <c r="M70" s="5" cm="1">
        <f t="array" ref="M70">MAX(IF((ProjectInfoTable[ProjectName]=DiscreteStatsTable[[#This Row],[ProjectName]]),(ProjectInfoTable[ProjectName]=DiscreteStatsTable[[#This Row],[ProjectName]])*ProjectInfoTable[NumberOfReplications]))</f>
        <v>10</v>
      </c>
      <c r="N70" s="5" cm="1">
        <f t="array" ref="N70">IFERROR(AVERAGE(IF((DiscreteStatsTable[GroupByKey]=DiscreteStatsTable[[#This Row],[GroupByKey]]),(DiscreteStatsTable[GroupByKey]=DiscreteStatsTable[[#This Row],[GroupByKey]])*DiscreteStatsTable[Average])),0)</f>
        <v>0</v>
      </c>
      <c r="O70" s="5" cm="1">
        <f t="array" ref="O70">IFERROR(_xlfn.STDEV.S(IF((DiscreteStatsTable[GroupByKey]=DiscreteStatsTable[[#This Row],[GroupByKey]]),(DiscreteStatsTable[GroupByKey]=DiscreteStatsTable[[#This Row],[GroupByKey]])*DiscreteStatsTable[Average])),0)</f>
        <v>0</v>
      </c>
      <c r="P70" s="5" cm="1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 s="5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0" s="5" cm="1">
        <f t="array" ref="R70">MIN(IF((DiscreteStatsTable[GroupByKey]=DiscreteStatsTable[[#This Row],[GroupByKey]]),(DiscreteStatsTable[GroupByKey]=DiscreteStatsTable[[#This Row],[GroupByKey]])*DiscreteStatsTable[Average]))</f>
        <v>0</v>
      </c>
      <c r="S70" s="5" cm="1">
        <f t="array" ref="S70">MAX(IF((DiscreteStatsTable[GroupByKey]=DiscreteStatsTable[[#This Row],[GroupByKey]]),(DiscreteStatsTable[GroupByKey]=DiscreteStatsTable[[#This Row],[GroupByKey]])*DiscreteStatsTable[Average]))</f>
        <v>0</v>
      </c>
      <c r="T70" s="5" cm="1">
        <f t="array" ref="T70">MIN(IF((DiscreteStatsTable[GroupByKey]=DiscreteStatsTable[[#This Row],[GroupByKey]]),(DiscreteStatsTable[GroupByKey]=DiscreteStatsTable[[#This Row],[GroupByKey]])*DiscreteStatsTable[Minimum]))</f>
        <v>0</v>
      </c>
      <c r="U70" s="5" cm="1">
        <f t="array" ref="U70">MAX(IF((DiscreteStatsTable[GroupByKey]=DiscreteStatsTable[[#This Row],[GroupByKey]]),(DiscreteStatsTable[GroupByKey]=DiscreteStatsTable[[#This Row],[GroupByKey]])*DiscreteStatsTable[Maximum]))</f>
        <v>0</v>
      </c>
      <c r="V70" s="5" cm="1">
        <f t="array" ref="V70">IFERROR(AVERAGE(IF((DiscreteStatsTable[GroupByKey]=DiscreteStatsTable[[#This Row],[GroupByKey]]),(DiscreteStatsTable[GroupByKey]=DiscreteStatsTable[[#This Row],[GroupByKey]])*DiscreteStatsTable[NumberObservations])),0)</f>
        <v>167</v>
      </c>
      <c r="W70" s="5">
        <f>IF((DiscreteStatsTable[[#This Row],[RepsRequested]]&gt;1),DiscreteStatsTable[[#This Row],[HalfWidth]],DiscreteStatsTable[[#This Row],[BatchMeansHalfWidth]])</f>
        <v>0</v>
      </c>
      <c r="X70" s="5" cm="1">
        <f t="array" ref="X70">COUNT(IF((DiscreteStatsTable[GroupByKey]=DiscreteStatsTable[[#This Row],[GroupByKey]]),(DiscreteStatsTable[GroupByKey]=DiscreteStatsTable[[#This Row],[GroupByKey]])*DiscreteStatsTable[Replication]))</f>
        <v>10</v>
      </c>
      <c r="Y70" s="5">
        <f>IF(DiscreteStatsTable[[#This Row],[RepsRequested]]=DiscreteStatsTable[[#This Row],[RepsWithStatObserved]],1,0)</f>
        <v>1</v>
      </c>
    </row>
    <row r="71" spans="1:25" x14ac:dyDescent="0.4">
      <c r="A71" t="s">
        <v>66</v>
      </c>
      <c r="B71" t="s">
        <v>69</v>
      </c>
      <c r="C71">
        <v>10</v>
      </c>
      <c r="D71" t="s">
        <v>78</v>
      </c>
      <c r="E71" t="s">
        <v>79</v>
      </c>
      <c r="F71" t="s">
        <v>80</v>
      </c>
      <c r="G71">
        <v>0</v>
      </c>
      <c r="H71">
        <v>2E+20</v>
      </c>
      <c r="I71">
        <v>0</v>
      </c>
      <c r="J71">
        <v>0</v>
      </c>
      <c r="K71">
        <v>168</v>
      </c>
      <c r="L71" s="5" t="str">
        <f>DiscreteStatsTable[[#This Row],[ProjectName]]&amp;DiscreteStatsTable[[#This Row],[Name]]&amp;DiscreteStatsTable[[#This Row],[Type]]&amp;DiscreteStatsTable[[#This Row],[Source]]</f>
        <v>Unnamed ProjectHold M1.QueueWaiting TimeQueue</v>
      </c>
      <c r="M71" s="5" cm="1">
        <f t="array" ref="M71">MAX(IF((ProjectInfoTable[ProjectName]=DiscreteStatsTable[[#This Row],[ProjectName]]),(ProjectInfoTable[ProjectName]=DiscreteStatsTable[[#This Row],[ProjectName]])*ProjectInfoTable[NumberOfReplications]))</f>
        <v>10</v>
      </c>
      <c r="N71" s="5" cm="1">
        <f t="array" ref="N71">IFERROR(AVERAGE(IF((DiscreteStatsTable[GroupByKey]=DiscreteStatsTable[[#This Row],[GroupByKey]]),(DiscreteStatsTable[GroupByKey]=DiscreteStatsTable[[#This Row],[GroupByKey]])*DiscreteStatsTable[Average])),0)</f>
        <v>0</v>
      </c>
      <c r="O71" s="5" cm="1">
        <f t="array" ref="O71">IFERROR(_xlfn.STDEV.S(IF((DiscreteStatsTable[GroupByKey]=DiscreteStatsTable[[#This Row],[GroupByKey]]),(DiscreteStatsTable[GroupByKey]=DiscreteStatsTable[[#This Row],[GroupByKey]])*DiscreteStatsTable[Average])),0)</f>
        <v>0</v>
      </c>
      <c r="P71" s="5" cm="1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 s="5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" s="5" cm="1">
        <f t="array" ref="R71">MIN(IF((DiscreteStatsTable[GroupByKey]=DiscreteStatsTable[[#This Row],[GroupByKey]]),(DiscreteStatsTable[GroupByKey]=DiscreteStatsTable[[#This Row],[GroupByKey]])*DiscreteStatsTable[Average]))</f>
        <v>0</v>
      </c>
      <c r="S71" s="5" cm="1">
        <f t="array" ref="S71">MAX(IF((DiscreteStatsTable[GroupByKey]=DiscreteStatsTable[[#This Row],[GroupByKey]]),(DiscreteStatsTable[GroupByKey]=DiscreteStatsTable[[#This Row],[GroupByKey]])*DiscreteStatsTable[Average]))</f>
        <v>0</v>
      </c>
      <c r="T71" s="5" cm="1">
        <f t="array" ref="T71">MIN(IF((DiscreteStatsTable[GroupByKey]=DiscreteStatsTable[[#This Row],[GroupByKey]]),(DiscreteStatsTable[GroupByKey]=DiscreteStatsTable[[#This Row],[GroupByKey]])*DiscreteStatsTable[Minimum]))</f>
        <v>0</v>
      </c>
      <c r="U71" s="5" cm="1">
        <f t="array" ref="U71">MAX(IF((DiscreteStatsTable[GroupByKey]=DiscreteStatsTable[[#This Row],[GroupByKey]]),(DiscreteStatsTable[GroupByKey]=DiscreteStatsTable[[#This Row],[GroupByKey]])*DiscreteStatsTable[Maximum]))</f>
        <v>0</v>
      </c>
      <c r="V71" s="5" cm="1">
        <f t="array" ref="V71">IFERROR(AVERAGE(IF((DiscreteStatsTable[GroupByKey]=DiscreteStatsTable[[#This Row],[GroupByKey]]),(DiscreteStatsTable[GroupByKey]=DiscreteStatsTable[[#This Row],[GroupByKey]])*DiscreteStatsTable[NumberObservations])),0)</f>
        <v>167</v>
      </c>
      <c r="W71" s="5">
        <f>IF((DiscreteStatsTable[[#This Row],[RepsRequested]]&gt;1),DiscreteStatsTable[[#This Row],[HalfWidth]],DiscreteStatsTable[[#This Row],[BatchMeansHalfWidth]])</f>
        <v>0</v>
      </c>
      <c r="X71" s="5" cm="1">
        <f t="array" ref="X71">COUNT(IF((DiscreteStatsTable[GroupByKey]=DiscreteStatsTable[[#This Row],[GroupByKey]]),(DiscreteStatsTable[GroupByKey]=DiscreteStatsTable[[#This Row],[GroupByKey]])*DiscreteStatsTable[Replication]))</f>
        <v>10</v>
      </c>
      <c r="Y71" s="5">
        <f>IF(DiscreteStatsTable[[#This Row],[RepsRequested]]=DiscreteStatsTable[[#This Row],[RepsWithStatObserved]],1,0)</f>
        <v>1</v>
      </c>
    </row>
    <row r="72" spans="1:25" x14ac:dyDescent="0.4">
      <c r="A72" t="s">
        <v>66</v>
      </c>
      <c r="B72" t="s">
        <v>69</v>
      </c>
      <c r="C72">
        <v>1</v>
      </c>
      <c r="D72" t="s">
        <v>81</v>
      </c>
      <c r="E72" t="s">
        <v>79</v>
      </c>
      <c r="F72" t="s">
        <v>80</v>
      </c>
      <c r="G72">
        <v>0</v>
      </c>
      <c r="H72">
        <v>2E+20</v>
      </c>
      <c r="I72">
        <v>0</v>
      </c>
      <c r="J72">
        <v>0</v>
      </c>
      <c r="K72">
        <v>117</v>
      </c>
      <c r="L72" s="5" t="str">
        <f>DiscreteStatsTable[[#This Row],[ProjectName]]&amp;DiscreteStatsTable[[#This Row],[Name]]&amp;DiscreteStatsTable[[#This Row],[Type]]&amp;DiscreteStatsTable[[#This Row],[Source]]</f>
        <v>Unnamed ProjectHold M2.QueueWaiting TimeQueue</v>
      </c>
      <c r="M72" s="5" cm="1">
        <f t="array" ref="M72">MAX(IF((ProjectInfoTable[ProjectName]=DiscreteStatsTable[[#This Row],[ProjectName]]),(ProjectInfoTable[ProjectName]=DiscreteStatsTable[[#This Row],[ProjectName]])*ProjectInfoTable[NumberOfReplications]))</f>
        <v>10</v>
      </c>
      <c r="N72" s="5" cm="1">
        <f t="array" ref="N72">IFERROR(AVERAGE(IF((DiscreteStatsTable[GroupByKey]=DiscreteStatsTable[[#This Row],[GroupByKey]]),(DiscreteStatsTable[GroupByKey]=DiscreteStatsTable[[#This Row],[GroupByKey]])*DiscreteStatsTable[Average])),0)</f>
        <v>0</v>
      </c>
      <c r="O72" s="5" cm="1">
        <f t="array" ref="O72">IFERROR(_xlfn.STDEV.S(IF((DiscreteStatsTable[GroupByKey]=DiscreteStatsTable[[#This Row],[GroupByKey]]),(DiscreteStatsTable[GroupByKey]=DiscreteStatsTable[[#This Row],[GroupByKey]])*DiscreteStatsTable[Average])),0)</f>
        <v>0</v>
      </c>
      <c r="P72" s="5" cm="1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 s="5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" s="5" cm="1">
        <f t="array" ref="R72">MIN(IF((DiscreteStatsTable[GroupByKey]=DiscreteStatsTable[[#This Row],[GroupByKey]]),(DiscreteStatsTable[GroupByKey]=DiscreteStatsTable[[#This Row],[GroupByKey]])*DiscreteStatsTable[Average]))</f>
        <v>0</v>
      </c>
      <c r="S72" s="5" cm="1">
        <f t="array" ref="S72">MAX(IF((DiscreteStatsTable[GroupByKey]=DiscreteStatsTable[[#This Row],[GroupByKey]]),(DiscreteStatsTable[GroupByKey]=DiscreteStatsTable[[#This Row],[GroupByKey]])*DiscreteStatsTable[Average]))</f>
        <v>0</v>
      </c>
      <c r="T72" s="5" cm="1">
        <f t="array" ref="T72">MIN(IF((DiscreteStatsTable[GroupByKey]=DiscreteStatsTable[[#This Row],[GroupByKey]]),(DiscreteStatsTable[GroupByKey]=DiscreteStatsTable[[#This Row],[GroupByKey]])*DiscreteStatsTable[Minimum]))</f>
        <v>0</v>
      </c>
      <c r="U72" s="5" cm="1">
        <f t="array" ref="U72">MAX(IF((DiscreteStatsTable[GroupByKey]=DiscreteStatsTable[[#This Row],[GroupByKey]]),(DiscreteStatsTable[GroupByKey]=DiscreteStatsTable[[#This Row],[GroupByKey]])*DiscreteStatsTable[Maximum]))</f>
        <v>0</v>
      </c>
      <c r="V72" s="5" cm="1">
        <f t="array" ref="V72">IFERROR(AVERAGE(IF((DiscreteStatsTable[GroupByKey]=DiscreteStatsTable[[#This Row],[GroupByKey]]),(DiscreteStatsTable[GroupByKey]=DiscreteStatsTable[[#This Row],[GroupByKey]])*DiscreteStatsTable[NumberObservations])),0)</f>
        <v>119.5</v>
      </c>
      <c r="W72" s="5">
        <f>IF((DiscreteStatsTable[[#This Row],[RepsRequested]]&gt;1),DiscreteStatsTable[[#This Row],[HalfWidth]],DiscreteStatsTable[[#This Row],[BatchMeansHalfWidth]])</f>
        <v>0</v>
      </c>
      <c r="X72" s="5" cm="1">
        <f t="array" ref="X72">COUNT(IF((DiscreteStatsTable[GroupByKey]=DiscreteStatsTable[[#This Row],[GroupByKey]]),(DiscreteStatsTable[GroupByKey]=DiscreteStatsTable[[#This Row],[GroupByKey]])*DiscreteStatsTable[Replication]))</f>
        <v>10</v>
      </c>
      <c r="Y72" s="5">
        <f>IF(DiscreteStatsTable[[#This Row],[RepsRequested]]=DiscreteStatsTable[[#This Row],[RepsWithStatObserved]],1,0)</f>
        <v>1</v>
      </c>
    </row>
    <row r="73" spans="1:25" x14ac:dyDescent="0.4">
      <c r="A73" t="s">
        <v>66</v>
      </c>
      <c r="B73" t="s">
        <v>69</v>
      </c>
      <c r="C73">
        <v>2</v>
      </c>
      <c r="D73" t="s">
        <v>81</v>
      </c>
      <c r="E73" t="s">
        <v>79</v>
      </c>
      <c r="F73" t="s">
        <v>80</v>
      </c>
      <c r="G73">
        <v>0</v>
      </c>
      <c r="H73">
        <v>2E+20</v>
      </c>
      <c r="I73">
        <v>0</v>
      </c>
      <c r="J73">
        <v>0</v>
      </c>
      <c r="K73">
        <v>110</v>
      </c>
      <c r="L73" s="5" t="str">
        <f>DiscreteStatsTable[[#This Row],[ProjectName]]&amp;DiscreteStatsTable[[#This Row],[Name]]&amp;DiscreteStatsTable[[#This Row],[Type]]&amp;DiscreteStatsTable[[#This Row],[Source]]</f>
        <v>Unnamed ProjectHold M2.QueueWaiting TimeQueue</v>
      </c>
      <c r="M73" s="5" cm="1">
        <f t="array" ref="M73">MAX(IF((ProjectInfoTable[ProjectName]=DiscreteStatsTable[[#This Row],[ProjectName]]),(ProjectInfoTable[ProjectName]=DiscreteStatsTable[[#This Row],[ProjectName]])*ProjectInfoTable[NumberOfReplications]))</f>
        <v>10</v>
      </c>
      <c r="N73" s="5" cm="1">
        <f t="array" ref="N73">IFERROR(AVERAGE(IF((DiscreteStatsTable[GroupByKey]=DiscreteStatsTable[[#This Row],[GroupByKey]]),(DiscreteStatsTable[GroupByKey]=DiscreteStatsTable[[#This Row],[GroupByKey]])*DiscreteStatsTable[Average])),0)</f>
        <v>0</v>
      </c>
      <c r="O73" s="5" cm="1">
        <f t="array" ref="O73">IFERROR(_xlfn.STDEV.S(IF((DiscreteStatsTable[GroupByKey]=DiscreteStatsTable[[#This Row],[GroupByKey]]),(DiscreteStatsTable[GroupByKey]=DiscreteStatsTable[[#This Row],[GroupByKey]])*DiscreteStatsTable[Average])),0)</f>
        <v>0</v>
      </c>
      <c r="P73" s="5" cm="1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 s="5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3" s="5" cm="1">
        <f t="array" ref="R73">MIN(IF((DiscreteStatsTable[GroupByKey]=DiscreteStatsTable[[#This Row],[GroupByKey]]),(DiscreteStatsTable[GroupByKey]=DiscreteStatsTable[[#This Row],[GroupByKey]])*DiscreteStatsTable[Average]))</f>
        <v>0</v>
      </c>
      <c r="S73" s="5" cm="1">
        <f t="array" ref="S73">MAX(IF((DiscreteStatsTable[GroupByKey]=DiscreteStatsTable[[#This Row],[GroupByKey]]),(DiscreteStatsTable[GroupByKey]=DiscreteStatsTable[[#This Row],[GroupByKey]])*DiscreteStatsTable[Average]))</f>
        <v>0</v>
      </c>
      <c r="T73" s="5" cm="1">
        <f t="array" ref="T73">MIN(IF((DiscreteStatsTable[GroupByKey]=DiscreteStatsTable[[#This Row],[GroupByKey]]),(DiscreteStatsTable[GroupByKey]=DiscreteStatsTable[[#This Row],[GroupByKey]])*DiscreteStatsTable[Minimum]))</f>
        <v>0</v>
      </c>
      <c r="U73" s="5" cm="1">
        <f t="array" ref="U73">MAX(IF((DiscreteStatsTable[GroupByKey]=DiscreteStatsTable[[#This Row],[GroupByKey]]),(DiscreteStatsTable[GroupByKey]=DiscreteStatsTable[[#This Row],[GroupByKey]])*DiscreteStatsTable[Maximum]))</f>
        <v>0</v>
      </c>
      <c r="V73" s="5" cm="1">
        <f t="array" ref="V73">IFERROR(AVERAGE(IF((DiscreteStatsTable[GroupByKey]=DiscreteStatsTable[[#This Row],[GroupByKey]]),(DiscreteStatsTable[GroupByKey]=DiscreteStatsTable[[#This Row],[GroupByKey]])*DiscreteStatsTable[NumberObservations])),0)</f>
        <v>119.5</v>
      </c>
      <c r="W73" s="5">
        <f>IF((DiscreteStatsTable[[#This Row],[RepsRequested]]&gt;1),DiscreteStatsTable[[#This Row],[HalfWidth]],DiscreteStatsTable[[#This Row],[BatchMeansHalfWidth]])</f>
        <v>0</v>
      </c>
      <c r="X73" s="5" cm="1">
        <f t="array" ref="X73">COUNT(IF((DiscreteStatsTable[GroupByKey]=DiscreteStatsTable[[#This Row],[GroupByKey]]),(DiscreteStatsTable[GroupByKey]=DiscreteStatsTable[[#This Row],[GroupByKey]])*DiscreteStatsTable[Replication]))</f>
        <v>10</v>
      </c>
      <c r="Y73" s="5">
        <f>IF(DiscreteStatsTable[[#This Row],[RepsRequested]]=DiscreteStatsTable[[#This Row],[RepsWithStatObserved]],1,0)</f>
        <v>1</v>
      </c>
    </row>
    <row r="74" spans="1:25" x14ac:dyDescent="0.4">
      <c r="A74" t="s">
        <v>66</v>
      </c>
      <c r="B74" t="s">
        <v>69</v>
      </c>
      <c r="C74">
        <v>3</v>
      </c>
      <c r="D74" t="s">
        <v>81</v>
      </c>
      <c r="E74" t="s">
        <v>79</v>
      </c>
      <c r="F74" t="s">
        <v>80</v>
      </c>
      <c r="G74">
        <v>0</v>
      </c>
      <c r="H74">
        <v>2E+20</v>
      </c>
      <c r="I74">
        <v>0</v>
      </c>
      <c r="J74">
        <v>0</v>
      </c>
      <c r="K74">
        <v>130</v>
      </c>
      <c r="L74" s="5" t="str">
        <f>DiscreteStatsTable[[#This Row],[ProjectName]]&amp;DiscreteStatsTable[[#This Row],[Name]]&amp;DiscreteStatsTable[[#This Row],[Type]]&amp;DiscreteStatsTable[[#This Row],[Source]]</f>
        <v>Unnamed ProjectHold M2.QueueWaiting TimeQueue</v>
      </c>
      <c r="M74" s="5" cm="1">
        <f t="array" ref="M74">MAX(IF((ProjectInfoTable[ProjectName]=DiscreteStatsTable[[#This Row],[ProjectName]]),(ProjectInfoTable[ProjectName]=DiscreteStatsTable[[#This Row],[ProjectName]])*ProjectInfoTable[NumberOfReplications]))</f>
        <v>10</v>
      </c>
      <c r="N74" s="5" cm="1">
        <f t="array" ref="N74">IFERROR(AVERAGE(IF((DiscreteStatsTable[GroupByKey]=DiscreteStatsTable[[#This Row],[GroupByKey]]),(DiscreteStatsTable[GroupByKey]=DiscreteStatsTable[[#This Row],[GroupByKey]])*DiscreteStatsTable[Average])),0)</f>
        <v>0</v>
      </c>
      <c r="O74" s="5" cm="1">
        <f t="array" ref="O74">IFERROR(_xlfn.STDEV.S(IF((DiscreteStatsTable[GroupByKey]=DiscreteStatsTable[[#This Row],[GroupByKey]]),(DiscreteStatsTable[GroupByKey]=DiscreteStatsTable[[#This Row],[GroupByKey]])*DiscreteStatsTable[Average])),0)</f>
        <v>0</v>
      </c>
      <c r="P74" s="5" cm="1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 s="5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" s="5" cm="1">
        <f t="array" ref="R74">MIN(IF((DiscreteStatsTable[GroupByKey]=DiscreteStatsTable[[#This Row],[GroupByKey]]),(DiscreteStatsTable[GroupByKey]=DiscreteStatsTable[[#This Row],[GroupByKey]])*DiscreteStatsTable[Average]))</f>
        <v>0</v>
      </c>
      <c r="S74" s="5" cm="1">
        <f t="array" ref="S74">MAX(IF((DiscreteStatsTable[GroupByKey]=DiscreteStatsTable[[#This Row],[GroupByKey]]),(DiscreteStatsTable[GroupByKey]=DiscreteStatsTable[[#This Row],[GroupByKey]])*DiscreteStatsTable[Average]))</f>
        <v>0</v>
      </c>
      <c r="T74" s="5" cm="1">
        <f t="array" ref="T74">MIN(IF((DiscreteStatsTable[GroupByKey]=DiscreteStatsTable[[#This Row],[GroupByKey]]),(DiscreteStatsTable[GroupByKey]=DiscreteStatsTable[[#This Row],[GroupByKey]])*DiscreteStatsTable[Minimum]))</f>
        <v>0</v>
      </c>
      <c r="U74" s="5" cm="1">
        <f t="array" ref="U74">MAX(IF((DiscreteStatsTable[GroupByKey]=DiscreteStatsTable[[#This Row],[GroupByKey]]),(DiscreteStatsTable[GroupByKey]=DiscreteStatsTable[[#This Row],[GroupByKey]])*DiscreteStatsTable[Maximum]))</f>
        <v>0</v>
      </c>
      <c r="V74" s="5" cm="1">
        <f t="array" ref="V74">IFERROR(AVERAGE(IF((DiscreteStatsTable[GroupByKey]=DiscreteStatsTable[[#This Row],[GroupByKey]]),(DiscreteStatsTable[GroupByKey]=DiscreteStatsTable[[#This Row],[GroupByKey]])*DiscreteStatsTable[NumberObservations])),0)</f>
        <v>119.5</v>
      </c>
      <c r="W74" s="5">
        <f>IF((DiscreteStatsTable[[#This Row],[RepsRequested]]&gt;1),DiscreteStatsTable[[#This Row],[HalfWidth]],DiscreteStatsTable[[#This Row],[BatchMeansHalfWidth]])</f>
        <v>0</v>
      </c>
      <c r="X74" s="5" cm="1">
        <f t="array" ref="X74">COUNT(IF((DiscreteStatsTable[GroupByKey]=DiscreteStatsTable[[#This Row],[GroupByKey]]),(DiscreteStatsTable[GroupByKey]=DiscreteStatsTable[[#This Row],[GroupByKey]])*DiscreteStatsTable[Replication]))</f>
        <v>10</v>
      </c>
      <c r="Y74" s="5">
        <f>IF(DiscreteStatsTable[[#This Row],[RepsRequested]]=DiscreteStatsTable[[#This Row],[RepsWithStatObserved]],1,0)</f>
        <v>1</v>
      </c>
    </row>
    <row r="75" spans="1:25" x14ac:dyDescent="0.4">
      <c r="A75" t="s">
        <v>66</v>
      </c>
      <c r="B75" t="s">
        <v>69</v>
      </c>
      <c r="C75">
        <v>4</v>
      </c>
      <c r="D75" t="s">
        <v>81</v>
      </c>
      <c r="E75" t="s">
        <v>79</v>
      </c>
      <c r="F75" t="s">
        <v>80</v>
      </c>
      <c r="G75">
        <v>0</v>
      </c>
      <c r="H75">
        <v>2E+20</v>
      </c>
      <c r="I75">
        <v>0</v>
      </c>
      <c r="J75">
        <v>0</v>
      </c>
      <c r="K75">
        <v>125</v>
      </c>
      <c r="L75" s="5" t="str">
        <f>DiscreteStatsTable[[#This Row],[ProjectName]]&amp;DiscreteStatsTable[[#This Row],[Name]]&amp;DiscreteStatsTable[[#This Row],[Type]]&amp;DiscreteStatsTable[[#This Row],[Source]]</f>
        <v>Unnamed ProjectHold M2.QueueWaiting TimeQueue</v>
      </c>
      <c r="M75" s="5" cm="1">
        <f t="array" ref="M75">MAX(IF((ProjectInfoTable[ProjectName]=DiscreteStatsTable[[#This Row],[ProjectName]]),(ProjectInfoTable[ProjectName]=DiscreteStatsTable[[#This Row],[ProjectName]])*ProjectInfoTable[NumberOfReplications]))</f>
        <v>10</v>
      </c>
      <c r="N75" s="5" cm="1">
        <f t="array" ref="N75">IFERROR(AVERAGE(IF((DiscreteStatsTable[GroupByKey]=DiscreteStatsTable[[#This Row],[GroupByKey]]),(DiscreteStatsTable[GroupByKey]=DiscreteStatsTable[[#This Row],[GroupByKey]])*DiscreteStatsTable[Average])),0)</f>
        <v>0</v>
      </c>
      <c r="O75" s="5" cm="1">
        <f t="array" ref="O75">IFERROR(_xlfn.STDEV.S(IF((DiscreteStatsTable[GroupByKey]=DiscreteStatsTable[[#This Row],[GroupByKey]]),(DiscreteStatsTable[GroupByKey]=DiscreteStatsTable[[#This Row],[GroupByKey]])*DiscreteStatsTable[Average])),0)</f>
        <v>0</v>
      </c>
      <c r="P75" s="5" cm="1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 s="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" s="5" cm="1">
        <f t="array" ref="R75">MIN(IF((DiscreteStatsTable[GroupByKey]=DiscreteStatsTable[[#This Row],[GroupByKey]]),(DiscreteStatsTable[GroupByKey]=DiscreteStatsTable[[#This Row],[GroupByKey]])*DiscreteStatsTable[Average]))</f>
        <v>0</v>
      </c>
      <c r="S75" s="5" cm="1">
        <f t="array" ref="S75">MAX(IF((DiscreteStatsTable[GroupByKey]=DiscreteStatsTable[[#This Row],[GroupByKey]]),(DiscreteStatsTable[GroupByKey]=DiscreteStatsTable[[#This Row],[GroupByKey]])*DiscreteStatsTable[Average]))</f>
        <v>0</v>
      </c>
      <c r="T75" s="5" cm="1">
        <f t="array" ref="T75">MIN(IF((DiscreteStatsTable[GroupByKey]=DiscreteStatsTable[[#This Row],[GroupByKey]]),(DiscreteStatsTable[GroupByKey]=DiscreteStatsTable[[#This Row],[GroupByKey]])*DiscreteStatsTable[Minimum]))</f>
        <v>0</v>
      </c>
      <c r="U75" s="5" cm="1">
        <f t="array" ref="U75">MAX(IF((DiscreteStatsTable[GroupByKey]=DiscreteStatsTable[[#This Row],[GroupByKey]]),(DiscreteStatsTable[GroupByKey]=DiscreteStatsTable[[#This Row],[GroupByKey]])*DiscreteStatsTable[Maximum]))</f>
        <v>0</v>
      </c>
      <c r="V75" s="5" cm="1">
        <f t="array" ref="V75">IFERROR(AVERAGE(IF((DiscreteStatsTable[GroupByKey]=DiscreteStatsTable[[#This Row],[GroupByKey]]),(DiscreteStatsTable[GroupByKey]=DiscreteStatsTable[[#This Row],[GroupByKey]])*DiscreteStatsTable[NumberObservations])),0)</f>
        <v>119.5</v>
      </c>
      <c r="W75" s="5">
        <f>IF((DiscreteStatsTable[[#This Row],[RepsRequested]]&gt;1),DiscreteStatsTable[[#This Row],[HalfWidth]],DiscreteStatsTable[[#This Row],[BatchMeansHalfWidth]])</f>
        <v>0</v>
      </c>
      <c r="X75" s="5" cm="1">
        <f t="array" ref="X75">COUNT(IF((DiscreteStatsTable[GroupByKey]=DiscreteStatsTable[[#This Row],[GroupByKey]]),(DiscreteStatsTable[GroupByKey]=DiscreteStatsTable[[#This Row],[GroupByKey]])*DiscreteStatsTable[Replication]))</f>
        <v>10</v>
      </c>
      <c r="Y75" s="5">
        <f>IF(DiscreteStatsTable[[#This Row],[RepsRequested]]=DiscreteStatsTable[[#This Row],[RepsWithStatObserved]],1,0)</f>
        <v>1</v>
      </c>
    </row>
    <row r="76" spans="1:25" x14ac:dyDescent="0.4">
      <c r="A76" t="s">
        <v>66</v>
      </c>
      <c r="B76" t="s">
        <v>69</v>
      </c>
      <c r="C76">
        <v>5</v>
      </c>
      <c r="D76" t="s">
        <v>81</v>
      </c>
      <c r="E76" t="s">
        <v>79</v>
      </c>
      <c r="F76" t="s">
        <v>80</v>
      </c>
      <c r="G76">
        <v>0</v>
      </c>
      <c r="H76">
        <v>2E+20</v>
      </c>
      <c r="I76">
        <v>0</v>
      </c>
      <c r="J76">
        <v>0</v>
      </c>
      <c r="K76">
        <v>103</v>
      </c>
      <c r="L76" s="5" t="str">
        <f>DiscreteStatsTable[[#This Row],[ProjectName]]&amp;DiscreteStatsTable[[#This Row],[Name]]&amp;DiscreteStatsTable[[#This Row],[Type]]&amp;DiscreteStatsTable[[#This Row],[Source]]</f>
        <v>Unnamed ProjectHold M2.QueueWaiting TimeQueue</v>
      </c>
      <c r="M76" s="5" cm="1">
        <f t="array" ref="M76">MAX(IF((ProjectInfoTable[ProjectName]=DiscreteStatsTable[[#This Row],[ProjectName]]),(ProjectInfoTable[ProjectName]=DiscreteStatsTable[[#This Row],[ProjectName]])*ProjectInfoTable[NumberOfReplications]))</f>
        <v>10</v>
      </c>
      <c r="N76" s="5" cm="1">
        <f t="array" ref="N76">IFERROR(AVERAGE(IF((DiscreteStatsTable[GroupByKey]=DiscreteStatsTable[[#This Row],[GroupByKey]]),(DiscreteStatsTable[GroupByKey]=DiscreteStatsTable[[#This Row],[GroupByKey]])*DiscreteStatsTable[Average])),0)</f>
        <v>0</v>
      </c>
      <c r="O76" s="5" cm="1">
        <f t="array" ref="O76">IFERROR(_xlfn.STDEV.S(IF((DiscreteStatsTable[GroupByKey]=DiscreteStatsTable[[#This Row],[GroupByKey]]),(DiscreteStatsTable[GroupByKey]=DiscreteStatsTable[[#This Row],[GroupByKey]])*DiscreteStatsTable[Average])),0)</f>
        <v>0</v>
      </c>
      <c r="P76" s="5" cm="1">
        <f t="array" ref="P76">MAX(IF((ProjectInfoTable[ProjectName]=DiscreteStatsTable[[#This Row],[ProjectName]]),(ProjectInfoTable[ProjectName]=DiscreteStatsTable[[#This Row],[ProjectName]])*ProjectInfoTable[ConfidenceInterval]))</f>
        <v>0.95</v>
      </c>
      <c r="Q76" s="5">
        <f>IF(AND(DiscreteStatsTable[[#This Row],[RepsWithStatObserved]]=1,Y76=0),200000000000000000000,IFERROR(_xlfn.T.INV.2T(1 -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6" s="5" cm="1">
        <f t="array" ref="R76">MIN(IF((DiscreteStatsTable[GroupByKey]=DiscreteStatsTable[[#This Row],[GroupByKey]]),(DiscreteStatsTable[GroupByKey]=DiscreteStatsTable[[#This Row],[GroupByKey]])*DiscreteStatsTable[Average]))</f>
        <v>0</v>
      </c>
      <c r="S76" s="5" cm="1">
        <f t="array" ref="S76">MAX(IF((DiscreteStatsTable[GroupByKey]=DiscreteStatsTable[[#This Row],[GroupByKey]]),(DiscreteStatsTable[GroupByKey]=DiscreteStatsTable[[#This Row],[GroupByKey]])*DiscreteStatsTable[Average]))</f>
        <v>0</v>
      </c>
      <c r="T76" s="5" cm="1">
        <f t="array" ref="T76">MIN(IF((DiscreteStatsTable[GroupByKey]=DiscreteStatsTable[[#This Row],[GroupByKey]]),(DiscreteStatsTable[GroupByKey]=DiscreteStatsTable[[#This Row],[GroupByKey]])*DiscreteStatsTable[Minimum]))</f>
        <v>0</v>
      </c>
      <c r="U76" s="5" cm="1">
        <f t="array" ref="U76">MAX(IF((DiscreteStatsTable[GroupByKey]=DiscreteStatsTable[[#This Row],[GroupByKey]]),(DiscreteStatsTable[GroupByKey]=DiscreteStatsTable[[#This Row],[GroupByKey]])*DiscreteStatsTable[Maximum]))</f>
        <v>0</v>
      </c>
      <c r="V76" s="5" cm="1">
        <f t="array" ref="V76">IFERROR(AVERAGE(IF((DiscreteStatsTable[GroupByKey]=DiscreteStatsTable[[#This Row],[GroupByKey]]),(DiscreteStatsTable[GroupByKey]=DiscreteStatsTable[[#This Row],[GroupByKey]])*DiscreteStatsTable[NumberObservations])),0)</f>
        <v>119.5</v>
      </c>
      <c r="W76" s="5">
        <f>IF((DiscreteStatsTable[[#This Row],[RepsRequested]]&gt;1),DiscreteStatsTable[[#This Row],[HalfWidth]],DiscreteStatsTable[[#This Row],[BatchMeansHalfWidth]])</f>
        <v>0</v>
      </c>
      <c r="X76" s="5" cm="1">
        <f t="array" ref="X76">COUNT(IF((DiscreteStatsTable[GroupByKey]=DiscreteStatsTable[[#This Row],[GroupByKey]]),(DiscreteStatsTable[GroupByKey]=DiscreteStatsTable[[#This Row],[GroupByKey]])*DiscreteStatsTable[Replication]))</f>
        <v>10</v>
      </c>
      <c r="Y76" s="5">
        <f>IF(DiscreteStatsTable[[#This Row],[RepsRequested]]=DiscreteStatsTable[[#This Row],[RepsWithStatObserved]],1,0)</f>
        <v>1</v>
      </c>
    </row>
    <row r="77" spans="1:25" x14ac:dyDescent="0.4">
      <c r="A77" t="s">
        <v>66</v>
      </c>
      <c r="B77" t="s">
        <v>69</v>
      </c>
      <c r="C77">
        <v>6</v>
      </c>
      <c r="D77" t="s">
        <v>81</v>
      </c>
      <c r="E77" t="s">
        <v>79</v>
      </c>
      <c r="F77" t="s">
        <v>80</v>
      </c>
      <c r="G77">
        <v>0</v>
      </c>
      <c r="H77">
        <v>2E+20</v>
      </c>
      <c r="I77">
        <v>0</v>
      </c>
      <c r="J77">
        <v>0</v>
      </c>
      <c r="K77">
        <v>133</v>
      </c>
      <c r="L77" s="5" t="str">
        <f>DiscreteStatsTable[[#This Row],[ProjectName]]&amp;DiscreteStatsTable[[#This Row],[Name]]&amp;DiscreteStatsTable[[#This Row],[Type]]&amp;DiscreteStatsTable[[#This Row],[Source]]</f>
        <v>Unnamed ProjectHold M2.QueueWaiting TimeQueue</v>
      </c>
      <c r="M77" s="5" cm="1">
        <f t="array" ref="M77">MAX(IF((ProjectInfoTable[ProjectName]=DiscreteStatsTable[[#This Row],[ProjectName]]),(ProjectInfoTable[ProjectName]=DiscreteStatsTable[[#This Row],[ProjectName]])*ProjectInfoTable[NumberOfReplications]))</f>
        <v>10</v>
      </c>
      <c r="N77" s="5" cm="1">
        <f t="array" ref="N77">IFERROR(AVERAGE(IF((DiscreteStatsTable[GroupByKey]=DiscreteStatsTable[[#This Row],[GroupByKey]]),(DiscreteStatsTable[GroupByKey]=DiscreteStatsTable[[#This Row],[GroupByKey]])*DiscreteStatsTable[Average])),0)</f>
        <v>0</v>
      </c>
      <c r="O77" s="5" cm="1">
        <f t="array" ref="O77">IFERROR(_xlfn.STDEV.S(IF((DiscreteStatsTable[GroupByKey]=DiscreteStatsTable[[#This Row],[GroupByKey]]),(DiscreteStatsTable[GroupByKey]=DiscreteStatsTable[[#This Row],[GroupByKey]])*DiscreteStatsTable[Average])),0)</f>
        <v>0</v>
      </c>
      <c r="P77" s="5" cm="1">
        <f t="array" ref="P77">MAX(IF((ProjectInfoTable[ProjectName]=DiscreteStatsTable[[#This Row],[ProjectName]]),(ProjectInfoTable[ProjectName]=DiscreteStatsTable[[#This Row],[ProjectName]])*ProjectInfoTable[ConfidenceInterval]))</f>
        <v>0.95</v>
      </c>
      <c r="Q77" s="5">
        <f>IF(AND(DiscreteStatsTable[[#This Row],[RepsWithStatObserved]]=1,Y77=0),200000000000000000000,IFERROR(_xlfn.T.INV.2T(1 -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" s="5" cm="1">
        <f t="array" ref="R77">MIN(IF((DiscreteStatsTable[GroupByKey]=DiscreteStatsTable[[#This Row],[GroupByKey]]),(DiscreteStatsTable[GroupByKey]=DiscreteStatsTable[[#This Row],[GroupByKey]])*DiscreteStatsTable[Average]))</f>
        <v>0</v>
      </c>
      <c r="S77" s="5" cm="1">
        <f t="array" ref="S77">MAX(IF((DiscreteStatsTable[GroupByKey]=DiscreteStatsTable[[#This Row],[GroupByKey]]),(DiscreteStatsTable[GroupByKey]=DiscreteStatsTable[[#This Row],[GroupByKey]])*DiscreteStatsTable[Average]))</f>
        <v>0</v>
      </c>
      <c r="T77" s="5" cm="1">
        <f t="array" ref="T77">MIN(IF((DiscreteStatsTable[GroupByKey]=DiscreteStatsTable[[#This Row],[GroupByKey]]),(DiscreteStatsTable[GroupByKey]=DiscreteStatsTable[[#This Row],[GroupByKey]])*DiscreteStatsTable[Minimum]))</f>
        <v>0</v>
      </c>
      <c r="U77" s="5" cm="1">
        <f t="array" ref="U77">MAX(IF((DiscreteStatsTable[GroupByKey]=DiscreteStatsTable[[#This Row],[GroupByKey]]),(DiscreteStatsTable[GroupByKey]=DiscreteStatsTable[[#This Row],[GroupByKey]])*DiscreteStatsTable[Maximum]))</f>
        <v>0</v>
      </c>
      <c r="V77" s="5" cm="1">
        <f t="array" ref="V77">IFERROR(AVERAGE(IF((DiscreteStatsTable[GroupByKey]=DiscreteStatsTable[[#This Row],[GroupByKey]]),(DiscreteStatsTable[GroupByKey]=DiscreteStatsTable[[#This Row],[GroupByKey]])*DiscreteStatsTable[NumberObservations])),0)</f>
        <v>119.5</v>
      </c>
      <c r="W77" s="5">
        <f>IF((DiscreteStatsTable[[#This Row],[RepsRequested]]&gt;1),DiscreteStatsTable[[#This Row],[HalfWidth]],DiscreteStatsTable[[#This Row],[BatchMeansHalfWidth]])</f>
        <v>0</v>
      </c>
      <c r="X77" s="5" cm="1">
        <f t="array" ref="X77">COUNT(IF((DiscreteStatsTable[GroupByKey]=DiscreteStatsTable[[#This Row],[GroupByKey]]),(DiscreteStatsTable[GroupByKey]=DiscreteStatsTable[[#This Row],[GroupByKey]])*DiscreteStatsTable[Replication]))</f>
        <v>10</v>
      </c>
      <c r="Y77" s="5">
        <f>IF(DiscreteStatsTable[[#This Row],[RepsRequested]]=DiscreteStatsTable[[#This Row],[RepsWithStatObserved]],1,0)</f>
        <v>1</v>
      </c>
    </row>
    <row r="78" spans="1:25" x14ac:dyDescent="0.4">
      <c r="A78" t="s">
        <v>66</v>
      </c>
      <c r="B78" t="s">
        <v>69</v>
      </c>
      <c r="C78">
        <v>7</v>
      </c>
      <c r="D78" t="s">
        <v>81</v>
      </c>
      <c r="E78" t="s">
        <v>79</v>
      </c>
      <c r="F78" t="s">
        <v>80</v>
      </c>
      <c r="G78">
        <v>0</v>
      </c>
      <c r="H78">
        <v>2E+20</v>
      </c>
      <c r="I78">
        <v>0</v>
      </c>
      <c r="J78">
        <v>0</v>
      </c>
      <c r="K78">
        <v>111</v>
      </c>
      <c r="L78" s="5" t="str">
        <f>DiscreteStatsTable[[#This Row],[ProjectName]]&amp;DiscreteStatsTable[[#This Row],[Name]]&amp;DiscreteStatsTable[[#This Row],[Type]]&amp;DiscreteStatsTable[[#This Row],[Source]]</f>
        <v>Unnamed ProjectHold M2.QueueWaiting TimeQueue</v>
      </c>
      <c r="M78" s="5" cm="1">
        <f t="array" ref="M78">MAX(IF((ProjectInfoTable[ProjectName]=DiscreteStatsTable[[#This Row],[ProjectName]]),(ProjectInfoTable[ProjectName]=DiscreteStatsTable[[#This Row],[ProjectName]])*ProjectInfoTable[NumberOfReplications]))</f>
        <v>10</v>
      </c>
      <c r="N78" s="5" cm="1">
        <f t="array" ref="N78">IFERROR(AVERAGE(IF((DiscreteStatsTable[GroupByKey]=DiscreteStatsTable[[#This Row],[GroupByKey]]),(DiscreteStatsTable[GroupByKey]=DiscreteStatsTable[[#This Row],[GroupByKey]])*DiscreteStatsTable[Average])),0)</f>
        <v>0</v>
      </c>
      <c r="O78" s="5" cm="1">
        <f t="array" ref="O78">IFERROR(_xlfn.STDEV.S(IF((DiscreteStatsTable[GroupByKey]=DiscreteStatsTable[[#This Row],[GroupByKey]]),(DiscreteStatsTable[GroupByKey]=DiscreteStatsTable[[#This Row],[GroupByKey]])*DiscreteStatsTable[Average])),0)</f>
        <v>0</v>
      </c>
      <c r="P78" s="5" cm="1">
        <f t="array" ref="P78">MAX(IF((ProjectInfoTable[ProjectName]=DiscreteStatsTable[[#This Row],[ProjectName]]),(ProjectInfoTable[ProjectName]=DiscreteStatsTable[[#This Row],[ProjectName]])*ProjectInfoTable[ConfidenceInterval]))</f>
        <v>0.95</v>
      </c>
      <c r="Q78" s="5">
        <f>IF(AND(DiscreteStatsTable[[#This Row],[RepsWithStatObserved]]=1,Y78=0),200000000000000000000,IFERROR(_xlfn.T.INV.2T(1 -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" s="5" cm="1">
        <f t="array" ref="R78">MIN(IF((DiscreteStatsTable[GroupByKey]=DiscreteStatsTable[[#This Row],[GroupByKey]]),(DiscreteStatsTable[GroupByKey]=DiscreteStatsTable[[#This Row],[GroupByKey]])*DiscreteStatsTable[Average]))</f>
        <v>0</v>
      </c>
      <c r="S78" s="5" cm="1">
        <f t="array" ref="S78">MAX(IF((DiscreteStatsTable[GroupByKey]=DiscreteStatsTable[[#This Row],[GroupByKey]]),(DiscreteStatsTable[GroupByKey]=DiscreteStatsTable[[#This Row],[GroupByKey]])*DiscreteStatsTable[Average]))</f>
        <v>0</v>
      </c>
      <c r="T78" s="5" cm="1">
        <f t="array" ref="T78">MIN(IF((DiscreteStatsTable[GroupByKey]=DiscreteStatsTable[[#This Row],[GroupByKey]]),(DiscreteStatsTable[GroupByKey]=DiscreteStatsTable[[#This Row],[GroupByKey]])*DiscreteStatsTable[Minimum]))</f>
        <v>0</v>
      </c>
      <c r="U78" s="5" cm="1">
        <f t="array" ref="U78">MAX(IF((DiscreteStatsTable[GroupByKey]=DiscreteStatsTable[[#This Row],[GroupByKey]]),(DiscreteStatsTable[GroupByKey]=DiscreteStatsTable[[#This Row],[GroupByKey]])*DiscreteStatsTable[Maximum]))</f>
        <v>0</v>
      </c>
      <c r="V78" s="5" cm="1">
        <f t="array" ref="V78">IFERROR(AVERAGE(IF((DiscreteStatsTable[GroupByKey]=DiscreteStatsTable[[#This Row],[GroupByKey]]),(DiscreteStatsTable[GroupByKey]=DiscreteStatsTable[[#This Row],[GroupByKey]])*DiscreteStatsTable[NumberObservations])),0)</f>
        <v>119.5</v>
      </c>
      <c r="W78" s="5">
        <f>IF((DiscreteStatsTable[[#This Row],[RepsRequested]]&gt;1),DiscreteStatsTable[[#This Row],[HalfWidth]],DiscreteStatsTable[[#This Row],[BatchMeansHalfWidth]])</f>
        <v>0</v>
      </c>
      <c r="X78" s="5" cm="1">
        <f t="array" ref="X78">COUNT(IF((DiscreteStatsTable[GroupByKey]=DiscreteStatsTable[[#This Row],[GroupByKey]]),(DiscreteStatsTable[GroupByKey]=DiscreteStatsTable[[#This Row],[GroupByKey]])*DiscreteStatsTable[Replication]))</f>
        <v>10</v>
      </c>
      <c r="Y78" s="5">
        <f>IF(DiscreteStatsTable[[#This Row],[RepsRequested]]=DiscreteStatsTable[[#This Row],[RepsWithStatObserved]],1,0)</f>
        <v>1</v>
      </c>
    </row>
    <row r="79" spans="1:25" x14ac:dyDescent="0.4">
      <c r="A79" t="s">
        <v>66</v>
      </c>
      <c r="B79" t="s">
        <v>69</v>
      </c>
      <c r="C79">
        <v>8</v>
      </c>
      <c r="D79" t="s">
        <v>81</v>
      </c>
      <c r="E79" t="s">
        <v>79</v>
      </c>
      <c r="F79" t="s">
        <v>80</v>
      </c>
      <c r="G79">
        <v>0</v>
      </c>
      <c r="H79">
        <v>2E+20</v>
      </c>
      <c r="I79">
        <v>0</v>
      </c>
      <c r="J79">
        <v>0</v>
      </c>
      <c r="K79">
        <v>125</v>
      </c>
      <c r="L79" s="5" t="str">
        <f>DiscreteStatsTable[[#This Row],[ProjectName]]&amp;DiscreteStatsTable[[#This Row],[Name]]&amp;DiscreteStatsTable[[#This Row],[Type]]&amp;DiscreteStatsTable[[#This Row],[Source]]</f>
        <v>Unnamed ProjectHold M2.QueueWaiting TimeQueue</v>
      </c>
      <c r="M79" s="5" cm="1">
        <f t="array" ref="M79">MAX(IF((ProjectInfoTable[ProjectName]=DiscreteStatsTable[[#This Row],[ProjectName]]),(ProjectInfoTable[ProjectName]=DiscreteStatsTable[[#This Row],[ProjectName]])*ProjectInfoTable[NumberOfReplications]))</f>
        <v>10</v>
      </c>
      <c r="N79" s="5" cm="1">
        <f t="array" ref="N79">IFERROR(AVERAGE(IF((DiscreteStatsTable[GroupByKey]=DiscreteStatsTable[[#This Row],[GroupByKey]]),(DiscreteStatsTable[GroupByKey]=DiscreteStatsTable[[#This Row],[GroupByKey]])*DiscreteStatsTable[Average])),0)</f>
        <v>0</v>
      </c>
      <c r="O79" s="5" cm="1">
        <f t="array" ref="O79">IFERROR(_xlfn.STDEV.S(IF((DiscreteStatsTable[GroupByKey]=DiscreteStatsTable[[#This Row],[GroupByKey]]),(DiscreteStatsTable[GroupByKey]=DiscreteStatsTable[[#This Row],[GroupByKey]])*DiscreteStatsTable[Average])),0)</f>
        <v>0</v>
      </c>
      <c r="P79" s="5" cm="1">
        <f t="array" ref="P79">MAX(IF((ProjectInfoTable[ProjectName]=DiscreteStatsTable[[#This Row],[ProjectName]]),(ProjectInfoTable[ProjectName]=DiscreteStatsTable[[#This Row],[ProjectName]])*ProjectInfoTable[ConfidenceInterval]))</f>
        <v>0.95</v>
      </c>
      <c r="Q79" s="5">
        <f>IF(AND(DiscreteStatsTable[[#This Row],[RepsWithStatObserved]]=1,Y79=0),200000000000000000000,IFERROR(_xlfn.T.INV.2T(1 -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9" s="5" cm="1">
        <f t="array" ref="R79">MIN(IF((DiscreteStatsTable[GroupByKey]=DiscreteStatsTable[[#This Row],[GroupByKey]]),(DiscreteStatsTable[GroupByKey]=DiscreteStatsTable[[#This Row],[GroupByKey]])*DiscreteStatsTable[Average]))</f>
        <v>0</v>
      </c>
      <c r="S79" s="5" cm="1">
        <f t="array" ref="S79">MAX(IF((DiscreteStatsTable[GroupByKey]=DiscreteStatsTable[[#This Row],[GroupByKey]]),(DiscreteStatsTable[GroupByKey]=DiscreteStatsTable[[#This Row],[GroupByKey]])*DiscreteStatsTable[Average]))</f>
        <v>0</v>
      </c>
      <c r="T79" s="5" cm="1">
        <f t="array" ref="T79">MIN(IF((DiscreteStatsTable[GroupByKey]=DiscreteStatsTable[[#This Row],[GroupByKey]]),(DiscreteStatsTable[GroupByKey]=DiscreteStatsTable[[#This Row],[GroupByKey]])*DiscreteStatsTable[Minimum]))</f>
        <v>0</v>
      </c>
      <c r="U79" s="5" cm="1">
        <f t="array" ref="U79">MAX(IF((DiscreteStatsTable[GroupByKey]=DiscreteStatsTable[[#This Row],[GroupByKey]]),(DiscreteStatsTable[GroupByKey]=DiscreteStatsTable[[#This Row],[GroupByKey]])*DiscreteStatsTable[Maximum]))</f>
        <v>0</v>
      </c>
      <c r="V79" s="5" cm="1">
        <f t="array" ref="V79">IFERROR(AVERAGE(IF((DiscreteStatsTable[GroupByKey]=DiscreteStatsTable[[#This Row],[GroupByKey]]),(DiscreteStatsTable[GroupByKey]=DiscreteStatsTable[[#This Row],[GroupByKey]])*DiscreteStatsTable[NumberObservations])),0)</f>
        <v>119.5</v>
      </c>
      <c r="W79" s="5">
        <f>IF((DiscreteStatsTable[[#This Row],[RepsRequested]]&gt;1),DiscreteStatsTable[[#This Row],[HalfWidth]],DiscreteStatsTable[[#This Row],[BatchMeansHalfWidth]])</f>
        <v>0</v>
      </c>
      <c r="X79" s="5" cm="1">
        <f t="array" ref="X79">COUNT(IF((DiscreteStatsTable[GroupByKey]=DiscreteStatsTable[[#This Row],[GroupByKey]]),(DiscreteStatsTable[GroupByKey]=DiscreteStatsTable[[#This Row],[GroupByKey]])*DiscreteStatsTable[Replication]))</f>
        <v>10</v>
      </c>
      <c r="Y79" s="5">
        <f>IF(DiscreteStatsTable[[#This Row],[RepsRequested]]=DiscreteStatsTable[[#This Row],[RepsWithStatObserved]],1,0)</f>
        <v>1</v>
      </c>
    </row>
    <row r="80" spans="1:25" x14ac:dyDescent="0.4">
      <c r="A80" t="s">
        <v>66</v>
      </c>
      <c r="B80" t="s">
        <v>69</v>
      </c>
      <c r="C80">
        <v>9</v>
      </c>
      <c r="D80" t="s">
        <v>81</v>
      </c>
      <c r="E80" t="s">
        <v>79</v>
      </c>
      <c r="F80" t="s">
        <v>80</v>
      </c>
      <c r="G80">
        <v>0</v>
      </c>
      <c r="H80">
        <v>2E+20</v>
      </c>
      <c r="I80">
        <v>0</v>
      </c>
      <c r="J80">
        <v>0</v>
      </c>
      <c r="K80">
        <v>124</v>
      </c>
      <c r="L80" s="5" t="str">
        <f>DiscreteStatsTable[[#This Row],[ProjectName]]&amp;DiscreteStatsTable[[#This Row],[Name]]&amp;DiscreteStatsTable[[#This Row],[Type]]&amp;DiscreteStatsTable[[#This Row],[Source]]</f>
        <v>Unnamed ProjectHold M2.QueueWaiting TimeQueue</v>
      </c>
      <c r="M80" s="5" cm="1">
        <f t="array" ref="M80">MAX(IF((ProjectInfoTable[ProjectName]=DiscreteStatsTable[[#This Row],[ProjectName]]),(ProjectInfoTable[ProjectName]=DiscreteStatsTable[[#This Row],[ProjectName]])*ProjectInfoTable[NumberOfReplications]))</f>
        <v>10</v>
      </c>
      <c r="N80" s="5" cm="1">
        <f t="array" ref="N80">IFERROR(AVERAGE(IF((DiscreteStatsTable[GroupByKey]=DiscreteStatsTable[[#This Row],[GroupByKey]]),(DiscreteStatsTable[GroupByKey]=DiscreteStatsTable[[#This Row],[GroupByKey]])*DiscreteStatsTable[Average])),0)</f>
        <v>0</v>
      </c>
      <c r="O80" s="5" cm="1">
        <f t="array" ref="O80">IFERROR(_xlfn.STDEV.S(IF((DiscreteStatsTable[GroupByKey]=DiscreteStatsTable[[#This Row],[GroupByKey]]),(DiscreteStatsTable[GroupByKey]=DiscreteStatsTable[[#This Row],[GroupByKey]])*DiscreteStatsTable[Average])),0)</f>
        <v>0</v>
      </c>
      <c r="P80" s="5" cm="1">
        <f t="array" ref="P80">MAX(IF((ProjectInfoTable[ProjectName]=DiscreteStatsTable[[#This Row],[ProjectName]]),(ProjectInfoTable[ProjectName]=DiscreteStatsTable[[#This Row],[ProjectName]])*ProjectInfoTable[ConfidenceInterval]))</f>
        <v>0.95</v>
      </c>
      <c r="Q80" s="5">
        <f>IF(AND(DiscreteStatsTable[[#This Row],[RepsWithStatObserved]]=1,Y80=0),200000000000000000000,IFERROR(_xlfn.T.INV.2T(1 -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" s="5" cm="1">
        <f t="array" ref="R80">MIN(IF((DiscreteStatsTable[GroupByKey]=DiscreteStatsTable[[#This Row],[GroupByKey]]),(DiscreteStatsTable[GroupByKey]=DiscreteStatsTable[[#This Row],[GroupByKey]])*DiscreteStatsTable[Average]))</f>
        <v>0</v>
      </c>
      <c r="S80" s="5" cm="1">
        <f t="array" ref="S80">MAX(IF((DiscreteStatsTable[GroupByKey]=DiscreteStatsTable[[#This Row],[GroupByKey]]),(DiscreteStatsTable[GroupByKey]=DiscreteStatsTable[[#This Row],[GroupByKey]])*DiscreteStatsTable[Average]))</f>
        <v>0</v>
      </c>
      <c r="T80" s="5" cm="1">
        <f t="array" ref="T80">MIN(IF((DiscreteStatsTable[GroupByKey]=DiscreteStatsTable[[#This Row],[GroupByKey]]),(DiscreteStatsTable[GroupByKey]=DiscreteStatsTable[[#This Row],[GroupByKey]])*DiscreteStatsTable[Minimum]))</f>
        <v>0</v>
      </c>
      <c r="U80" s="5" cm="1">
        <f t="array" ref="U80">MAX(IF((DiscreteStatsTable[GroupByKey]=DiscreteStatsTable[[#This Row],[GroupByKey]]),(DiscreteStatsTable[GroupByKey]=DiscreteStatsTable[[#This Row],[GroupByKey]])*DiscreteStatsTable[Maximum]))</f>
        <v>0</v>
      </c>
      <c r="V80" s="5" cm="1">
        <f t="array" ref="V80">IFERROR(AVERAGE(IF((DiscreteStatsTable[GroupByKey]=DiscreteStatsTable[[#This Row],[GroupByKey]]),(DiscreteStatsTable[GroupByKey]=DiscreteStatsTable[[#This Row],[GroupByKey]])*DiscreteStatsTable[NumberObservations])),0)</f>
        <v>119.5</v>
      </c>
      <c r="W80" s="5">
        <f>IF((DiscreteStatsTable[[#This Row],[RepsRequested]]&gt;1),DiscreteStatsTable[[#This Row],[HalfWidth]],DiscreteStatsTable[[#This Row],[BatchMeansHalfWidth]])</f>
        <v>0</v>
      </c>
      <c r="X80" s="5" cm="1">
        <f t="array" ref="X80">COUNT(IF((DiscreteStatsTable[GroupByKey]=DiscreteStatsTable[[#This Row],[GroupByKey]]),(DiscreteStatsTable[GroupByKey]=DiscreteStatsTable[[#This Row],[GroupByKey]])*DiscreteStatsTable[Replication]))</f>
        <v>10</v>
      </c>
      <c r="Y80" s="5">
        <f>IF(DiscreteStatsTable[[#This Row],[RepsRequested]]=DiscreteStatsTable[[#This Row],[RepsWithStatObserved]],1,0)</f>
        <v>1</v>
      </c>
    </row>
    <row r="81" spans="1:25" x14ac:dyDescent="0.4">
      <c r="A81" t="s">
        <v>66</v>
      </c>
      <c r="B81" t="s">
        <v>69</v>
      </c>
      <c r="C81">
        <v>10</v>
      </c>
      <c r="D81" t="s">
        <v>81</v>
      </c>
      <c r="E81" t="s">
        <v>79</v>
      </c>
      <c r="F81" t="s">
        <v>80</v>
      </c>
      <c r="G81">
        <v>0</v>
      </c>
      <c r="H81">
        <v>2E+20</v>
      </c>
      <c r="I81">
        <v>0</v>
      </c>
      <c r="J81">
        <v>0</v>
      </c>
      <c r="K81">
        <v>117</v>
      </c>
      <c r="L81" s="5" t="str">
        <f>DiscreteStatsTable[[#This Row],[ProjectName]]&amp;DiscreteStatsTable[[#This Row],[Name]]&amp;DiscreteStatsTable[[#This Row],[Type]]&amp;DiscreteStatsTable[[#This Row],[Source]]</f>
        <v>Unnamed ProjectHold M2.QueueWaiting TimeQueue</v>
      </c>
      <c r="M81" s="5" cm="1">
        <f t="array" ref="M81">MAX(IF((ProjectInfoTable[ProjectName]=DiscreteStatsTable[[#This Row],[ProjectName]]),(ProjectInfoTable[ProjectName]=DiscreteStatsTable[[#This Row],[ProjectName]])*ProjectInfoTable[NumberOfReplications]))</f>
        <v>10</v>
      </c>
      <c r="N81" s="5" cm="1">
        <f t="array" ref="N81">IFERROR(AVERAGE(IF((DiscreteStatsTable[GroupByKey]=DiscreteStatsTable[[#This Row],[GroupByKey]]),(DiscreteStatsTable[GroupByKey]=DiscreteStatsTable[[#This Row],[GroupByKey]])*DiscreteStatsTable[Average])),0)</f>
        <v>0</v>
      </c>
      <c r="O81" s="5" cm="1">
        <f t="array" ref="O81">IFERROR(_xlfn.STDEV.S(IF((DiscreteStatsTable[GroupByKey]=DiscreteStatsTable[[#This Row],[GroupByKey]]),(DiscreteStatsTable[GroupByKey]=DiscreteStatsTable[[#This Row],[GroupByKey]])*DiscreteStatsTable[Average])),0)</f>
        <v>0</v>
      </c>
      <c r="P81" s="5" cm="1">
        <f t="array" ref="P81">MAX(IF((ProjectInfoTable[ProjectName]=DiscreteStatsTable[[#This Row],[ProjectName]]),(ProjectInfoTable[ProjectName]=DiscreteStatsTable[[#This Row],[ProjectName]])*ProjectInfoTable[ConfidenceInterval]))</f>
        <v>0.95</v>
      </c>
      <c r="Q81" s="5">
        <f>IF(AND(DiscreteStatsTable[[#This Row],[RepsWithStatObserved]]=1,Y81=0),200000000000000000000,IFERROR(_xlfn.T.INV.2T(1 -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" s="5" cm="1">
        <f t="array" ref="R81">MIN(IF((DiscreteStatsTable[GroupByKey]=DiscreteStatsTable[[#This Row],[GroupByKey]]),(DiscreteStatsTable[GroupByKey]=DiscreteStatsTable[[#This Row],[GroupByKey]])*DiscreteStatsTable[Average]))</f>
        <v>0</v>
      </c>
      <c r="S81" s="5" cm="1">
        <f t="array" ref="S81">MAX(IF((DiscreteStatsTable[GroupByKey]=DiscreteStatsTable[[#This Row],[GroupByKey]]),(DiscreteStatsTable[GroupByKey]=DiscreteStatsTable[[#This Row],[GroupByKey]])*DiscreteStatsTable[Average]))</f>
        <v>0</v>
      </c>
      <c r="T81" s="5" cm="1">
        <f t="array" ref="T81">MIN(IF((DiscreteStatsTable[GroupByKey]=DiscreteStatsTable[[#This Row],[GroupByKey]]),(DiscreteStatsTable[GroupByKey]=DiscreteStatsTable[[#This Row],[GroupByKey]])*DiscreteStatsTable[Minimum]))</f>
        <v>0</v>
      </c>
      <c r="U81" s="5" cm="1">
        <f t="array" ref="U81">MAX(IF((DiscreteStatsTable[GroupByKey]=DiscreteStatsTable[[#This Row],[GroupByKey]]),(DiscreteStatsTable[GroupByKey]=DiscreteStatsTable[[#This Row],[GroupByKey]])*DiscreteStatsTable[Maximum]))</f>
        <v>0</v>
      </c>
      <c r="V81" s="5" cm="1">
        <f t="array" ref="V81">IFERROR(AVERAGE(IF((DiscreteStatsTable[GroupByKey]=DiscreteStatsTable[[#This Row],[GroupByKey]]),(DiscreteStatsTable[GroupByKey]=DiscreteStatsTable[[#This Row],[GroupByKey]])*DiscreteStatsTable[NumberObservations])),0)</f>
        <v>119.5</v>
      </c>
      <c r="W81" s="5">
        <f>IF((DiscreteStatsTable[[#This Row],[RepsRequested]]&gt;1),DiscreteStatsTable[[#This Row],[HalfWidth]],DiscreteStatsTable[[#This Row],[BatchMeansHalfWidth]])</f>
        <v>0</v>
      </c>
      <c r="X81" s="5" cm="1">
        <f t="array" ref="X81">COUNT(IF((DiscreteStatsTable[GroupByKey]=DiscreteStatsTable[[#This Row],[GroupByKey]]),(DiscreteStatsTable[GroupByKey]=DiscreteStatsTable[[#This Row],[GroupByKey]])*DiscreteStatsTable[Replication]))</f>
        <v>10</v>
      </c>
      <c r="Y81" s="5">
        <f>IF(DiscreteStatsTable[[#This Row],[RepsRequested]]=DiscreteStatsTable[[#This Row],[RepsWithStatObserved]],1,0)</f>
        <v>1</v>
      </c>
    </row>
    <row r="82" spans="1:25" x14ac:dyDescent="0.4">
      <c r="A82" t="s">
        <v>66</v>
      </c>
      <c r="B82" t="s">
        <v>69</v>
      </c>
      <c r="C82">
        <v>1</v>
      </c>
      <c r="D82" t="s">
        <v>82</v>
      </c>
      <c r="E82" t="s">
        <v>79</v>
      </c>
      <c r="F82" t="s">
        <v>80</v>
      </c>
      <c r="G82">
        <v>0</v>
      </c>
      <c r="H82">
        <v>2E+20</v>
      </c>
      <c r="I82">
        <v>0</v>
      </c>
      <c r="J82">
        <v>0</v>
      </c>
      <c r="K82">
        <v>174</v>
      </c>
      <c r="L82" s="5" t="str">
        <f>DiscreteStatsTable[[#This Row],[ProjectName]]&amp;DiscreteStatsTable[[#This Row],[Name]]&amp;DiscreteStatsTable[[#This Row],[Type]]&amp;DiscreteStatsTable[[#This Row],[Source]]</f>
        <v>Unnamed ProjectHold M3.QueueWaiting TimeQueue</v>
      </c>
      <c r="M82" s="5" cm="1">
        <f t="array" ref="M82">MAX(IF((ProjectInfoTable[ProjectName]=DiscreteStatsTable[[#This Row],[ProjectName]]),(ProjectInfoTable[ProjectName]=DiscreteStatsTable[[#This Row],[ProjectName]])*ProjectInfoTable[NumberOfReplications]))</f>
        <v>10</v>
      </c>
      <c r="N82" s="5" cm="1">
        <f t="array" ref="N82">IFERROR(AVERAGE(IF((DiscreteStatsTable[GroupByKey]=DiscreteStatsTable[[#This Row],[GroupByKey]]),(DiscreteStatsTable[GroupByKey]=DiscreteStatsTable[[#This Row],[GroupByKey]])*DiscreteStatsTable[Average])),0)</f>
        <v>0</v>
      </c>
      <c r="O82" s="5" cm="1">
        <f t="array" ref="O82">IFERROR(_xlfn.STDEV.S(IF((DiscreteStatsTable[GroupByKey]=DiscreteStatsTable[[#This Row],[GroupByKey]]),(DiscreteStatsTable[GroupByKey]=DiscreteStatsTable[[#This Row],[GroupByKey]])*DiscreteStatsTable[Average])),0)</f>
        <v>0</v>
      </c>
      <c r="P82" s="5" cm="1">
        <f t="array" ref="P82">MAX(IF((ProjectInfoTable[ProjectName]=DiscreteStatsTable[[#This Row],[ProjectName]]),(ProjectInfoTable[ProjectName]=DiscreteStatsTable[[#This Row],[ProjectName]])*ProjectInfoTable[ConfidenceInterval]))</f>
        <v>0.95</v>
      </c>
      <c r="Q82" s="5">
        <f>IF(AND(DiscreteStatsTable[[#This Row],[RepsWithStatObserved]]=1,Y82=0),200000000000000000000,IFERROR(_xlfn.T.INV.2T(1 -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" s="5" cm="1">
        <f t="array" ref="R82">MIN(IF((DiscreteStatsTable[GroupByKey]=DiscreteStatsTable[[#This Row],[GroupByKey]]),(DiscreteStatsTable[GroupByKey]=DiscreteStatsTable[[#This Row],[GroupByKey]])*DiscreteStatsTable[Average]))</f>
        <v>0</v>
      </c>
      <c r="S82" s="5" cm="1">
        <f t="array" ref="S82">MAX(IF((DiscreteStatsTable[GroupByKey]=DiscreteStatsTable[[#This Row],[GroupByKey]]),(DiscreteStatsTable[GroupByKey]=DiscreteStatsTable[[#This Row],[GroupByKey]])*DiscreteStatsTable[Average]))</f>
        <v>0</v>
      </c>
      <c r="T82" s="5" cm="1">
        <f t="array" ref="T82">MIN(IF((DiscreteStatsTable[GroupByKey]=DiscreteStatsTable[[#This Row],[GroupByKey]]),(DiscreteStatsTable[GroupByKey]=DiscreteStatsTable[[#This Row],[GroupByKey]])*DiscreteStatsTable[Minimum]))</f>
        <v>0</v>
      </c>
      <c r="U82" s="5" cm="1">
        <f t="array" ref="U82">MAX(IF((DiscreteStatsTable[GroupByKey]=DiscreteStatsTable[[#This Row],[GroupByKey]]),(DiscreteStatsTable[GroupByKey]=DiscreteStatsTable[[#This Row],[GroupByKey]])*DiscreteStatsTable[Maximum]))</f>
        <v>0</v>
      </c>
      <c r="V82" s="5" cm="1">
        <f t="array" ref="V82">IFERROR(AVERAGE(IF((DiscreteStatsTable[GroupByKey]=DiscreteStatsTable[[#This Row],[GroupByKey]]),(DiscreteStatsTable[GroupByKey]=DiscreteStatsTable[[#This Row],[GroupByKey]])*DiscreteStatsTable[NumberObservations])),0)</f>
        <v>176.2</v>
      </c>
      <c r="W82" s="5">
        <f>IF((DiscreteStatsTable[[#This Row],[RepsRequested]]&gt;1),DiscreteStatsTable[[#This Row],[HalfWidth]],DiscreteStatsTable[[#This Row],[BatchMeansHalfWidth]])</f>
        <v>0</v>
      </c>
      <c r="X82" s="5" cm="1">
        <f t="array" ref="X82">COUNT(IF((DiscreteStatsTable[GroupByKey]=DiscreteStatsTable[[#This Row],[GroupByKey]]),(DiscreteStatsTable[GroupByKey]=DiscreteStatsTable[[#This Row],[GroupByKey]])*DiscreteStatsTable[Replication]))</f>
        <v>10</v>
      </c>
      <c r="Y82" s="5">
        <f>IF(DiscreteStatsTable[[#This Row],[RepsRequested]]=DiscreteStatsTable[[#This Row],[RepsWithStatObserved]],1,0)</f>
        <v>1</v>
      </c>
    </row>
    <row r="83" spans="1:25" x14ac:dyDescent="0.4">
      <c r="A83" t="s">
        <v>66</v>
      </c>
      <c r="B83" t="s">
        <v>69</v>
      </c>
      <c r="C83">
        <v>2</v>
      </c>
      <c r="D83" t="s">
        <v>82</v>
      </c>
      <c r="E83" t="s">
        <v>79</v>
      </c>
      <c r="F83" t="s">
        <v>80</v>
      </c>
      <c r="G83">
        <v>0</v>
      </c>
      <c r="H83">
        <v>2E+20</v>
      </c>
      <c r="I83">
        <v>0</v>
      </c>
      <c r="J83">
        <v>0</v>
      </c>
      <c r="K83">
        <v>172</v>
      </c>
      <c r="L83" s="5" t="str">
        <f>DiscreteStatsTable[[#This Row],[ProjectName]]&amp;DiscreteStatsTable[[#This Row],[Name]]&amp;DiscreteStatsTable[[#This Row],[Type]]&amp;DiscreteStatsTable[[#This Row],[Source]]</f>
        <v>Unnamed ProjectHold M3.QueueWaiting TimeQueue</v>
      </c>
      <c r="M83" s="5" cm="1">
        <f t="array" ref="M83">MAX(IF((ProjectInfoTable[ProjectName]=DiscreteStatsTable[[#This Row],[ProjectName]]),(ProjectInfoTable[ProjectName]=DiscreteStatsTable[[#This Row],[ProjectName]])*ProjectInfoTable[NumberOfReplications]))</f>
        <v>10</v>
      </c>
      <c r="N83" s="5" cm="1">
        <f t="array" ref="N83">IFERROR(AVERAGE(IF((DiscreteStatsTable[GroupByKey]=DiscreteStatsTable[[#This Row],[GroupByKey]]),(DiscreteStatsTable[GroupByKey]=DiscreteStatsTable[[#This Row],[GroupByKey]])*DiscreteStatsTable[Average])),0)</f>
        <v>0</v>
      </c>
      <c r="O83" s="5" cm="1">
        <f t="array" ref="O83">IFERROR(_xlfn.STDEV.S(IF((DiscreteStatsTable[GroupByKey]=DiscreteStatsTable[[#This Row],[GroupByKey]]),(DiscreteStatsTable[GroupByKey]=DiscreteStatsTable[[#This Row],[GroupByKey]])*DiscreteStatsTable[Average])),0)</f>
        <v>0</v>
      </c>
      <c r="P83" s="5" cm="1">
        <f t="array" ref="P83">MAX(IF((ProjectInfoTable[ProjectName]=DiscreteStatsTable[[#This Row],[ProjectName]]),(ProjectInfoTable[ProjectName]=DiscreteStatsTable[[#This Row],[ProjectName]])*ProjectInfoTable[ConfidenceInterval]))</f>
        <v>0.95</v>
      </c>
      <c r="Q83" s="5">
        <f>IF(AND(DiscreteStatsTable[[#This Row],[RepsWithStatObserved]]=1,Y83=0),200000000000000000000,IFERROR(_xlfn.T.INV.2T(1 -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" s="5" cm="1">
        <f t="array" ref="R83">MIN(IF((DiscreteStatsTable[GroupByKey]=DiscreteStatsTable[[#This Row],[GroupByKey]]),(DiscreteStatsTable[GroupByKey]=DiscreteStatsTable[[#This Row],[GroupByKey]])*DiscreteStatsTable[Average]))</f>
        <v>0</v>
      </c>
      <c r="S83" s="5" cm="1">
        <f t="array" ref="S83">MAX(IF((DiscreteStatsTable[GroupByKey]=DiscreteStatsTable[[#This Row],[GroupByKey]]),(DiscreteStatsTable[GroupByKey]=DiscreteStatsTable[[#This Row],[GroupByKey]])*DiscreteStatsTable[Average]))</f>
        <v>0</v>
      </c>
      <c r="T83" s="5" cm="1">
        <f t="array" ref="T83">MIN(IF((DiscreteStatsTable[GroupByKey]=DiscreteStatsTable[[#This Row],[GroupByKey]]),(DiscreteStatsTable[GroupByKey]=DiscreteStatsTable[[#This Row],[GroupByKey]])*DiscreteStatsTable[Minimum]))</f>
        <v>0</v>
      </c>
      <c r="U83" s="5" cm="1">
        <f t="array" ref="U83">MAX(IF((DiscreteStatsTable[GroupByKey]=DiscreteStatsTable[[#This Row],[GroupByKey]]),(DiscreteStatsTable[GroupByKey]=DiscreteStatsTable[[#This Row],[GroupByKey]])*DiscreteStatsTable[Maximum]))</f>
        <v>0</v>
      </c>
      <c r="V83" s="5" cm="1">
        <f t="array" ref="V83">IFERROR(AVERAGE(IF((DiscreteStatsTable[GroupByKey]=DiscreteStatsTable[[#This Row],[GroupByKey]]),(DiscreteStatsTable[GroupByKey]=DiscreteStatsTable[[#This Row],[GroupByKey]])*DiscreteStatsTable[NumberObservations])),0)</f>
        <v>176.2</v>
      </c>
      <c r="W83" s="5">
        <f>IF((DiscreteStatsTable[[#This Row],[RepsRequested]]&gt;1),DiscreteStatsTable[[#This Row],[HalfWidth]],DiscreteStatsTable[[#This Row],[BatchMeansHalfWidth]])</f>
        <v>0</v>
      </c>
      <c r="X83" s="5" cm="1">
        <f t="array" ref="X83">COUNT(IF((DiscreteStatsTable[GroupByKey]=DiscreteStatsTable[[#This Row],[GroupByKey]]),(DiscreteStatsTable[GroupByKey]=DiscreteStatsTable[[#This Row],[GroupByKey]])*DiscreteStatsTable[Replication]))</f>
        <v>10</v>
      </c>
      <c r="Y83" s="5">
        <f>IF(DiscreteStatsTable[[#This Row],[RepsRequested]]=DiscreteStatsTable[[#This Row],[RepsWithStatObserved]],1,0)</f>
        <v>1</v>
      </c>
    </row>
    <row r="84" spans="1:25" x14ac:dyDescent="0.4">
      <c r="A84" t="s">
        <v>66</v>
      </c>
      <c r="B84" t="s">
        <v>69</v>
      </c>
      <c r="C84">
        <v>3</v>
      </c>
      <c r="D84" t="s">
        <v>82</v>
      </c>
      <c r="E84" t="s">
        <v>79</v>
      </c>
      <c r="F84" t="s">
        <v>80</v>
      </c>
      <c r="G84">
        <v>0</v>
      </c>
      <c r="H84">
        <v>2E+20</v>
      </c>
      <c r="I84">
        <v>0</v>
      </c>
      <c r="J84">
        <v>0</v>
      </c>
      <c r="K84">
        <v>187</v>
      </c>
      <c r="L84" s="5" t="str">
        <f>DiscreteStatsTable[[#This Row],[ProjectName]]&amp;DiscreteStatsTable[[#This Row],[Name]]&amp;DiscreteStatsTable[[#This Row],[Type]]&amp;DiscreteStatsTable[[#This Row],[Source]]</f>
        <v>Unnamed ProjectHold M3.QueueWaiting TimeQueue</v>
      </c>
      <c r="M84" s="5" cm="1">
        <f t="array" ref="M84">MAX(IF((ProjectInfoTable[ProjectName]=DiscreteStatsTable[[#This Row],[ProjectName]]),(ProjectInfoTable[ProjectName]=DiscreteStatsTable[[#This Row],[ProjectName]])*ProjectInfoTable[NumberOfReplications]))</f>
        <v>10</v>
      </c>
      <c r="N84" s="5" cm="1">
        <f t="array" ref="N84">IFERROR(AVERAGE(IF((DiscreteStatsTable[GroupByKey]=DiscreteStatsTable[[#This Row],[GroupByKey]]),(DiscreteStatsTable[GroupByKey]=DiscreteStatsTable[[#This Row],[GroupByKey]])*DiscreteStatsTable[Average])),0)</f>
        <v>0</v>
      </c>
      <c r="O84" s="5" cm="1">
        <f t="array" ref="O84">IFERROR(_xlfn.STDEV.S(IF((DiscreteStatsTable[GroupByKey]=DiscreteStatsTable[[#This Row],[GroupByKey]]),(DiscreteStatsTable[GroupByKey]=DiscreteStatsTable[[#This Row],[GroupByKey]])*DiscreteStatsTable[Average])),0)</f>
        <v>0</v>
      </c>
      <c r="P84" s="5" cm="1">
        <f t="array" ref="P84">MAX(IF((ProjectInfoTable[ProjectName]=DiscreteStatsTable[[#This Row],[ProjectName]]),(ProjectInfoTable[ProjectName]=DiscreteStatsTable[[#This Row],[ProjectName]])*ProjectInfoTable[ConfidenceInterval]))</f>
        <v>0.95</v>
      </c>
      <c r="Q84" s="5">
        <f>IF(AND(DiscreteStatsTable[[#This Row],[RepsWithStatObserved]]=1,Y84=0),200000000000000000000,IFERROR(_xlfn.T.INV.2T(1 -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" s="5" cm="1">
        <f t="array" ref="R84">MIN(IF((DiscreteStatsTable[GroupByKey]=DiscreteStatsTable[[#This Row],[GroupByKey]]),(DiscreteStatsTable[GroupByKey]=DiscreteStatsTable[[#This Row],[GroupByKey]])*DiscreteStatsTable[Average]))</f>
        <v>0</v>
      </c>
      <c r="S84" s="5" cm="1">
        <f t="array" ref="S84">MAX(IF((DiscreteStatsTable[GroupByKey]=DiscreteStatsTable[[#This Row],[GroupByKey]]),(DiscreteStatsTable[GroupByKey]=DiscreteStatsTable[[#This Row],[GroupByKey]])*DiscreteStatsTable[Average]))</f>
        <v>0</v>
      </c>
      <c r="T84" s="5" cm="1">
        <f t="array" ref="T84">MIN(IF((DiscreteStatsTable[GroupByKey]=DiscreteStatsTable[[#This Row],[GroupByKey]]),(DiscreteStatsTable[GroupByKey]=DiscreteStatsTable[[#This Row],[GroupByKey]])*DiscreteStatsTable[Minimum]))</f>
        <v>0</v>
      </c>
      <c r="U84" s="5" cm="1">
        <f t="array" ref="U84">MAX(IF((DiscreteStatsTable[GroupByKey]=DiscreteStatsTable[[#This Row],[GroupByKey]]),(DiscreteStatsTable[GroupByKey]=DiscreteStatsTable[[#This Row],[GroupByKey]])*DiscreteStatsTable[Maximum]))</f>
        <v>0</v>
      </c>
      <c r="V84" s="5" cm="1">
        <f t="array" ref="V84">IFERROR(AVERAGE(IF((DiscreteStatsTable[GroupByKey]=DiscreteStatsTable[[#This Row],[GroupByKey]]),(DiscreteStatsTable[GroupByKey]=DiscreteStatsTable[[#This Row],[GroupByKey]])*DiscreteStatsTable[NumberObservations])),0)</f>
        <v>176.2</v>
      </c>
      <c r="W84" s="5">
        <f>IF((DiscreteStatsTable[[#This Row],[RepsRequested]]&gt;1),DiscreteStatsTable[[#This Row],[HalfWidth]],DiscreteStatsTable[[#This Row],[BatchMeansHalfWidth]])</f>
        <v>0</v>
      </c>
      <c r="X84" s="5" cm="1">
        <f t="array" ref="X84">COUNT(IF((DiscreteStatsTable[GroupByKey]=DiscreteStatsTable[[#This Row],[GroupByKey]]),(DiscreteStatsTable[GroupByKey]=DiscreteStatsTable[[#This Row],[GroupByKey]])*DiscreteStatsTable[Replication]))</f>
        <v>10</v>
      </c>
      <c r="Y84" s="5">
        <f>IF(DiscreteStatsTable[[#This Row],[RepsRequested]]=DiscreteStatsTable[[#This Row],[RepsWithStatObserved]],1,0)</f>
        <v>1</v>
      </c>
    </row>
    <row r="85" spans="1:25" x14ac:dyDescent="0.4">
      <c r="A85" t="s">
        <v>66</v>
      </c>
      <c r="B85" t="s">
        <v>69</v>
      </c>
      <c r="C85">
        <v>4</v>
      </c>
      <c r="D85" t="s">
        <v>82</v>
      </c>
      <c r="E85" t="s">
        <v>79</v>
      </c>
      <c r="F85" t="s">
        <v>80</v>
      </c>
      <c r="G85">
        <v>0</v>
      </c>
      <c r="H85">
        <v>2E+20</v>
      </c>
      <c r="I85">
        <v>0</v>
      </c>
      <c r="J85">
        <v>0</v>
      </c>
      <c r="K85">
        <v>191</v>
      </c>
      <c r="L85" s="5" t="str">
        <f>DiscreteStatsTable[[#This Row],[ProjectName]]&amp;DiscreteStatsTable[[#This Row],[Name]]&amp;DiscreteStatsTable[[#This Row],[Type]]&amp;DiscreteStatsTable[[#This Row],[Source]]</f>
        <v>Unnamed ProjectHold M3.QueueWaiting TimeQueue</v>
      </c>
      <c r="M85" s="5" cm="1">
        <f t="array" ref="M85">MAX(IF((ProjectInfoTable[ProjectName]=DiscreteStatsTable[[#This Row],[ProjectName]]),(ProjectInfoTable[ProjectName]=DiscreteStatsTable[[#This Row],[ProjectName]])*ProjectInfoTable[NumberOfReplications]))</f>
        <v>10</v>
      </c>
      <c r="N85" s="5" cm="1">
        <f t="array" ref="N85">IFERROR(AVERAGE(IF((DiscreteStatsTable[GroupByKey]=DiscreteStatsTable[[#This Row],[GroupByKey]]),(DiscreteStatsTable[GroupByKey]=DiscreteStatsTable[[#This Row],[GroupByKey]])*DiscreteStatsTable[Average])),0)</f>
        <v>0</v>
      </c>
      <c r="O85" s="5" cm="1">
        <f t="array" ref="O85">IFERROR(_xlfn.STDEV.S(IF((DiscreteStatsTable[GroupByKey]=DiscreteStatsTable[[#This Row],[GroupByKey]]),(DiscreteStatsTable[GroupByKey]=DiscreteStatsTable[[#This Row],[GroupByKey]])*DiscreteStatsTable[Average])),0)</f>
        <v>0</v>
      </c>
      <c r="P85" s="5" cm="1">
        <f t="array" ref="P85">MAX(IF((ProjectInfoTable[ProjectName]=DiscreteStatsTable[[#This Row],[ProjectName]]),(ProjectInfoTable[ProjectName]=DiscreteStatsTable[[#This Row],[ProjectName]])*ProjectInfoTable[ConfidenceInterval]))</f>
        <v>0.95</v>
      </c>
      <c r="Q85" s="5">
        <f>IF(AND(DiscreteStatsTable[[#This Row],[RepsWithStatObserved]]=1,Y85=0),200000000000000000000,IFERROR(_xlfn.T.INV.2T(1 -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" s="5" cm="1">
        <f t="array" ref="R85">MIN(IF((DiscreteStatsTable[GroupByKey]=DiscreteStatsTable[[#This Row],[GroupByKey]]),(DiscreteStatsTable[GroupByKey]=DiscreteStatsTable[[#This Row],[GroupByKey]])*DiscreteStatsTable[Average]))</f>
        <v>0</v>
      </c>
      <c r="S85" s="5" cm="1">
        <f t="array" ref="S85">MAX(IF((DiscreteStatsTable[GroupByKey]=DiscreteStatsTable[[#This Row],[GroupByKey]]),(DiscreteStatsTable[GroupByKey]=DiscreteStatsTable[[#This Row],[GroupByKey]])*DiscreteStatsTable[Average]))</f>
        <v>0</v>
      </c>
      <c r="T85" s="5" cm="1">
        <f t="array" ref="T85">MIN(IF((DiscreteStatsTable[GroupByKey]=DiscreteStatsTable[[#This Row],[GroupByKey]]),(DiscreteStatsTable[GroupByKey]=DiscreteStatsTable[[#This Row],[GroupByKey]])*DiscreteStatsTable[Minimum]))</f>
        <v>0</v>
      </c>
      <c r="U85" s="5" cm="1">
        <f t="array" ref="U85">MAX(IF((DiscreteStatsTable[GroupByKey]=DiscreteStatsTable[[#This Row],[GroupByKey]]),(DiscreteStatsTable[GroupByKey]=DiscreteStatsTable[[#This Row],[GroupByKey]])*DiscreteStatsTable[Maximum]))</f>
        <v>0</v>
      </c>
      <c r="V85" s="5" cm="1">
        <f t="array" ref="V85">IFERROR(AVERAGE(IF((DiscreteStatsTable[GroupByKey]=DiscreteStatsTable[[#This Row],[GroupByKey]]),(DiscreteStatsTable[GroupByKey]=DiscreteStatsTable[[#This Row],[GroupByKey]])*DiscreteStatsTable[NumberObservations])),0)</f>
        <v>176.2</v>
      </c>
      <c r="W85" s="5">
        <f>IF((DiscreteStatsTable[[#This Row],[RepsRequested]]&gt;1),DiscreteStatsTable[[#This Row],[HalfWidth]],DiscreteStatsTable[[#This Row],[BatchMeansHalfWidth]])</f>
        <v>0</v>
      </c>
      <c r="X85" s="5" cm="1">
        <f t="array" ref="X85">COUNT(IF((DiscreteStatsTable[GroupByKey]=DiscreteStatsTable[[#This Row],[GroupByKey]]),(DiscreteStatsTable[GroupByKey]=DiscreteStatsTable[[#This Row],[GroupByKey]])*DiscreteStatsTable[Replication]))</f>
        <v>10</v>
      </c>
      <c r="Y85" s="5">
        <f>IF(DiscreteStatsTable[[#This Row],[RepsRequested]]=DiscreteStatsTable[[#This Row],[RepsWithStatObserved]],1,0)</f>
        <v>1</v>
      </c>
    </row>
    <row r="86" spans="1:25" x14ac:dyDescent="0.4">
      <c r="A86" t="s">
        <v>66</v>
      </c>
      <c r="B86" t="s">
        <v>69</v>
      </c>
      <c r="C86">
        <v>5</v>
      </c>
      <c r="D86" t="s">
        <v>82</v>
      </c>
      <c r="E86" t="s">
        <v>79</v>
      </c>
      <c r="F86" t="s">
        <v>80</v>
      </c>
      <c r="G86">
        <v>0</v>
      </c>
      <c r="H86">
        <v>2E+20</v>
      </c>
      <c r="I86">
        <v>0</v>
      </c>
      <c r="J86">
        <v>0</v>
      </c>
      <c r="K86">
        <v>149</v>
      </c>
      <c r="L86" s="5" t="str">
        <f>DiscreteStatsTable[[#This Row],[ProjectName]]&amp;DiscreteStatsTable[[#This Row],[Name]]&amp;DiscreteStatsTable[[#This Row],[Type]]&amp;DiscreteStatsTable[[#This Row],[Source]]</f>
        <v>Unnamed ProjectHold M3.QueueWaiting TimeQueue</v>
      </c>
      <c r="M86" s="5" cm="1">
        <f t="array" ref="M86">MAX(IF((ProjectInfoTable[ProjectName]=DiscreteStatsTable[[#This Row],[ProjectName]]),(ProjectInfoTable[ProjectName]=DiscreteStatsTable[[#This Row],[ProjectName]])*ProjectInfoTable[NumberOfReplications]))</f>
        <v>10</v>
      </c>
      <c r="N86" s="5" cm="1">
        <f t="array" ref="N86">IFERROR(AVERAGE(IF((DiscreteStatsTable[GroupByKey]=DiscreteStatsTable[[#This Row],[GroupByKey]]),(DiscreteStatsTable[GroupByKey]=DiscreteStatsTable[[#This Row],[GroupByKey]])*DiscreteStatsTable[Average])),0)</f>
        <v>0</v>
      </c>
      <c r="O86" s="5" cm="1">
        <f t="array" ref="O86">IFERROR(_xlfn.STDEV.S(IF((DiscreteStatsTable[GroupByKey]=DiscreteStatsTable[[#This Row],[GroupByKey]]),(DiscreteStatsTable[GroupByKey]=DiscreteStatsTable[[#This Row],[GroupByKey]])*DiscreteStatsTable[Average])),0)</f>
        <v>0</v>
      </c>
      <c r="P86" s="5" cm="1">
        <f t="array" ref="P86">MAX(IF((ProjectInfoTable[ProjectName]=DiscreteStatsTable[[#This Row],[ProjectName]]),(ProjectInfoTable[ProjectName]=DiscreteStatsTable[[#This Row],[ProjectName]])*ProjectInfoTable[ConfidenceInterval]))</f>
        <v>0.95</v>
      </c>
      <c r="Q86" s="5">
        <f>IF(AND(DiscreteStatsTable[[#This Row],[RepsWithStatObserved]]=1,Y86=0),200000000000000000000,IFERROR(_xlfn.T.INV.2T(1 -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" s="5" cm="1">
        <f t="array" ref="R86">MIN(IF((DiscreteStatsTable[GroupByKey]=DiscreteStatsTable[[#This Row],[GroupByKey]]),(DiscreteStatsTable[GroupByKey]=DiscreteStatsTable[[#This Row],[GroupByKey]])*DiscreteStatsTable[Average]))</f>
        <v>0</v>
      </c>
      <c r="S86" s="5" cm="1">
        <f t="array" ref="S86">MAX(IF((DiscreteStatsTable[GroupByKey]=DiscreteStatsTable[[#This Row],[GroupByKey]]),(DiscreteStatsTable[GroupByKey]=DiscreteStatsTable[[#This Row],[GroupByKey]])*DiscreteStatsTable[Average]))</f>
        <v>0</v>
      </c>
      <c r="T86" s="5" cm="1">
        <f t="array" ref="T86">MIN(IF((DiscreteStatsTable[GroupByKey]=DiscreteStatsTable[[#This Row],[GroupByKey]]),(DiscreteStatsTable[GroupByKey]=DiscreteStatsTable[[#This Row],[GroupByKey]])*DiscreteStatsTable[Minimum]))</f>
        <v>0</v>
      </c>
      <c r="U86" s="5" cm="1">
        <f t="array" ref="U86">MAX(IF((DiscreteStatsTable[GroupByKey]=DiscreteStatsTable[[#This Row],[GroupByKey]]),(DiscreteStatsTable[GroupByKey]=DiscreteStatsTable[[#This Row],[GroupByKey]])*DiscreteStatsTable[Maximum]))</f>
        <v>0</v>
      </c>
      <c r="V86" s="5" cm="1">
        <f t="array" ref="V86">IFERROR(AVERAGE(IF((DiscreteStatsTable[GroupByKey]=DiscreteStatsTable[[#This Row],[GroupByKey]]),(DiscreteStatsTable[GroupByKey]=DiscreteStatsTable[[#This Row],[GroupByKey]])*DiscreteStatsTable[NumberObservations])),0)</f>
        <v>176.2</v>
      </c>
      <c r="W86" s="5">
        <f>IF((DiscreteStatsTable[[#This Row],[RepsRequested]]&gt;1),DiscreteStatsTable[[#This Row],[HalfWidth]],DiscreteStatsTable[[#This Row],[BatchMeansHalfWidth]])</f>
        <v>0</v>
      </c>
      <c r="X86" s="5" cm="1">
        <f t="array" ref="X86">COUNT(IF((DiscreteStatsTable[GroupByKey]=DiscreteStatsTable[[#This Row],[GroupByKey]]),(DiscreteStatsTable[GroupByKey]=DiscreteStatsTable[[#This Row],[GroupByKey]])*DiscreteStatsTable[Replication]))</f>
        <v>10</v>
      </c>
      <c r="Y86" s="5">
        <f>IF(DiscreteStatsTable[[#This Row],[RepsRequested]]=DiscreteStatsTable[[#This Row],[RepsWithStatObserved]],1,0)</f>
        <v>1</v>
      </c>
    </row>
    <row r="87" spans="1:25" x14ac:dyDescent="0.4">
      <c r="A87" t="s">
        <v>66</v>
      </c>
      <c r="B87" t="s">
        <v>69</v>
      </c>
      <c r="C87">
        <v>6</v>
      </c>
      <c r="D87" t="s">
        <v>82</v>
      </c>
      <c r="E87" t="s">
        <v>79</v>
      </c>
      <c r="F87" t="s">
        <v>80</v>
      </c>
      <c r="G87">
        <v>0</v>
      </c>
      <c r="H87">
        <v>2E+20</v>
      </c>
      <c r="I87">
        <v>0</v>
      </c>
      <c r="J87">
        <v>0</v>
      </c>
      <c r="K87">
        <v>198</v>
      </c>
      <c r="L87" s="5" t="str">
        <f>DiscreteStatsTable[[#This Row],[ProjectName]]&amp;DiscreteStatsTable[[#This Row],[Name]]&amp;DiscreteStatsTable[[#This Row],[Type]]&amp;DiscreteStatsTable[[#This Row],[Source]]</f>
        <v>Unnamed ProjectHold M3.QueueWaiting TimeQueue</v>
      </c>
      <c r="M87" s="5" cm="1">
        <f t="array" ref="M87">MAX(IF((ProjectInfoTable[ProjectName]=DiscreteStatsTable[[#This Row],[ProjectName]]),(ProjectInfoTable[ProjectName]=DiscreteStatsTable[[#This Row],[ProjectName]])*ProjectInfoTable[NumberOfReplications]))</f>
        <v>10</v>
      </c>
      <c r="N87" s="5" cm="1">
        <f t="array" ref="N87">IFERROR(AVERAGE(IF((DiscreteStatsTable[GroupByKey]=DiscreteStatsTable[[#This Row],[GroupByKey]]),(DiscreteStatsTable[GroupByKey]=DiscreteStatsTable[[#This Row],[GroupByKey]])*DiscreteStatsTable[Average])),0)</f>
        <v>0</v>
      </c>
      <c r="O87" s="5" cm="1">
        <f t="array" ref="O87">IFERROR(_xlfn.STDEV.S(IF((DiscreteStatsTable[GroupByKey]=DiscreteStatsTable[[#This Row],[GroupByKey]]),(DiscreteStatsTable[GroupByKey]=DiscreteStatsTable[[#This Row],[GroupByKey]])*DiscreteStatsTable[Average])),0)</f>
        <v>0</v>
      </c>
      <c r="P87" s="5" cm="1">
        <f t="array" ref="P87">MAX(IF((ProjectInfoTable[ProjectName]=DiscreteStatsTable[[#This Row],[ProjectName]]),(ProjectInfoTable[ProjectName]=DiscreteStatsTable[[#This Row],[ProjectName]])*ProjectInfoTable[ConfidenceInterval]))</f>
        <v>0.95</v>
      </c>
      <c r="Q87" s="5">
        <f>IF(AND(DiscreteStatsTable[[#This Row],[RepsWithStatObserved]]=1,Y87=0),200000000000000000000,IFERROR(_xlfn.T.INV.2T(1 -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" s="5" cm="1">
        <f t="array" ref="R87">MIN(IF((DiscreteStatsTable[GroupByKey]=DiscreteStatsTable[[#This Row],[GroupByKey]]),(DiscreteStatsTable[GroupByKey]=DiscreteStatsTable[[#This Row],[GroupByKey]])*DiscreteStatsTable[Average]))</f>
        <v>0</v>
      </c>
      <c r="S87" s="5" cm="1">
        <f t="array" ref="S87">MAX(IF((DiscreteStatsTable[GroupByKey]=DiscreteStatsTable[[#This Row],[GroupByKey]]),(DiscreteStatsTable[GroupByKey]=DiscreteStatsTable[[#This Row],[GroupByKey]])*DiscreteStatsTable[Average]))</f>
        <v>0</v>
      </c>
      <c r="T87" s="5" cm="1">
        <f t="array" ref="T87">MIN(IF((DiscreteStatsTable[GroupByKey]=DiscreteStatsTable[[#This Row],[GroupByKey]]),(DiscreteStatsTable[GroupByKey]=DiscreteStatsTable[[#This Row],[GroupByKey]])*DiscreteStatsTable[Minimum]))</f>
        <v>0</v>
      </c>
      <c r="U87" s="5" cm="1">
        <f t="array" ref="U87">MAX(IF((DiscreteStatsTable[GroupByKey]=DiscreteStatsTable[[#This Row],[GroupByKey]]),(DiscreteStatsTable[GroupByKey]=DiscreteStatsTable[[#This Row],[GroupByKey]])*DiscreteStatsTable[Maximum]))</f>
        <v>0</v>
      </c>
      <c r="V87" s="5" cm="1">
        <f t="array" ref="V87">IFERROR(AVERAGE(IF((DiscreteStatsTable[GroupByKey]=DiscreteStatsTable[[#This Row],[GroupByKey]]),(DiscreteStatsTable[GroupByKey]=DiscreteStatsTable[[#This Row],[GroupByKey]])*DiscreteStatsTable[NumberObservations])),0)</f>
        <v>176.2</v>
      </c>
      <c r="W87" s="5">
        <f>IF((DiscreteStatsTable[[#This Row],[RepsRequested]]&gt;1),DiscreteStatsTable[[#This Row],[HalfWidth]],DiscreteStatsTable[[#This Row],[BatchMeansHalfWidth]])</f>
        <v>0</v>
      </c>
      <c r="X87" s="5" cm="1">
        <f t="array" ref="X87">COUNT(IF((DiscreteStatsTable[GroupByKey]=DiscreteStatsTable[[#This Row],[GroupByKey]]),(DiscreteStatsTable[GroupByKey]=DiscreteStatsTable[[#This Row],[GroupByKey]])*DiscreteStatsTable[Replication]))</f>
        <v>10</v>
      </c>
      <c r="Y87" s="5">
        <f>IF(DiscreteStatsTable[[#This Row],[RepsRequested]]=DiscreteStatsTable[[#This Row],[RepsWithStatObserved]],1,0)</f>
        <v>1</v>
      </c>
    </row>
    <row r="88" spans="1:25" x14ac:dyDescent="0.4">
      <c r="A88" t="s">
        <v>66</v>
      </c>
      <c r="B88" t="s">
        <v>69</v>
      </c>
      <c r="C88">
        <v>7</v>
      </c>
      <c r="D88" t="s">
        <v>82</v>
      </c>
      <c r="E88" t="s">
        <v>79</v>
      </c>
      <c r="F88" t="s">
        <v>80</v>
      </c>
      <c r="G88">
        <v>0</v>
      </c>
      <c r="H88">
        <v>2E+20</v>
      </c>
      <c r="I88">
        <v>0</v>
      </c>
      <c r="J88">
        <v>0</v>
      </c>
      <c r="K88">
        <v>163</v>
      </c>
      <c r="L88" s="5" t="str">
        <f>DiscreteStatsTable[[#This Row],[ProjectName]]&amp;DiscreteStatsTable[[#This Row],[Name]]&amp;DiscreteStatsTable[[#This Row],[Type]]&amp;DiscreteStatsTable[[#This Row],[Source]]</f>
        <v>Unnamed ProjectHold M3.QueueWaiting TimeQueue</v>
      </c>
      <c r="M88" s="5" cm="1">
        <f t="array" ref="M88">MAX(IF((ProjectInfoTable[ProjectName]=DiscreteStatsTable[[#This Row],[ProjectName]]),(ProjectInfoTable[ProjectName]=DiscreteStatsTable[[#This Row],[ProjectName]])*ProjectInfoTable[NumberOfReplications]))</f>
        <v>10</v>
      </c>
      <c r="N88" s="5" cm="1">
        <f t="array" ref="N88">IFERROR(AVERAGE(IF((DiscreteStatsTable[GroupByKey]=DiscreteStatsTable[[#This Row],[GroupByKey]]),(DiscreteStatsTable[GroupByKey]=DiscreteStatsTable[[#This Row],[GroupByKey]])*DiscreteStatsTable[Average])),0)</f>
        <v>0</v>
      </c>
      <c r="O88" s="5" cm="1">
        <f t="array" ref="O88">IFERROR(_xlfn.STDEV.S(IF((DiscreteStatsTable[GroupByKey]=DiscreteStatsTable[[#This Row],[GroupByKey]]),(DiscreteStatsTable[GroupByKey]=DiscreteStatsTable[[#This Row],[GroupByKey]])*DiscreteStatsTable[Average])),0)</f>
        <v>0</v>
      </c>
      <c r="P88" s="5" cm="1">
        <f t="array" ref="P88">MAX(IF((ProjectInfoTable[ProjectName]=DiscreteStatsTable[[#This Row],[ProjectName]]),(ProjectInfoTable[ProjectName]=DiscreteStatsTable[[#This Row],[ProjectName]])*ProjectInfoTable[ConfidenceInterval]))</f>
        <v>0.95</v>
      </c>
      <c r="Q88" s="5">
        <f>IF(AND(DiscreteStatsTable[[#This Row],[RepsWithStatObserved]]=1,Y88=0),200000000000000000000,IFERROR(_xlfn.T.INV.2T(1 -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8" s="5" cm="1">
        <f t="array" ref="R88">MIN(IF((DiscreteStatsTable[GroupByKey]=DiscreteStatsTable[[#This Row],[GroupByKey]]),(DiscreteStatsTable[GroupByKey]=DiscreteStatsTable[[#This Row],[GroupByKey]])*DiscreteStatsTable[Average]))</f>
        <v>0</v>
      </c>
      <c r="S88" s="5" cm="1">
        <f t="array" ref="S88">MAX(IF((DiscreteStatsTable[GroupByKey]=DiscreteStatsTable[[#This Row],[GroupByKey]]),(DiscreteStatsTable[GroupByKey]=DiscreteStatsTable[[#This Row],[GroupByKey]])*DiscreteStatsTable[Average]))</f>
        <v>0</v>
      </c>
      <c r="T88" s="5" cm="1">
        <f t="array" ref="T88">MIN(IF((DiscreteStatsTable[GroupByKey]=DiscreteStatsTable[[#This Row],[GroupByKey]]),(DiscreteStatsTable[GroupByKey]=DiscreteStatsTable[[#This Row],[GroupByKey]])*DiscreteStatsTable[Minimum]))</f>
        <v>0</v>
      </c>
      <c r="U88" s="5" cm="1">
        <f t="array" ref="U88">MAX(IF((DiscreteStatsTable[GroupByKey]=DiscreteStatsTable[[#This Row],[GroupByKey]]),(DiscreteStatsTable[GroupByKey]=DiscreteStatsTable[[#This Row],[GroupByKey]])*DiscreteStatsTable[Maximum]))</f>
        <v>0</v>
      </c>
      <c r="V88" s="5" cm="1">
        <f t="array" ref="V88">IFERROR(AVERAGE(IF((DiscreteStatsTable[GroupByKey]=DiscreteStatsTable[[#This Row],[GroupByKey]]),(DiscreteStatsTable[GroupByKey]=DiscreteStatsTable[[#This Row],[GroupByKey]])*DiscreteStatsTable[NumberObservations])),0)</f>
        <v>176.2</v>
      </c>
      <c r="W88" s="5">
        <f>IF((DiscreteStatsTable[[#This Row],[RepsRequested]]&gt;1),DiscreteStatsTable[[#This Row],[HalfWidth]],DiscreteStatsTable[[#This Row],[BatchMeansHalfWidth]])</f>
        <v>0</v>
      </c>
      <c r="X88" s="5" cm="1">
        <f t="array" ref="X88">COUNT(IF((DiscreteStatsTable[GroupByKey]=DiscreteStatsTable[[#This Row],[GroupByKey]]),(DiscreteStatsTable[GroupByKey]=DiscreteStatsTable[[#This Row],[GroupByKey]])*DiscreteStatsTable[Replication]))</f>
        <v>10</v>
      </c>
      <c r="Y88" s="5">
        <f>IF(DiscreteStatsTable[[#This Row],[RepsRequested]]=DiscreteStatsTable[[#This Row],[RepsWithStatObserved]],1,0)</f>
        <v>1</v>
      </c>
    </row>
    <row r="89" spans="1:25" x14ac:dyDescent="0.4">
      <c r="A89" t="s">
        <v>66</v>
      </c>
      <c r="B89" t="s">
        <v>69</v>
      </c>
      <c r="C89">
        <v>8</v>
      </c>
      <c r="D89" t="s">
        <v>82</v>
      </c>
      <c r="E89" t="s">
        <v>79</v>
      </c>
      <c r="F89" t="s">
        <v>80</v>
      </c>
      <c r="G89">
        <v>0</v>
      </c>
      <c r="H89">
        <v>2E+20</v>
      </c>
      <c r="I89">
        <v>0</v>
      </c>
      <c r="J89">
        <v>0</v>
      </c>
      <c r="K89">
        <v>181</v>
      </c>
      <c r="L89" s="5" t="str">
        <f>DiscreteStatsTable[[#This Row],[ProjectName]]&amp;DiscreteStatsTable[[#This Row],[Name]]&amp;DiscreteStatsTable[[#This Row],[Type]]&amp;DiscreteStatsTable[[#This Row],[Source]]</f>
        <v>Unnamed ProjectHold M3.QueueWaiting TimeQueue</v>
      </c>
      <c r="M89" s="5" cm="1">
        <f t="array" ref="M89">MAX(IF((ProjectInfoTable[ProjectName]=DiscreteStatsTable[[#This Row],[ProjectName]]),(ProjectInfoTable[ProjectName]=DiscreteStatsTable[[#This Row],[ProjectName]])*ProjectInfoTable[NumberOfReplications]))</f>
        <v>10</v>
      </c>
      <c r="N89" s="5" cm="1">
        <f t="array" ref="N89">IFERROR(AVERAGE(IF((DiscreteStatsTable[GroupByKey]=DiscreteStatsTable[[#This Row],[GroupByKey]]),(DiscreteStatsTable[GroupByKey]=DiscreteStatsTable[[#This Row],[GroupByKey]])*DiscreteStatsTable[Average])),0)</f>
        <v>0</v>
      </c>
      <c r="O89" s="5" cm="1">
        <f t="array" ref="O89">IFERROR(_xlfn.STDEV.S(IF((DiscreteStatsTable[GroupByKey]=DiscreteStatsTable[[#This Row],[GroupByKey]]),(DiscreteStatsTable[GroupByKey]=DiscreteStatsTable[[#This Row],[GroupByKey]])*DiscreteStatsTable[Average])),0)</f>
        <v>0</v>
      </c>
      <c r="P89" s="5" cm="1">
        <f t="array" ref="P89">MAX(IF((ProjectInfoTable[ProjectName]=DiscreteStatsTable[[#This Row],[ProjectName]]),(ProjectInfoTable[ProjectName]=DiscreteStatsTable[[#This Row],[ProjectName]])*ProjectInfoTable[ConfidenceInterval]))</f>
        <v>0.95</v>
      </c>
      <c r="Q89" s="5">
        <f>IF(AND(DiscreteStatsTable[[#This Row],[RepsWithStatObserved]]=1,Y89=0),200000000000000000000,IFERROR(_xlfn.T.INV.2T(1 -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" s="5" cm="1">
        <f t="array" ref="R89">MIN(IF((DiscreteStatsTable[GroupByKey]=DiscreteStatsTable[[#This Row],[GroupByKey]]),(DiscreteStatsTable[GroupByKey]=DiscreteStatsTable[[#This Row],[GroupByKey]])*DiscreteStatsTable[Average]))</f>
        <v>0</v>
      </c>
      <c r="S89" s="5" cm="1">
        <f t="array" ref="S89">MAX(IF((DiscreteStatsTable[GroupByKey]=DiscreteStatsTable[[#This Row],[GroupByKey]]),(DiscreteStatsTable[GroupByKey]=DiscreteStatsTable[[#This Row],[GroupByKey]])*DiscreteStatsTable[Average]))</f>
        <v>0</v>
      </c>
      <c r="T89" s="5" cm="1">
        <f t="array" ref="T89">MIN(IF((DiscreteStatsTable[GroupByKey]=DiscreteStatsTable[[#This Row],[GroupByKey]]),(DiscreteStatsTable[GroupByKey]=DiscreteStatsTable[[#This Row],[GroupByKey]])*DiscreteStatsTable[Minimum]))</f>
        <v>0</v>
      </c>
      <c r="U89" s="5" cm="1">
        <f t="array" ref="U89">MAX(IF((DiscreteStatsTable[GroupByKey]=DiscreteStatsTable[[#This Row],[GroupByKey]]),(DiscreteStatsTable[GroupByKey]=DiscreteStatsTable[[#This Row],[GroupByKey]])*DiscreteStatsTable[Maximum]))</f>
        <v>0</v>
      </c>
      <c r="V89" s="5" cm="1">
        <f t="array" ref="V89">IFERROR(AVERAGE(IF((DiscreteStatsTable[GroupByKey]=DiscreteStatsTable[[#This Row],[GroupByKey]]),(DiscreteStatsTable[GroupByKey]=DiscreteStatsTable[[#This Row],[GroupByKey]])*DiscreteStatsTable[NumberObservations])),0)</f>
        <v>176.2</v>
      </c>
      <c r="W89" s="5">
        <f>IF((DiscreteStatsTable[[#This Row],[RepsRequested]]&gt;1),DiscreteStatsTable[[#This Row],[HalfWidth]],DiscreteStatsTable[[#This Row],[BatchMeansHalfWidth]])</f>
        <v>0</v>
      </c>
      <c r="X89" s="5" cm="1">
        <f t="array" ref="X89">COUNT(IF((DiscreteStatsTable[GroupByKey]=DiscreteStatsTable[[#This Row],[GroupByKey]]),(DiscreteStatsTable[GroupByKey]=DiscreteStatsTable[[#This Row],[GroupByKey]])*DiscreteStatsTable[Replication]))</f>
        <v>10</v>
      </c>
      <c r="Y89" s="5">
        <f>IF(DiscreteStatsTable[[#This Row],[RepsRequested]]=DiscreteStatsTable[[#This Row],[RepsWithStatObserved]],1,0)</f>
        <v>1</v>
      </c>
    </row>
    <row r="90" spans="1:25" x14ac:dyDescent="0.4">
      <c r="A90" t="s">
        <v>66</v>
      </c>
      <c r="B90" t="s">
        <v>69</v>
      </c>
      <c r="C90">
        <v>9</v>
      </c>
      <c r="D90" t="s">
        <v>82</v>
      </c>
      <c r="E90" t="s">
        <v>79</v>
      </c>
      <c r="F90" t="s">
        <v>80</v>
      </c>
      <c r="G90">
        <v>0</v>
      </c>
      <c r="H90">
        <v>2E+20</v>
      </c>
      <c r="I90">
        <v>0</v>
      </c>
      <c r="J90">
        <v>0</v>
      </c>
      <c r="K90">
        <v>183</v>
      </c>
      <c r="L90" s="5" t="str">
        <f>DiscreteStatsTable[[#This Row],[ProjectName]]&amp;DiscreteStatsTable[[#This Row],[Name]]&amp;DiscreteStatsTable[[#This Row],[Type]]&amp;DiscreteStatsTable[[#This Row],[Source]]</f>
        <v>Unnamed ProjectHold M3.QueueWaiting TimeQueue</v>
      </c>
      <c r="M90" s="5" cm="1">
        <f t="array" ref="M90">MAX(IF((ProjectInfoTable[ProjectName]=DiscreteStatsTable[[#This Row],[ProjectName]]),(ProjectInfoTable[ProjectName]=DiscreteStatsTable[[#This Row],[ProjectName]])*ProjectInfoTable[NumberOfReplications]))</f>
        <v>10</v>
      </c>
      <c r="N90" s="5" cm="1">
        <f t="array" ref="N90">IFERROR(AVERAGE(IF((DiscreteStatsTable[GroupByKey]=DiscreteStatsTable[[#This Row],[GroupByKey]]),(DiscreteStatsTable[GroupByKey]=DiscreteStatsTable[[#This Row],[GroupByKey]])*DiscreteStatsTable[Average])),0)</f>
        <v>0</v>
      </c>
      <c r="O90" s="5" cm="1">
        <f t="array" ref="O90">IFERROR(_xlfn.STDEV.S(IF((DiscreteStatsTable[GroupByKey]=DiscreteStatsTable[[#This Row],[GroupByKey]]),(DiscreteStatsTable[GroupByKey]=DiscreteStatsTable[[#This Row],[GroupByKey]])*DiscreteStatsTable[Average])),0)</f>
        <v>0</v>
      </c>
      <c r="P90" s="5" cm="1">
        <f t="array" ref="P90">MAX(IF((ProjectInfoTable[ProjectName]=DiscreteStatsTable[[#This Row],[ProjectName]]),(ProjectInfoTable[ProjectName]=DiscreteStatsTable[[#This Row],[ProjectName]])*ProjectInfoTable[ConfidenceInterval]))</f>
        <v>0.95</v>
      </c>
      <c r="Q90" s="5">
        <f>IF(AND(DiscreteStatsTable[[#This Row],[RepsWithStatObserved]]=1,Y90=0),200000000000000000000,IFERROR(_xlfn.T.INV.2T(1 -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0" s="5" cm="1">
        <f t="array" ref="R90">MIN(IF((DiscreteStatsTable[GroupByKey]=DiscreteStatsTable[[#This Row],[GroupByKey]]),(DiscreteStatsTable[GroupByKey]=DiscreteStatsTable[[#This Row],[GroupByKey]])*DiscreteStatsTable[Average]))</f>
        <v>0</v>
      </c>
      <c r="S90" s="5" cm="1">
        <f t="array" ref="S90">MAX(IF((DiscreteStatsTable[GroupByKey]=DiscreteStatsTable[[#This Row],[GroupByKey]]),(DiscreteStatsTable[GroupByKey]=DiscreteStatsTable[[#This Row],[GroupByKey]])*DiscreteStatsTable[Average]))</f>
        <v>0</v>
      </c>
      <c r="T90" s="5" cm="1">
        <f t="array" ref="T90">MIN(IF((DiscreteStatsTable[GroupByKey]=DiscreteStatsTable[[#This Row],[GroupByKey]]),(DiscreteStatsTable[GroupByKey]=DiscreteStatsTable[[#This Row],[GroupByKey]])*DiscreteStatsTable[Minimum]))</f>
        <v>0</v>
      </c>
      <c r="U90" s="5" cm="1">
        <f t="array" ref="U90">MAX(IF((DiscreteStatsTable[GroupByKey]=DiscreteStatsTable[[#This Row],[GroupByKey]]),(DiscreteStatsTable[GroupByKey]=DiscreteStatsTable[[#This Row],[GroupByKey]])*DiscreteStatsTable[Maximum]))</f>
        <v>0</v>
      </c>
      <c r="V90" s="5" cm="1">
        <f t="array" ref="V90">IFERROR(AVERAGE(IF((DiscreteStatsTable[GroupByKey]=DiscreteStatsTable[[#This Row],[GroupByKey]]),(DiscreteStatsTable[GroupByKey]=DiscreteStatsTable[[#This Row],[GroupByKey]])*DiscreteStatsTable[NumberObservations])),0)</f>
        <v>176.2</v>
      </c>
      <c r="W90" s="5">
        <f>IF((DiscreteStatsTable[[#This Row],[RepsRequested]]&gt;1),DiscreteStatsTable[[#This Row],[HalfWidth]],DiscreteStatsTable[[#This Row],[BatchMeansHalfWidth]])</f>
        <v>0</v>
      </c>
      <c r="X90" s="5" cm="1">
        <f t="array" ref="X90">COUNT(IF((DiscreteStatsTable[GroupByKey]=DiscreteStatsTable[[#This Row],[GroupByKey]]),(DiscreteStatsTable[GroupByKey]=DiscreteStatsTable[[#This Row],[GroupByKey]])*DiscreteStatsTable[Replication]))</f>
        <v>10</v>
      </c>
      <c r="Y90" s="5">
        <f>IF(DiscreteStatsTable[[#This Row],[RepsRequested]]=DiscreteStatsTable[[#This Row],[RepsWithStatObserved]],1,0)</f>
        <v>1</v>
      </c>
    </row>
    <row r="91" spans="1:25" x14ac:dyDescent="0.4">
      <c r="A91" t="s">
        <v>66</v>
      </c>
      <c r="B91" t="s">
        <v>69</v>
      </c>
      <c r="C91">
        <v>10</v>
      </c>
      <c r="D91" t="s">
        <v>82</v>
      </c>
      <c r="E91" t="s">
        <v>79</v>
      </c>
      <c r="F91" t="s">
        <v>80</v>
      </c>
      <c r="G91">
        <v>0</v>
      </c>
      <c r="H91">
        <v>2E+20</v>
      </c>
      <c r="I91">
        <v>0</v>
      </c>
      <c r="J91">
        <v>0</v>
      </c>
      <c r="K91">
        <v>164</v>
      </c>
      <c r="L91" s="5" t="str">
        <f>DiscreteStatsTable[[#This Row],[ProjectName]]&amp;DiscreteStatsTable[[#This Row],[Name]]&amp;DiscreteStatsTable[[#This Row],[Type]]&amp;DiscreteStatsTable[[#This Row],[Source]]</f>
        <v>Unnamed ProjectHold M3.QueueWaiting TimeQueue</v>
      </c>
      <c r="M91" s="5" cm="1">
        <f t="array" ref="M91">MAX(IF((ProjectInfoTable[ProjectName]=DiscreteStatsTable[[#This Row],[ProjectName]]),(ProjectInfoTable[ProjectName]=DiscreteStatsTable[[#This Row],[ProjectName]])*ProjectInfoTable[NumberOfReplications]))</f>
        <v>10</v>
      </c>
      <c r="N91" s="5" cm="1">
        <f t="array" ref="N91">IFERROR(AVERAGE(IF((DiscreteStatsTable[GroupByKey]=DiscreteStatsTable[[#This Row],[GroupByKey]]),(DiscreteStatsTable[GroupByKey]=DiscreteStatsTable[[#This Row],[GroupByKey]])*DiscreteStatsTable[Average])),0)</f>
        <v>0</v>
      </c>
      <c r="O91" s="5" cm="1">
        <f t="array" ref="O91">IFERROR(_xlfn.STDEV.S(IF((DiscreteStatsTable[GroupByKey]=DiscreteStatsTable[[#This Row],[GroupByKey]]),(DiscreteStatsTable[GroupByKey]=DiscreteStatsTable[[#This Row],[GroupByKey]])*DiscreteStatsTable[Average])),0)</f>
        <v>0</v>
      </c>
      <c r="P91" s="5" cm="1">
        <f t="array" ref="P91">MAX(IF((ProjectInfoTable[ProjectName]=DiscreteStatsTable[[#This Row],[ProjectName]]),(ProjectInfoTable[ProjectName]=DiscreteStatsTable[[#This Row],[ProjectName]])*ProjectInfoTable[ConfidenceInterval]))</f>
        <v>0.95</v>
      </c>
      <c r="Q91" s="5">
        <f>IF(AND(DiscreteStatsTable[[#This Row],[RepsWithStatObserved]]=1,Y91=0),200000000000000000000,IFERROR(_xlfn.T.INV.2T(1 -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1" s="5" cm="1">
        <f t="array" ref="R91">MIN(IF((DiscreteStatsTable[GroupByKey]=DiscreteStatsTable[[#This Row],[GroupByKey]]),(DiscreteStatsTable[GroupByKey]=DiscreteStatsTable[[#This Row],[GroupByKey]])*DiscreteStatsTable[Average]))</f>
        <v>0</v>
      </c>
      <c r="S91" s="5" cm="1">
        <f t="array" ref="S91">MAX(IF((DiscreteStatsTable[GroupByKey]=DiscreteStatsTable[[#This Row],[GroupByKey]]),(DiscreteStatsTable[GroupByKey]=DiscreteStatsTable[[#This Row],[GroupByKey]])*DiscreteStatsTable[Average]))</f>
        <v>0</v>
      </c>
      <c r="T91" s="5" cm="1">
        <f t="array" ref="T91">MIN(IF((DiscreteStatsTable[GroupByKey]=DiscreteStatsTable[[#This Row],[GroupByKey]]),(DiscreteStatsTable[GroupByKey]=DiscreteStatsTable[[#This Row],[GroupByKey]])*DiscreteStatsTable[Minimum]))</f>
        <v>0</v>
      </c>
      <c r="U91" s="5" cm="1">
        <f t="array" ref="U91">MAX(IF((DiscreteStatsTable[GroupByKey]=DiscreteStatsTable[[#This Row],[GroupByKey]]),(DiscreteStatsTable[GroupByKey]=DiscreteStatsTable[[#This Row],[GroupByKey]])*DiscreteStatsTable[Maximum]))</f>
        <v>0</v>
      </c>
      <c r="V91" s="5" cm="1">
        <f t="array" ref="V91">IFERROR(AVERAGE(IF((DiscreteStatsTable[GroupByKey]=DiscreteStatsTable[[#This Row],[GroupByKey]]),(DiscreteStatsTable[GroupByKey]=DiscreteStatsTable[[#This Row],[GroupByKey]])*DiscreteStatsTable[NumberObservations])),0)</f>
        <v>176.2</v>
      </c>
      <c r="W91" s="5">
        <f>IF((DiscreteStatsTable[[#This Row],[RepsRequested]]&gt;1),DiscreteStatsTable[[#This Row],[HalfWidth]],DiscreteStatsTable[[#This Row],[BatchMeansHalfWidth]])</f>
        <v>0</v>
      </c>
      <c r="X91" s="5" cm="1">
        <f t="array" ref="X91">COUNT(IF((DiscreteStatsTable[GroupByKey]=DiscreteStatsTable[[#This Row],[GroupByKey]]),(DiscreteStatsTable[GroupByKey]=DiscreteStatsTable[[#This Row],[GroupByKey]])*DiscreteStatsTable[Replication]))</f>
        <v>10</v>
      </c>
      <c r="Y91" s="5">
        <f>IF(DiscreteStatsTable[[#This Row],[RepsRequested]]=DiscreteStatsTable[[#This Row],[RepsWithStatObserved]],1,0)</f>
        <v>1</v>
      </c>
    </row>
    <row r="92" spans="1:25" x14ac:dyDescent="0.4">
      <c r="A92" t="s">
        <v>66</v>
      </c>
      <c r="B92" t="s">
        <v>69</v>
      </c>
      <c r="C92">
        <v>1</v>
      </c>
      <c r="D92" t="s">
        <v>83</v>
      </c>
      <c r="E92" t="s">
        <v>79</v>
      </c>
      <c r="F92" t="s">
        <v>80</v>
      </c>
      <c r="G92">
        <v>0</v>
      </c>
      <c r="H92">
        <v>2E+20</v>
      </c>
      <c r="I92">
        <v>0</v>
      </c>
      <c r="J92">
        <v>0</v>
      </c>
      <c r="K92">
        <v>161</v>
      </c>
      <c r="L92" s="5" t="str">
        <f>DiscreteStatsTable[[#This Row],[ProjectName]]&amp;DiscreteStatsTable[[#This Row],[Name]]&amp;DiscreteStatsTable[[#This Row],[Type]]&amp;DiscreteStatsTable[[#This Row],[Source]]</f>
        <v>Unnamed ProjectHold M4.QueueWaiting TimeQueue</v>
      </c>
      <c r="M92" s="5" cm="1">
        <f t="array" ref="M92">MAX(IF((ProjectInfoTable[ProjectName]=DiscreteStatsTable[[#This Row],[ProjectName]]),(ProjectInfoTable[ProjectName]=DiscreteStatsTable[[#This Row],[ProjectName]])*ProjectInfoTable[NumberOfReplications]))</f>
        <v>10</v>
      </c>
      <c r="N92" s="5" cm="1">
        <f t="array" ref="N92">IFERROR(AVERAGE(IF((DiscreteStatsTable[GroupByKey]=DiscreteStatsTable[[#This Row],[GroupByKey]]),(DiscreteStatsTable[GroupByKey]=DiscreteStatsTable[[#This Row],[GroupByKey]])*DiscreteStatsTable[Average])),0)</f>
        <v>0</v>
      </c>
      <c r="O92" s="5" cm="1">
        <f t="array" ref="O92">IFERROR(_xlfn.STDEV.S(IF((DiscreteStatsTable[GroupByKey]=DiscreteStatsTable[[#This Row],[GroupByKey]]),(DiscreteStatsTable[GroupByKey]=DiscreteStatsTable[[#This Row],[GroupByKey]])*DiscreteStatsTable[Average])),0)</f>
        <v>0</v>
      </c>
      <c r="P92" s="5" cm="1">
        <f t="array" ref="P92">MAX(IF((ProjectInfoTable[ProjectName]=DiscreteStatsTable[[#This Row],[ProjectName]]),(ProjectInfoTable[ProjectName]=DiscreteStatsTable[[#This Row],[ProjectName]])*ProjectInfoTable[ConfidenceInterval]))</f>
        <v>0.95</v>
      </c>
      <c r="Q92" s="5">
        <f>IF(AND(DiscreteStatsTable[[#This Row],[RepsWithStatObserved]]=1,Y92=0),200000000000000000000,IFERROR(_xlfn.T.INV.2T(1 -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" s="5" cm="1">
        <f t="array" ref="R92">MIN(IF((DiscreteStatsTable[GroupByKey]=DiscreteStatsTable[[#This Row],[GroupByKey]]),(DiscreteStatsTable[GroupByKey]=DiscreteStatsTable[[#This Row],[GroupByKey]])*DiscreteStatsTable[Average]))</f>
        <v>0</v>
      </c>
      <c r="S92" s="5" cm="1">
        <f t="array" ref="S92">MAX(IF((DiscreteStatsTable[GroupByKey]=DiscreteStatsTable[[#This Row],[GroupByKey]]),(DiscreteStatsTable[GroupByKey]=DiscreteStatsTable[[#This Row],[GroupByKey]])*DiscreteStatsTable[Average]))</f>
        <v>0</v>
      </c>
      <c r="T92" s="5" cm="1">
        <f t="array" ref="T92">MIN(IF((DiscreteStatsTable[GroupByKey]=DiscreteStatsTable[[#This Row],[GroupByKey]]),(DiscreteStatsTable[GroupByKey]=DiscreteStatsTable[[#This Row],[GroupByKey]])*DiscreteStatsTable[Minimum]))</f>
        <v>0</v>
      </c>
      <c r="U92" s="5" cm="1">
        <f t="array" ref="U92">MAX(IF((DiscreteStatsTable[GroupByKey]=DiscreteStatsTable[[#This Row],[GroupByKey]]),(DiscreteStatsTable[GroupByKey]=DiscreteStatsTable[[#This Row],[GroupByKey]])*DiscreteStatsTable[Maximum]))</f>
        <v>0</v>
      </c>
      <c r="V92" s="5" cm="1">
        <f t="array" ref="V92">IFERROR(AVERAGE(IF((DiscreteStatsTable[GroupByKey]=DiscreteStatsTable[[#This Row],[GroupByKey]]),(DiscreteStatsTable[GroupByKey]=DiscreteStatsTable[[#This Row],[GroupByKey]])*DiscreteStatsTable[NumberObservations])),0)</f>
        <v>166.3</v>
      </c>
      <c r="W92" s="5">
        <f>IF((DiscreteStatsTable[[#This Row],[RepsRequested]]&gt;1),DiscreteStatsTable[[#This Row],[HalfWidth]],DiscreteStatsTable[[#This Row],[BatchMeansHalfWidth]])</f>
        <v>0</v>
      </c>
      <c r="X92" s="5" cm="1">
        <f t="array" ref="X92">COUNT(IF((DiscreteStatsTable[GroupByKey]=DiscreteStatsTable[[#This Row],[GroupByKey]]),(DiscreteStatsTable[GroupByKey]=DiscreteStatsTable[[#This Row],[GroupByKey]])*DiscreteStatsTable[Replication]))</f>
        <v>10</v>
      </c>
      <c r="Y92" s="5">
        <f>IF(DiscreteStatsTable[[#This Row],[RepsRequested]]=DiscreteStatsTable[[#This Row],[RepsWithStatObserved]],1,0)</f>
        <v>1</v>
      </c>
    </row>
    <row r="93" spans="1:25" x14ac:dyDescent="0.4">
      <c r="A93" t="s">
        <v>66</v>
      </c>
      <c r="B93" t="s">
        <v>69</v>
      </c>
      <c r="C93">
        <v>2</v>
      </c>
      <c r="D93" t="s">
        <v>83</v>
      </c>
      <c r="E93" t="s">
        <v>79</v>
      </c>
      <c r="F93" t="s">
        <v>80</v>
      </c>
      <c r="G93">
        <v>0</v>
      </c>
      <c r="H93">
        <v>2E+20</v>
      </c>
      <c r="I93">
        <v>0</v>
      </c>
      <c r="J93">
        <v>0</v>
      </c>
      <c r="K93">
        <v>182</v>
      </c>
      <c r="L93" s="5" t="str">
        <f>DiscreteStatsTable[[#This Row],[ProjectName]]&amp;DiscreteStatsTable[[#This Row],[Name]]&amp;DiscreteStatsTable[[#This Row],[Type]]&amp;DiscreteStatsTable[[#This Row],[Source]]</f>
        <v>Unnamed ProjectHold M4.QueueWaiting TimeQueue</v>
      </c>
      <c r="M93" s="5" cm="1">
        <f t="array" ref="M93">MAX(IF((ProjectInfoTable[ProjectName]=DiscreteStatsTable[[#This Row],[ProjectName]]),(ProjectInfoTable[ProjectName]=DiscreteStatsTable[[#This Row],[ProjectName]])*ProjectInfoTable[NumberOfReplications]))</f>
        <v>10</v>
      </c>
      <c r="N93" s="5" cm="1">
        <f t="array" ref="N93">IFERROR(AVERAGE(IF((DiscreteStatsTable[GroupByKey]=DiscreteStatsTable[[#This Row],[GroupByKey]]),(DiscreteStatsTable[GroupByKey]=DiscreteStatsTable[[#This Row],[GroupByKey]])*DiscreteStatsTable[Average])),0)</f>
        <v>0</v>
      </c>
      <c r="O93" s="5" cm="1">
        <f t="array" ref="O93">IFERROR(_xlfn.STDEV.S(IF((DiscreteStatsTable[GroupByKey]=DiscreteStatsTable[[#This Row],[GroupByKey]]),(DiscreteStatsTable[GroupByKey]=DiscreteStatsTable[[#This Row],[GroupByKey]])*DiscreteStatsTable[Average])),0)</f>
        <v>0</v>
      </c>
      <c r="P93" s="5" cm="1">
        <f t="array" ref="P93">MAX(IF((ProjectInfoTable[ProjectName]=DiscreteStatsTable[[#This Row],[ProjectName]]),(ProjectInfoTable[ProjectName]=DiscreteStatsTable[[#This Row],[ProjectName]])*ProjectInfoTable[ConfidenceInterval]))</f>
        <v>0.95</v>
      </c>
      <c r="Q93" s="5">
        <f>IF(AND(DiscreteStatsTable[[#This Row],[RepsWithStatObserved]]=1,Y93=0),200000000000000000000,IFERROR(_xlfn.T.INV.2T(1 -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" s="5" cm="1">
        <f t="array" ref="R93">MIN(IF((DiscreteStatsTable[GroupByKey]=DiscreteStatsTable[[#This Row],[GroupByKey]]),(DiscreteStatsTable[GroupByKey]=DiscreteStatsTable[[#This Row],[GroupByKey]])*DiscreteStatsTable[Average]))</f>
        <v>0</v>
      </c>
      <c r="S93" s="5" cm="1">
        <f t="array" ref="S93">MAX(IF((DiscreteStatsTable[GroupByKey]=DiscreteStatsTable[[#This Row],[GroupByKey]]),(DiscreteStatsTable[GroupByKey]=DiscreteStatsTable[[#This Row],[GroupByKey]])*DiscreteStatsTable[Average]))</f>
        <v>0</v>
      </c>
      <c r="T93" s="5" cm="1">
        <f t="array" ref="T93">MIN(IF((DiscreteStatsTable[GroupByKey]=DiscreteStatsTable[[#This Row],[GroupByKey]]),(DiscreteStatsTable[GroupByKey]=DiscreteStatsTable[[#This Row],[GroupByKey]])*DiscreteStatsTable[Minimum]))</f>
        <v>0</v>
      </c>
      <c r="U93" s="5" cm="1">
        <f t="array" ref="U93">MAX(IF((DiscreteStatsTable[GroupByKey]=DiscreteStatsTable[[#This Row],[GroupByKey]]),(DiscreteStatsTable[GroupByKey]=DiscreteStatsTable[[#This Row],[GroupByKey]])*DiscreteStatsTable[Maximum]))</f>
        <v>0</v>
      </c>
      <c r="V93" s="5" cm="1">
        <f t="array" ref="V93">IFERROR(AVERAGE(IF((DiscreteStatsTable[GroupByKey]=DiscreteStatsTable[[#This Row],[GroupByKey]]),(DiscreteStatsTable[GroupByKey]=DiscreteStatsTable[[#This Row],[GroupByKey]])*DiscreteStatsTable[NumberObservations])),0)</f>
        <v>166.3</v>
      </c>
      <c r="W93" s="5">
        <f>IF((DiscreteStatsTable[[#This Row],[RepsRequested]]&gt;1),DiscreteStatsTable[[#This Row],[HalfWidth]],DiscreteStatsTable[[#This Row],[BatchMeansHalfWidth]])</f>
        <v>0</v>
      </c>
      <c r="X93" s="5" cm="1">
        <f t="array" ref="X93">COUNT(IF((DiscreteStatsTable[GroupByKey]=DiscreteStatsTable[[#This Row],[GroupByKey]]),(DiscreteStatsTable[GroupByKey]=DiscreteStatsTable[[#This Row],[GroupByKey]])*DiscreteStatsTable[Replication]))</f>
        <v>10</v>
      </c>
      <c r="Y93" s="5">
        <f>IF(DiscreteStatsTable[[#This Row],[RepsRequested]]=DiscreteStatsTable[[#This Row],[RepsWithStatObserved]],1,0)</f>
        <v>1</v>
      </c>
    </row>
    <row r="94" spans="1:25" x14ac:dyDescent="0.4">
      <c r="A94" t="s">
        <v>66</v>
      </c>
      <c r="B94" t="s">
        <v>69</v>
      </c>
      <c r="C94">
        <v>3</v>
      </c>
      <c r="D94" t="s">
        <v>83</v>
      </c>
      <c r="E94" t="s">
        <v>79</v>
      </c>
      <c r="F94" t="s">
        <v>80</v>
      </c>
      <c r="G94">
        <v>0</v>
      </c>
      <c r="H94">
        <v>2E+20</v>
      </c>
      <c r="I94">
        <v>0</v>
      </c>
      <c r="J94">
        <v>0</v>
      </c>
      <c r="K94">
        <v>177</v>
      </c>
      <c r="L94" s="5" t="str">
        <f>DiscreteStatsTable[[#This Row],[ProjectName]]&amp;DiscreteStatsTable[[#This Row],[Name]]&amp;DiscreteStatsTable[[#This Row],[Type]]&amp;DiscreteStatsTable[[#This Row],[Source]]</f>
        <v>Unnamed ProjectHold M4.QueueWaiting TimeQueue</v>
      </c>
      <c r="M94" s="5" cm="1">
        <f t="array" ref="M94">MAX(IF((ProjectInfoTable[ProjectName]=DiscreteStatsTable[[#This Row],[ProjectName]]),(ProjectInfoTable[ProjectName]=DiscreteStatsTable[[#This Row],[ProjectName]])*ProjectInfoTable[NumberOfReplications]))</f>
        <v>10</v>
      </c>
      <c r="N94" s="5" cm="1">
        <f t="array" ref="N94">IFERROR(AVERAGE(IF((DiscreteStatsTable[GroupByKey]=DiscreteStatsTable[[#This Row],[GroupByKey]]),(DiscreteStatsTable[GroupByKey]=DiscreteStatsTable[[#This Row],[GroupByKey]])*DiscreteStatsTable[Average])),0)</f>
        <v>0</v>
      </c>
      <c r="O94" s="5" cm="1">
        <f t="array" ref="O94">IFERROR(_xlfn.STDEV.S(IF((DiscreteStatsTable[GroupByKey]=DiscreteStatsTable[[#This Row],[GroupByKey]]),(DiscreteStatsTable[GroupByKey]=DiscreteStatsTable[[#This Row],[GroupByKey]])*DiscreteStatsTable[Average])),0)</f>
        <v>0</v>
      </c>
      <c r="P94" s="5" cm="1">
        <f t="array" ref="P94">MAX(IF((ProjectInfoTable[ProjectName]=DiscreteStatsTable[[#This Row],[ProjectName]]),(ProjectInfoTable[ProjectName]=DiscreteStatsTable[[#This Row],[ProjectName]])*ProjectInfoTable[ConfidenceInterval]))</f>
        <v>0.95</v>
      </c>
      <c r="Q94" s="5">
        <f>IF(AND(DiscreteStatsTable[[#This Row],[RepsWithStatObserved]]=1,Y94=0),200000000000000000000,IFERROR(_xlfn.T.INV.2T(1 -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4" s="5" cm="1">
        <f t="array" ref="R94">MIN(IF((DiscreteStatsTable[GroupByKey]=DiscreteStatsTable[[#This Row],[GroupByKey]]),(DiscreteStatsTable[GroupByKey]=DiscreteStatsTable[[#This Row],[GroupByKey]])*DiscreteStatsTable[Average]))</f>
        <v>0</v>
      </c>
      <c r="S94" s="5" cm="1">
        <f t="array" ref="S94">MAX(IF((DiscreteStatsTable[GroupByKey]=DiscreteStatsTable[[#This Row],[GroupByKey]]),(DiscreteStatsTable[GroupByKey]=DiscreteStatsTable[[#This Row],[GroupByKey]])*DiscreteStatsTable[Average]))</f>
        <v>0</v>
      </c>
      <c r="T94" s="5" cm="1">
        <f t="array" ref="T94">MIN(IF((DiscreteStatsTable[GroupByKey]=DiscreteStatsTable[[#This Row],[GroupByKey]]),(DiscreteStatsTable[GroupByKey]=DiscreteStatsTable[[#This Row],[GroupByKey]])*DiscreteStatsTable[Minimum]))</f>
        <v>0</v>
      </c>
      <c r="U94" s="5" cm="1">
        <f t="array" ref="U94">MAX(IF((DiscreteStatsTable[GroupByKey]=DiscreteStatsTable[[#This Row],[GroupByKey]]),(DiscreteStatsTable[GroupByKey]=DiscreteStatsTable[[#This Row],[GroupByKey]])*DiscreteStatsTable[Maximum]))</f>
        <v>0</v>
      </c>
      <c r="V94" s="5" cm="1">
        <f t="array" ref="V94">IFERROR(AVERAGE(IF((DiscreteStatsTable[GroupByKey]=DiscreteStatsTable[[#This Row],[GroupByKey]]),(DiscreteStatsTable[GroupByKey]=DiscreteStatsTable[[#This Row],[GroupByKey]])*DiscreteStatsTable[NumberObservations])),0)</f>
        <v>166.3</v>
      </c>
      <c r="W94" s="5">
        <f>IF((DiscreteStatsTable[[#This Row],[RepsRequested]]&gt;1),DiscreteStatsTable[[#This Row],[HalfWidth]],DiscreteStatsTable[[#This Row],[BatchMeansHalfWidth]])</f>
        <v>0</v>
      </c>
      <c r="X94" s="5" cm="1">
        <f t="array" ref="X94">COUNT(IF((DiscreteStatsTable[GroupByKey]=DiscreteStatsTable[[#This Row],[GroupByKey]]),(DiscreteStatsTable[GroupByKey]=DiscreteStatsTable[[#This Row],[GroupByKey]])*DiscreteStatsTable[Replication]))</f>
        <v>10</v>
      </c>
      <c r="Y94" s="5">
        <f>IF(DiscreteStatsTable[[#This Row],[RepsRequested]]=DiscreteStatsTable[[#This Row],[RepsWithStatObserved]],1,0)</f>
        <v>1</v>
      </c>
    </row>
    <row r="95" spans="1:25" x14ac:dyDescent="0.4">
      <c r="A95" t="s">
        <v>66</v>
      </c>
      <c r="B95" t="s">
        <v>69</v>
      </c>
      <c r="C95">
        <v>4</v>
      </c>
      <c r="D95" t="s">
        <v>83</v>
      </c>
      <c r="E95" t="s">
        <v>79</v>
      </c>
      <c r="F95" t="s">
        <v>80</v>
      </c>
      <c r="G95">
        <v>0</v>
      </c>
      <c r="H95">
        <v>2E+20</v>
      </c>
      <c r="I95">
        <v>0</v>
      </c>
      <c r="J95">
        <v>0</v>
      </c>
      <c r="K95">
        <v>178</v>
      </c>
      <c r="L95" s="5" t="str">
        <f>DiscreteStatsTable[[#This Row],[ProjectName]]&amp;DiscreteStatsTable[[#This Row],[Name]]&amp;DiscreteStatsTable[[#This Row],[Type]]&amp;DiscreteStatsTable[[#This Row],[Source]]</f>
        <v>Unnamed ProjectHold M4.QueueWaiting TimeQueue</v>
      </c>
      <c r="M95" s="5" cm="1">
        <f t="array" ref="M95">MAX(IF((ProjectInfoTable[ProjectName]=DiscreteStatsTable[[#This Row],[ProjectName]]),(ProjectInfoTable[ProjectName]=DiscreteStatsTable[[#This Row],[ProjectName]])*ProjectInfoTable[NumberOfReplications]))</f>
        <v>10</v>
      </c>
      <c r="N95" s="5" cm="1">
        <f t="array" ref="N95">IFERROR(AVERAGE(IF((DiscreteStatsTable[GroupByKey]=DiscreteStatsTable[[#This Row],[GroupByKey]]),(DiscreteStatsTable[GroupByKey]=DiscreteStatsTable[[#This Row],[GroupByKey]])*DiscreteStatsTable[Average])),0)</f>
        <v>0</v>
      </c>
      <c r="O95" s="5" cm="1">
        <f t="array" ref="O95">IFERROR(_xlfn.STDEV.S(IF((DiscreteStatsTable[GroupByKey]=DiscreteStatsTable[[#This Row],[GroupByKey]]),(DiscreteStatsTable[GroupByKey]=DiscreteStatsTable[[#This Row],[GroupByKey]])*DiscreteStatsTable[Average])),0)</f>
        <v>0</v>
      </c>
      <c r="P95" s="5" cm="1">
        <f t="array" ref="P95">MAX(IF((ProjectInfoTable[ProjectName]=DiscreteStatsTable[[#This Row],[ProjectName]]),(ProjectInfoTable[ProjectName]=DiscreteStatsTable[[#This Row],[ProjectName]])*ProjectInfoTable[ConfidenceInterval]))</f>
        <v>0.95</v>
      </c>
      <c r="Q95" s="5">
        <f>IF(AND(DiscreteStatsTable[[#This Row],[RepsWithStatObserved]]=1,Y95=0),200000000000000000000,IFERROR(_xlfn.T.INV.2T(1 -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" s="5" cm="1">
        <f t="array" ref="R95">MIN(IF((DiscreteStatsTable[GroupByKey]=DiscreteStatsTable[[#This Row],[GroupByKey]]),(DiscreteStatsTable[GroupByKey]=DiscreteStatsTable[[#This Row],[GroupByKey]])*DiscreteStatsTable[Average]))</f>
        <v>0</v>
      </c>
      <c r="S95" s="5" cm="1">
        <f t="array" ref="S95">MAX(IF((DiscreteStatsTable[GroupByKey]=DiscreteStatsTable[[#This Row],[GroupByKey]]),(DiscreteStatsTable[GroupByKey]=DiscreteStatsTable[[#This Row],[GroupByKey]])*DiscreteStatsTable[Average]))</f>
        <v>0</v>
      </c>
      <c r="T95" s="5" cm="1">
        <f t="array" ref="T95">MIN(IF((DiscreteStatsTable[GroupByKey]=DiscreteStatsTable[[#This Row],[GroupByKey]]),(DiscreteStatsTable[GroupByKey]=DiscreteStatsTable[[#This Row],[GroupByKey]])*DiscreteStatsTable[Minimum]))</f>
        <v>0</v>
      </c>
      <c r="U95" s="5" cm="1">
        <f t="array" ref="U95">MAX(IF((DiscreteStatsTable[GroupByKey]=DiscreteStatsTable[[#This Row],[GroupByKey]]),(DiscreteStatsTable[GroupByKey]=DiscreteStatsTable[[#This Row],[GroupByKey]])*DiscreteStatsTable[Maximum]))</f>
        <v>0</v>
      </c>
      <c r="V95" s="5" cm="1">
        <f t="array" ref="V95">IFERROR(AVERAGE(IF((DiscreteStatsTable[GroupByKey]=DiscreteStatsTable[[#This Row],[GroupByKey]]),(DiscreteStatsTable[GroupByKey]=DiscreteStatsTable[[#This Row],[GroupByKey]])*DiscreteStatsTable[NumberObservations])),0)</f>
        <v>166.3</v>
      </c>
      <c r="W95" s="5">
        <f>IF((DiscreteStatsTable[[#This Row],[RepsRequested]]&gt;1),DiscreteStatsTable[[#This Row],[HalfWidth]],DiscreteStatsTable[[#This Row],[BatchMeansHalfWidth]])</f>
        <v>0</v>
      </c>
      <c r="X95" s="5" cm="1">
        <f t="array" ref="X95">COUNT(IF((DiscreteStatsTable[GroupByKey]=DiscreteStatsTable[[#This Row],[GroupByKey]]),(DiscreteStatsTable[GroupByKey]=DiscreteStatsTable[[#This Row],[GroupByKey]])*DiscreteStatsTable[Replication]))</f>
        <v>10</v>
      </c>
      <c r="Y95" s="5">
        <f>IF(DiscreteStatsTable[[#This Row],[RepsRequested]]=DiscreteStatsTable[[#This Row],[RepsWithStatObserved]],1,0)</f>
        <v>1</v>
      </c>
    </row>
    <row r="96" spans="1:25" x14ac:dyDescent="0.4">
      <c r="A96" t="s">
        <v>66</v>
      </c>
      <c r="B96" t="s">
        <v>69</v>
      </c>
      <c r="C96">
        <v>5</v>
      </c>
      <c r="D96" t="s">
        <v>83</v>
      </c>
      <c r="E96" t="s">
        <v>79</v>
      </c>
      <c r="F96" t="s">
        <v>80</v>
      </c>
      <c r="G96">
        <v>0</v>
      </c>
      <c r="H96">
        <v>2E+20</v>
      </c>
      <c r="I96">
        <v>0</v>
      </c>
      <c r="J96">
        <v>0</v>
      </c>
      <c r="K96">
        <v>140</v>
      </c>
      <c r="L96" s="5" t="str">
        <f>DiscreteStatsTable[[#This Row],[ProjectName]]&amp;DiscreteStatsTable[[#This Row],[Name]]&amp;DiscreteStatsTable[[#This Row],[Type]]&amp;DiscreteStatsTable[[#This Row],[Source]]</f>
        <v>Unnamed ProjectHold M4.QueueWaiting TimeQueue</v>
      </c>
      <c r="M96" s="5" cm="1">
        <f t="array" ref="M96">MAX(IF((ProjectInfoTable[ProjectName]=DiscreteStatsTable[[#This Row],[ProjectName]]),(ProjectInfoTable[ProjectName]=DiscreteStatsTable[[#This Row],[ProjectName]])*ProjectInfoTable[NumberOfReplications]))</f>
        <v>10</v>
      </c>
      <c r="N96" s="5" cm="1">
        <f t="array" ref="N96">IFERROR(AVERAGE(IF((DiscreteStatsTable[GroupByKey]=DiscreteStatsTable[[#This Row],[GroupByKey]]),(DiscreteStatsTable[GroupByKey]=DiscreteStatsTable[[#This Row],[GroupByKey]])*DiscreteStatsTable[Average])),0)</f>
        <v>0</v>
      </c>
      <c r="O96" s="5" cm="1">
        <f t="array" ref="O96">IFERROR(_xlfn.STDEV.S(IF((DiscreteStatsTable[GroupByKey]=DiscreteStatsTable[[#This Row],[GroupByKey]]),(DiscreteStatsTable[GroupByKey]=DiscreteStatsTable[[#This Row],[GroupByKey]])*DiscreteStatsTable[Average])),0)</f>
        <v>0</v>
      </c>
      <c r="P96" s="5" cm="1">
        <f t="array" ref="P96">MAX(IF((ProjectInfoTable[ProjectName]=DiscreteStatsTable[[#This Row],[ProjectName]]),(ProjectInfoTable[ProjectName]=DiscreteStatsTable[[#This Row],[ProjectName]])*ProjectInfoTable[ConfidenceInterval]))</f>
        <v>0.95</v>
      </c>
      <c r="Q96" s="5">
        <f>IF(AND(DiscreteStatsTable[[#This Row],[RepsWithStatObserved]]=1,Y96=0),200000000000000000000,IFERROR(_xlfn.T.INV.2T(1 -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6" s="5" cm="1">
        <f t="array" ref="R96">MIN(IF((DiscreteStatsTable[GroupByKey]=DiscreteStatsTable[[#This Row],[GroupByKey]]),(DiscreteStatsTable[GroupByKey]=DiscreteStatsTable[[#This Row],[GroupByKey]])*DiscreteStatsTable[Average]))</f>
        <v>0</v>
      </c>
      <c r="S96" s="5" cm="1">
        <f t="array" ref="S96">MAX(IF((DiscreteStatsTable[GroupByKey]=DiscreteStatsTable[[#This Row],[GroupByKey]]),(DiscreteStatsTable[GroupByKey]=DiscreteStatsTable[[#This Row],[GroupByKey]])*DiscreteStatsTable[Average]))</f>
        <v>0</v>
      </c>
      <c r="T96" s="5" cm="1">
        <f t="array" ref="T96">MIN(IF((DiscreteStatsTable[GroupByKey]=DiscreteStatsTable[[#This Row],[GroupByKey]]),(DiscreteStatsTable[GroupByKey]=DiscreteStatsTable[[#This Row],[GroupByKey]])*DiscreteStatsTable[Minimum]))</f>
        <v>0</v>
      </c>
      <c r="U96" s="5" cm="1">
        <f t="array" ref="U96">MAX(IF((DiscreteStatsTable[GroupByKey]=DiscreteStatsTable[[#This Row],[GroupByKey]]),(DiscreteStatsTable[GroupByKey]=DiscreteStatsTable[[#This Row],[GroupByKey]])*DiscreteStatsTable[Maximum]))</f>
        <v>0</v>
      </c>
      <c r="V96" s="5" cm="1">
        <f t="array" ref="V96">IFERROR(AVERAGE(IF((DiscreteStatsTable[GroupByKey]=DiscreteStatsTable[[#This Row],[GroupByKey]]),(DiscreteStatsTable[GroupByKey]=DiscreteStatsTable[[#This Row],[GroupByKey]])*DiscreteStatsTable[NumberObservations])),0)</f>
        <v>166.3</v>
      </c>
      <c r="W96" s="5">
        <f>IF((DiscreteStatsTable[[#This Row],[RepsRequested]]&gt;1),DiscreteStatsTable[[#This Row],[HalfWidth]],DiscreteStatsTable[[#This Row],[BatchMeansHalfWidth]])</f>
        <v>0</v>
      </c>
      <c r="X96" s="5" cm="1">
        <f t="array" ref="X96">COUNT(IF((DiscreteStatsTable[GroupByKey]=DiscreteStatsTable[[#This Row],[GroupByKey]]),(DiscreteStatsTable[GroupByKey]=DiscreteStatsTable[[#This Row],[GroupByKey]])*DiscreteStatsTable[Replication]))</f>
        <v>10</v>
      </c>
      <c r="Y96" s="5">
        <f>IF(DiscreteStatsTable[[#This Row],[RepsRequested]]=DiscreteStatsTable[[#This Row],[RepsWithStatObserved]],1,0)</f>
        <v>1</v>
      </c>
    </row>
    <row r="97" spans="1:25" x14ac:dyDescent="0.4">
      <c r="A97" t="s">
        <v>66</v>
      </c>
      <c r="B97" t="s">
        <v>69</v>
      </c>
      <c r="C97">
        <v>6</v>
      </c>
      <c r="D97" t="s">
        <v>83</v>
      </c>
      <c r="E97" t="s">
        <v>79</v>
      </c>
      <c r="F97" t="s">
        <v>80</v>
      </c>
      <c r="G97">
        <v>0</v>
      </c>
      <c r="H97">
        <v>2E+20</v>
      </c>
      <c r="I97">
        <v>0</v>
      </c>
      <c r="J97">
        <v>0</v>
      </c>
      <c r="K97">
        <v>171</v>
      </c>
      <c r="L97" s="5" t="str">
        <f>DiscreteStatsTable[[#This Row],[ProjectName]]&amp;DiscreteStatsTable[[#This Row],[Name]]&amp;DiscreteStatsTable[[#This Row],[Type]]&amp;DiscreteStatsTable[[#This Row],[Source]]</f>
        <v>Unnamed ProjectHold M4.QueueWaiting TimeQueue</v>
      </c>
      <c r="M97" s="5" cm="1">
        <f t="array" ref="M97">MAX(IF((ProjectInfoTable[ProjectName]=DiscreteStatsTable[[#This Row],[ProjectName]]),(ProjectInfoTable[ProjectName]=DiscreteStatsTable[[#This Row],[ProjectName]])*ProjectInfoTable[NumberOfReplications]))</f>
        <v>10</v>
      </c>
      <c r="N97" s="5" cm="1">
        <f t="array" ref="N97">IFERROR(AVERAGE(IF((DiscreteStatsTable[GroupByKey]=DiscreteStatsTable[[#This Row],[GroupByKey]]),(DiscreteStatsTable[GroupByKey]=DiscreteStatsTable[[#This Row],[GroupByKey]])*DiscreteStatsTable[Average])),0)</f>
        <v>0</v>
      </c>
      <c r="O97" s="5" cm="1">
        <f t="array" ref="O97">IFERROR(_xlfn.STDEV.S(IF((DiscreteStatsTable[GroupByKey]=DiscreteStatsTable[[#This Row],[GroupByKey]]),(DiscreteStatsTable[GroupByKey]=DiscreteStatsTable[[#This Row],[GroupByKey]])*DiscreteStatsTable[Average])),0)</f>
        <v>0</v>
      </c>
      <c r="P97" s="5" cm="1">
        <f t="array" ref="P97">MAX(IF((ProjectInfoTable[ProjectName]=DiscreteStatsTable[[#This Row],[ProjectName]]),(ProjectInfoTable[ProjectName]=DiscreteStatsTable[[#This Row],[ProjectName]])*ProjectInfoTable[ConfidenceInterval]))</f>
        <v>0.95</v>
      </c>
      <c r="Q97" s="5">
        <f>IF(AND(DiscreteStatsTable[[#This Row],[RepsWithStatObserved]]=1,Y97=0),200000000000000000000,IFERROR(_xlfn.T.INV.2T(1 -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7" s="5" cm="1">
        <f t="array" ref="R97">MIN(IF((DiscreteStatsTable[GroupByKey]=DiscreteStatsTable[[#This Row],[GroupByKey]]),(DiscreteStatsTable[GroupByKey]=DiscreteStatsTable[[#This Row],[GroupByKey]])*DiscreteStatsTable[Average]))</f>
        <v>0</v>
      </c>
      <c r="S97" s="5" cm="1">
        <f t="array" ref="S97">MAX(IF((DiscreteStatsTable[GroupByKey]=DiscreteStatsTable[[#This Row],[GroupByKey]]),(DiscreteStatsTable[GroupByKey]=DiscreteStatsTable[[#This Row],[GroupByKey]])*DiscreteStatsTable[Average]))</f>
        <v>0</v>
      </c>
      <c r="T97" s="5" cm="1">
        <f t="array" ref="T97">MIN(IF((DiscreteStatsTable[GroupByKey]=DiscreteStatsTable[[#This Row],[GroupByKey]]),(DiscreteStatsTable[GroupByKey]=DiscreteStatsTable[[#This Row],[GroupByKey]])*DiscreteStatsTable[Minimum]))</f>
        <v>0</v>
      </c>
      <c r="U97" s="5" cm="1">
        <f t="array" ref="U97">MAX(IF((DiscreteStatsTable[GroupByKey]=DiscreteStatsTable[[#This Row],[GroupByKey]]),(DiscreteStatsTable[GroupByKey]=DiscreteStatsTable[[#This Row],[GroupByKey]])*DiscreteStatsTable[Maximum]))</f>
        <v>0</v>
      </c>
      <c r="V97" s="5" cm="1">
        <f t="array" ref="V97">IFERROR(AVERAGE(IF((DiscreteStatsTable[GroupByKey]=DiscreteStatsTable[[#This Row],[GroupByKey]]),(DiscreteStatsTable[GroupByKey]=DiscreteStatsTable[[#This Row],[GroupByKey]])*DiscreteStatsTable[NumberObservations])),0)</f>
        <v>166.3</v>
      </c>
      <c r="W97" s="5">
        <f>IF((DiscreteStatsTable[[#This Row],[RepsRequested]]&gt;1),DiscreteStatsTable[[#This Row],[HalfWidth]],DiscreteStatsTable[[#This Row],[BatchMeansHalfWidth]])</f>
        <v>0</v>
      </c>
      <c r="X97" s="5" cm="1">
        <f t="array" ref="X97">COUNT(IF((DiscreteStatsTable[GroupByKey]=DiscreteStatsTable[[#This Row],[GroupByKey]]),(DiscreteStatsTable[GroupByKey]=DiscreteStatsTable[[#This Row],[GroupByKey]])*DiscreteStatsTable[Replication]))</f>
        <v>10</v>
      </c>
      <c r="Y97" s="5">
        <f>IF(DiscreteStatsTable[[#This Row],[RepsRequested]]=DiscreteStatsTable[[#This Row],[RepsWithStatObserved]],1,0)</f>
        <v>1</v>
      </c>
    </row>
    <row r="98" spans="1:25" x14ac:dyDescent="0.4">
      <c r="A98" t="s">
        <v>66</v>
      </c>
      <c r="B98" t="s">
        <v>69</v>
      </c>
      <c r="C98">
        <v>7</v>
      </c>
      <c r="D98" t="s">
        <v>83</v>
      </c>
      <c r="E98" t="s">
        <v>79</v>
      </c>
      <c r="F98" t="s">
        <v>80</v>
      </c>
      <c r="G98">
        <v>0</v>
      </c>
      <c r="H98">
        <v>2E+20</v>
      </c>
      <c r="I98">
        <v>0</v>
      </c>
      <c r="J98">
        <v>0</v>
      </c>
      <c r="K98">
        <v>147</v>
      </c>
      <c r="L98" s="5" t="str">
        <f>DiscreteStatsTable[[#This Row],[ProjectName]]&amp;DiscreteStatsTable[[#This Row],[Name]]&amp;DiscreteStatsTable[[#This Row],[Type]]&amp;DiscreteStatsTable[[#This Row],[Source]]</f>
        <v>Unnamed ProjectHold M4.QueueWaiting TimeQueue</v>
      </c>
      <c r="M98" s="5" cm="1">
        <f t="array" ref="M98">MAX(IF((ProjectInfoTable[ProjectName]=DiscreteStatsTable[[#This Row],[ProjectName]]),(ProjectInfoTable[ProjectName]=DiscreteStatsTable[[#This Row],[ProjectName]])*ProjectInfoTable[NumberOfReplications]))</f>
        <v>10</v>
      </c>
      <c r="N98" s="5" cm="1">
        <f t="array" ref="N98">IFERROR(AVERAGE(IF((DiscreteStatsTable[GroupByKey]=DiscreteStatsTable[[#This Row],[GroupByKey]]),(DiscreteStatsTable[GroupByKey]=DiscreteStatsTable[[#This Row],[GroupByKey]])*DiscreteStatsTable[Average])),0)</f>
        <v>0</v>
      </c>
      <c r="O98" s="5" cm="1">
        <f t="array" ref="O98">IFERROR(_xlfn.STDEV.S(IF((DiscreteStatsTable[GroupByKey]=DiscreteStatsTable[[#This Row],[GroupByKey]]),(DiscreteStatsTable[GroupByKey]=DiscreteStatsTable[[#This Row],[GroupByKey]])*DiscreteStatsTable[Average])),0)</f>
        <v>0</v>
      </c>
      <c r="P98" s="5" cm="1">
        <f t="array" ref="P98">MAX(IF((ProjectInfoTable[ProjectName]=DiscreteStatsTable[[#This Row],[ProjectName]]),(ProjectInfoTable[ProjectName]=DiscreteStatsTable[[#This Row],[ProjectName]])*ProjectInfoTable[ConfidenceInterval]))</f>
        <v>0.95</v>
      </c>
      <c r="Q98" s="5">
        <f>IF(AND(DiscreteStatsTable[[#This Row],[RepsWithStatObserved]]=1,Y98=0),200000000000000000000,IFERROR(_xlfn.T.INV.2T(1 -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" s="5" cm="1">
        <f t="array" ref="R98">MIN(IF((DiscreteStatsTable[GroupByKey]=DiscreteStatsTable[[#This Row],[GroupByKey]]),(DiscreteStatsTable[GroupByKey]=DiscreteStatsTable[[#This Row],[GroupByKey]])*DiscreteStatsTable[Average]))</f>
        <v>0</v>
      </c>
      <c r="S98" s="5" cm="1">
        <f t="array" ref="S98">MAX(IF((DiscreteStatsTable[GroupByKey]=DiscreteStatsTable[[#This Row],[GroupByKey]]),(DiscreteStatsTable[GroupByKey]=DiscreteStatsTable[[#This Row],[GroupByKey]])*DiscreteStatsTable[Average]))</f>
        <v>0</v>
      </c>
      <c r="T98" s="5" cm="1">
        <f t="array" ref="T98">MIN(IF((DiscreteStatsTable[GroupByKey]=DiscreteStatsTable[[#This Row],[GroupByKey]]),(DiscreteStatsTable[GroupByKey]=DiscreteStatsTable[[#This Row],[GroupByKey]])*DiscreteStatsTable[Minimum]))</f>
        <v>0</v>
      </c>
      <c r="U98" s="5" cm="1">
        <f t="array" ref="U98">MAX(IF((DiscreteStatsTable[GroupByKey]=DiscreteStatsTable[[#This Row],[GroupByKey]]),(DiscreteStatsTable[GroupByKey]=DiscreteStatsTable[[#This Row],[GroupByKey]])*DiscreteStatsTable[Maximum]))</f>
        <v>0</v>
      </c>
      <c r="V98" s="5" cm="1">
        <f t="array" ref="V98">IFERROR(AVERAGE(IF((DiscreteStatsTable[GroupByKey]=DiscreteStatsTable[[#This Row],[GroupByKey]]),(DiscreteStatsTable[GroupByKey]=DiscreteStatsTable[[#This Row],[GroupByKey]])*DiscreteStatsTable[NumberObservations])),0)</f>
        <v>166.3</v>
      </c>
      <c r="W98" s="5">
        <f>IF((DiscreteStatsTable[[#This Row],[RepsRequested]]&gt;1),DiscreteStatsTable[[#This Row],[HalfWidth]],DiscreteStatsTable[[#This Row],[BatchMeansHalfWidth]])</f>
        <v>0</v>
      </c>
      <c r="X98" s="5" cm="1">
        <f t="array" ref="X98">COUNT(IF((DiscreteStatsTable[GroupByKey]=DiscreteStatsTable[[#This Row],[GroupByKey]]),(DiscreteStatsTable[GroupByKey]=DiscreteStatsTable[[#This Row],[GroupByKey]])*DiscreteStatsTable[Replication]))</f>
        <v>10</v>
      </c>
      <c r="Y98" s="5">
        <f>IF(DiscreteStatsTable[[#This Row],[RepsRequested]]=DiscreteStatsTable[[#This Row],[RepsWithStatObserved]],1,0)</f>
        <v>1</v>
      </c>
    </row>
    <row r="99" spans="1:25" x14ac:dyDescent="0.4">
      <c r="A99" t="s">
        <v>66</v>
      </c>
      <c r="B99" t="s">
        <v>69</v>
      </c>
      <c r="C99">
        <v>8</v>
      </c>
      <c r="D99" t="s">
        <v>83</v>
      </c>
      <c r="E99" t="s">
        <v>79</v>
      </c>
      <c r="F99" t="s">
        <v>80</v>
      </c>
      <c r="G99">
        <v>0</v>
      </c>
      <c r="H99">
        <v>2E+20</v>
      </c>
      <c r="I99">
        <v>0</v>
      </c>
      <c r="J99">
        <v>0</v>
      </c>
      <c r="K99">
        <v>174</v>
      </c>
      <c r="L99" s="5" t="str">
        <f>DiscreteStatsTable[[#This Row],[ProjectName]]&amp;DiscreteStatsTable[[#This Row],[Name]]&amp;DiscreteStatsTable[[#This Row],[Type]]&amp;DiscreteStatsTable[[#This Row],[Source]]</f>
        <v>Unnamed ProjectHold M4.QueueWaiting TimeQueue</v>
      </c>
      <c r="M99" s="5" cm="1">
        <f t="array" ref="M99">MAX(IF((ProjectInfoTable[ProjectName]=DiscreteStatsTable[[#This Row],[ProjectName]]),(ProjectInfoTable[ProjectName]=DiscreteStatsTable[[#This Row],[ProjectName]])*ProjectInfoTable[NumberOfReplications]))</f>
        <v>10</v>
      </c>
      <c r="N99" s="5" cm="1">
        <f t="array" ref="N99">IFERROR(AVERAGE(IF((DiscreteStatsTable[GroupByKey]=DiscreteStatsTable[[#This Row],[GroupByKey]]),(DiscreteStatsTable[GroupByKey]=DiscreteStatsTable[[#This Row],[GroupByKey]])*DiscreteStatsTable[Average])),0)</f>
        <v>0</v>
      </c>
      <c r="O99" s="5" cm="1">
        <f t="array" ref="O99">IFERROR(_xlfn.STDEV.S(IF((DiscreteStatsTable[GroupByKey]=DiscreteStatsTable[[#This Row],[GroupByKey]]),(DiscreteStatsTable[GroupByKey]=DiscreteStatsTable[[#This Row],[GroupByKey]])*DiscreteStatsTable[Average])),0)</f>
        <v>0</v>
      </c>
      <c r="P99" s="5" cm="1">
        <f t="array" ref="P99">MAX(IF((ProjectInfoTable[ProjectName]=DiscreteStatsTable[[#This Row],[ProjectName]]),(ProjectInfoTable[ProjectName]=DiscreteStatsTable[[#This Row],[ProjectName]])*ProjectInfoTable[ConfidenceInterval]))</f>
        <v>0.95</v>
      </c>
      <c r="Q99" s="5">
        <f>IF(AND(DiscreteStatsTable[[#This Row],[RepsWithStatObserved]]=1,Y99=0),200000000000000000000,IFERROR(_xlfn.T.INV.2T(1 -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" s="5" cm="1">
        <f t="array" ref="R99">MIN(IF((DiscreteStatsTable[GroupByKey]=DiscreteStatsTable[[#This Row],[GroupByKey]]),(DiscreteStatsTable[GroupByKey]=DiscreteStatsTable[[#This Row],[GroupByKey]])*DiscreteStatsTable[Average]))</f>
        <v>0</v>
      </c>
      <c r="S99" s="5" cm="1">
        <f t="array" ref="S99">MAX(IF((DiscreteStatsTable[GroupByKey]=DiscreteStatsTable[[#This Row],[GroupByKey]]),(DiscreteStatsTable[GroupByKey]=DiscreteStatsTable[[#This Row],[GroupByKey]])*DiscreteStatsTable[Average]))</f>
        <v>0</v>
      </c>
      <c r="T99" s="5" cm="1">
        <f t="array" ref="T99">MIN(IF((DiscreteStatsTable[GroupByKey]=DiscreteStatsTable[[#This Row],[GroupByKey]]),(DiscreteStatsTable[GroupByKey]=DiscreteStatsTable[[#This Row],[GroupByKey]])*DiscreteStatsTable[Minimum]))</f>
        <v>0</v>
      </c>
      <c r="U99" s="5" cm="1">
        <f t="array" ref="U99">MAX(IF((DiscreteStatsTable[GroupByKey]=DiscreteStatsTable[[#This Row],[GroupByKey]]),(DiscreteStatsTable[GroupByKey]=DiscreteStatsTable[[#This Row],[GroupByKey]])*DiscreteStatsTable[Maximum]))</f>
        <v>0</v>
      </c>
      <c r="V99" s="5" cm="1">
        <f t="array" ref="V99">IFERROR(AVERAGE(IF((DiscreteStatsTable[GroupByKey]=DiscreteStatsTable[[#This Row],[GroupByKey]]),(DiscreteStatsTable[GroupByKey]=DiscreteStatsTable[[#This Row],[GroupByKey]])*DiscreteStatsTable[NumberObservations])),0)</f>
        <v>166.3</v>
      </c>
      <c r="W99" s="5">
        <f>IF((DiscreteStatsTable[[#This Row],[RepsRequested]]&gt;1),DiscreteStatsTable[[#This Row],[HalfWidth]],DiscreteStatsTable[[#This Row],[BatchMeansHalfWidth]])</f>
        <v>0</v>
      </c>
      <c r="X99" s="5" cm="1">
        <f t="array" ref="X99">COUNT(IF((DiscreteStatsTable[GroupByKey]=DiscreteStatsTable[[#This Row],[GroupByKey]]),(DiscreteStatsTable[GroupByKey]=DiscreteStatsTable[[#This Row],[GroupByKey]])*DiscreteStatsTable[Replication]))</f>
        <v>10</v>
      </c>
      <c r="Y99" s="5">
        <f>IF(DiscreteStatsTable[[#This Row],[RepsRequested]]=DiscreteStatsTable[[#This Row],[RepsWithStatObserved]],1,0)</f>
        <v>1</v>
      </c>
    </row>
    <row r="100" spans="1:25" x14ac:dyDescent="0.4">
      <c r="A100" t="s">
        <v>66</v>
      </c>
      <c r="B100" t="s">
        <v>69</v>
      </c>
      <c r="C100">
        <v>9</v>
      </c>
      <c r="D100" t="s">
        <v>83</v>
      </c>
      <c r="E100" t="s">
        <v>79</v>
      </c>
      <c r="F100" t="s">
        <v>80</v>
      </c>
      <c r="G100">
        <v>0</v>
      </c>
      <c r="H100">
        <v>2E+20</v>
      </c>
      <c r="I100">
        <v>0</v>
      </c>
      <c r="J100">
        <v>0</v>
      </c>
      <c r="K100">
        <v>174</v>
      </c>
      <c r="L100" s="5" t="str">
        <f>DiscreteStatsTable[[#This Row],[ProjectName]]&amp;DiscreteStatsTable[[#This Row],[Name]]&amp;DiscreteStatsTable[[#This Row],[Type]]&amp;DiscreteStatsTable[[#This Row],[Source]]</f>
        <v>Unnamed ProjectHold M4.QueueWaiting TimeQueue</v>
      </c>
      <c r="M100" s="5" cm="1">
        <f t="array" ref="M100">MAX(IF((ProjectInfoTable[ProjectName]=DiscreteStatsTable[[#This Row],[ProjectName]]),(ProjectInfoTable[ProjectName]=DiscreteStatsTable[[#This Row],[ProjectName]])*ProjectInfoTable[NumberOfReplications]))</f>
        <v>10</v>
      </c>
      <c r="N100" s="5" cm="1">
        <f t="array" ref="N100">IFERROR(AVERAGE(IF((DiscreteStatsTable[GroupByKey]=DiscreteStatsTable[[#This Row],[GroupByKey]]),(DiscreteStatsTable[GroupByKey]=DiscreteStatsTable[[#This Row],[GroupByKey]])*DiscreteStatsTable[Average])),0)</f>
        <v>0</v>
      </c>
      <c r="O100" s="5" cm="1">
        <f t="array" ref="O100">IFERROR(_xlfn.STDEV.S(IF((DiscreteStatsTable[GroupByKey]=DiscreteStatsTable[[#This Row],[GroupByKey]]),(DiscreteStatsTable[GroupByKey]=DiscreteStatsTable[[#This Row],[GroupByKey]])*DiscreteStatsTable[Average])),0)</f>
        <v>0</v>
      </c>
      <c r="P100" s="5" cm="1">
        <f t="array" ref="P100">MAX(IF((ProjectInfoTable[ProjectName]=DiscreteStatsTable[[#This Row],[ProjectName]]),(ProjectInfoTable[ProjectName]=DiscreteStatsTable[[#This Row],[ProjectName]])*ProjectInfoTable[ConfidenceInterval]))</f>
        <v>0.95</v>
      </c>
      <c r="Q100" s="5">
        <f>IF(AND(DiscreteStatsTable[[#This Row],[RepsWithStatObserved]]=1,Y100=0),200000000000000000000,IFERROR(_xlfn.T.INV.2T(1 -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0" s="5" cm="1">
        <f t="array" ref="R100">MIN(IF((DiscreteStatsTable[GroupByKey]=DiscreteStatsTable[[#This Row],[GroupByKey]]),(DiscreteStatsTable[GroupByKey]=DiscreteStatsTable[[#This Row],[GroupByKey]])*DiscreteStatsTable[Average]))</f>
        <v>0</v>
      </c>
      <c r="S100" s="5" cm="1">
        <f t="array" ref="S100">MAX(IF((DiscreteStatsTable[GroupByKey]=DiscreteStatsTable[[#This Row],[GroupByKey]]),(DiscreteStatsTable[GroupByKey]=DiscreteStatsTable[[#This Row],[GroupByKey]])*DiscreteStatsTable[Average]))</f>
        <v>0</v>
      </c>
      <c r="T100" s="5" cm="1">
        <f t="array" ref="T100">MIN(IF((DiscreteStatsTable[GroupByKey]=DiscreteStatsTable[[#This Row],[GroupByKey]]),(DiscreteStatsTable[GroupByKey]=DiscreteStatsTable[[#This Row],[GroupByKey]])*DiscreteStatsTable[Minimum]))</f>
        <v>0</v>
      </c>
      <c r="U100" s="5" cm="1">
        <f t="array" ref="U100">MAX(IF((DiscreteStatsTable[GroupByKey]=DiscreteStatsTable[[#This Row],[GroupByKey]]),(DiscreteStatsTable[GroupByKey]=DiscreteStatsTable[[#This Row],[GroupByKey]])*DiscreteStatsTable[Maximum]))</f>
        <v>0</v>
      </c>
      <c r="V100" s="5" cm="1">
        <f t="array" ref="V100">IFERROR(AVERAGE(IF((DiscreteStatsTable[GroupByKey]=DiscreteStatsTable[[#This Row],[GroupByKey]]),(DiscreteStatsTable[GroupByKey]=DiscreteStatsTable[[#This Row],[GroupByKey]])*DiscreteStatsTable[NumberObservations])),0)</f>
        <v>166.3</v>
      </c>
      <c r="W100" s="5">
        <f>IF((DiscreteStatsTable[[#This Row],[RepsRequested]]&gt;1),DiscreteStatsTable[[#This Row],[HalfWidth]],DiscreteStatsTable[[#This Row],[BatchMeansHalfWidth]])</f>
        <v>0</v>
      </c>
      <c r="X100" s="5" cm="1">
        <f t="array" ref="X100">COUNT(IF((DiscreteStatsTable[GroupByKey]=DiscreteStatsTable[[#This Row],[GroupByKey]]),(DiscreteStatsTable[GroupByKey]=DiscreteStatsTable[[#This Row],[GroupByKey]])*DiscreteStatsTable[Replication]))</f>
        <v>10</v>
      </c>
      <c r="Y100" s="5">
        <f>IF(DiscreteStatsTable[[#This Row],[RepsRequested]]=DiscreteStatsTable[[#This Row],[RepsWithStatObserved]],1,0)</f>
        <v>1</v>
      </c>
    </row>
    <row r="101" spans="1:25" x14ac:dyDescent="0.4">
      <c r="A101" t="s">
        <v>66</v>
      </c>
      <c r="B101" t="s">
        <v>69</v>
      </c>
      <c r="C101">
        <v>10</v>
      </c>
      <c r="D101" t="s">
        <v>83</v>
      </c>
      <c r="E101" t="s">
        <v>79</v>
      </c>
      <c r="F101" t="s">
        <v>80</v>
      </c>
      <c r="G101">
        <v>0</v>
      </c>
      <c r="H101">
        <v>2E+20</v>
      </c>
      <c r="I101">
        <v>0</v>
      </c>
      <c r="J101">
        <v>0</v>
      </c>
      <c r="K101">
        <v>159</v>
      </c>
      <c r="L101" s="5" t="str">
        <f>DiscreteStatsTable[[#This Row],[ProjectName]]&amp;DiscreteStatsTable[[#This Row],[Name]]&amp;DiscreteStatsTable[[#This Row],[Type]]&amp;DiscreteStatsTable[[#This Row],[Source]]</f>
        <v>Unnamed ProjectHold M4.QueueWaiting TimeQueue</v>
      </c>
      <c r="M101" s="5" cm="1">
        <f t="array" ref="M101">MAX(IF((ProjectInfoTable[ProjectName]=DiscreteStatsTable[[#This Row],[ProjectName]]),(ProjectInfoTable[ProjectName]=DiscreteStatsTable[[#This Row],[ProjectName]])*ProjectInfoTable[NumberOfReplications]))</f>
        <v>10</v>
      </c>
      <c r="N101" s="5" cm="1">
        <f t="array" ref="N101">IFERROR(AVERAGE(IF((DiscreteStatsTable[GroupByKey]=DiscreteStatsTable[[#This Row],[GroupByKey]]),(DiscreteStatsTable[GroupByKey]=DiscreteStatsTable[[#This Row],[GroupByKey]])*DiscreteStatsTable[Average])),0)</f>
        <v>0</v>
      </c>
      <c r="O101" s="5" cm="1">
        <f t="array" ref="O101">IFERROR(_xlfn.STDEV.S(IF((DiscreteStatsTable[GroupByKey]=DiscreteStatsTable[[#This Row],[GroupByKey]]),(DiscreteStatsTable[GroupByKey]=DiscreteStatsTable[[#This Row],[GroupByKey]])*DiscreteStatsTable[Average])),0)</f>
        <v>0</v>
      </c>
      <c r="P101" s="5" cm="1">
        <f t="array" ref="P101">MAX(IF((ProjectInfoTable[ProjectName]=DiscreteStatsTable[[#This Row],[ProjectName]]),(ProjectInfoTable[ProjectName]=DiscreteStatsTable[[#This Row],[ProjectName]])*ProjectInfoTable[ConfidenceInterval]))</f>
        <v>0.95</v>
      </c>
      <c r="Q101" s="5">
        <f>IF(AND(DiscreteStatsTable[[#This Row],[RepsWithStatObserved]]=1,Y101=0),200000000000000000000,IFERROR(_xlfn.T.INV.2T(1 -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" s="5" cm="1">
        <f t="array" ref="R101">MIN(IF((DiscreteStatsTable[GroupByKey]=DiscreteStatsTable[[#This Row],[GroupByKey]]),(DiscreteStatsTable[GroupByKey]=DiscreteStatsTable[[#This Row],[GroupByKey]])*DiscreteStatsTable[Average]))</f>
        <v>0</v>
      </c>
      <c r="S101" s="5" cm="1">
        <f t="array" ref="S101">MAX(IF((DiscreteStatsTable[GroupByKey]=DiscreteStatsTable[[#This Row],[GroupByKey]]),(DiscreteStatsTable[GroupByKey]=DiscreteStatsTable[[#This Row],[GroupByKey]])*DiscreteStatsTable[Average]))</f>
        <v>0</v>
      </c>
      <c r="T101" s="5" cm="1">
        <f t="array" ref="T101">MIN(IF((DiscreteStatsTable[GroupByKey]=DiscreteStatsTable[[#This Row],[GroupByKey]]),(DiscreteStatsTable[GroupByKey]=DiscreteStatsTable[[#This Row],[GroupByKey]])*DiscreteStatsTable[Minimum]))</f>
        <v>0</v>
      </c>
      <c r="U101" s="5" cm="1">
        <f t="array" ref="U101">MAX(IF((DiscreteStatsTable[GroupByKey]=DiscreteStatsTable[[#This Row],[GroupByKey]]),(DiscreteStatsTable[GroupByKey]=DiscreteStatsTable[[#This Row],[GroupByKey]])*DiscreteStatsTable[Maximum]))</f>
        <v>0</v>
      </c>
      <c r="V101" s="5" cm="1">
        <f t="array" ref="V101">IFERROR(AVERAGE(IF((DiscreteStatsTable[GroupByKey]=DiscreteStatsTable[[#This Row],[GroupByKey]]),(DiscreteStatsTable[GroupByKey]=DiscreteStatsTable[[#This Row],[GroupByKey]])*DiscreteStatsTable[NumberObservations])),0)</f>
        <v>166.3</v>
      </c>
      <c r="W101" s="5">
        <f>IF((DiscreteStatsTable[[#This Row],[RepsRequested]]&gt;1),DiscreteStatsTable[[#This Row],[HalfWidth]],DiscreteStatsTable[[#This Row],[BatchMeansHalfWidth]])</f>
        <v>0</v>
      </c>
      <c r="X101" s="5" cm="1">
        <f t="array" ref="X101">COUNT(IF((DiscreteStatsTable[GroupByKey]=DiscreteStatsTable[[#This Row],[GroupByKey]]),(DiscreteStatsTable[GroupByKey]=DiscreteStatsTable[[#This Row],[GroupByKey]])*DiscreteStatsTable[Replication]))</f>
        <v>10</v>
      </c>
      <c r="Y101" s="5">
        <f>IF(DiscreteStatsTable[[#This Row],[RepsRequested]]=DiscreteStatsTable[[#This Row],[RepsWithStatObserved]],1,0)</f>
        <v>1</v>
      </c>
    </row>
    <row r="102" spans="1:25" x14ac:dyDescent="0.4">
      <c r="A102" t="s">
        <v>66</v>
      </c>
      <c r="B102" t="s">
        <v>69</v>
      </c>
      <c r="C102">
        <v>1</v>
      </c>
      <c r="D102" t="s">
        <v>84</v>
      </c>
      <c r="E102" t="s">
        <v>79</v>
      </c>
      <c r="F102" t="s">
        <v>80</v>
      </c>
      <c r="G102">
        <v>0</v>
      </c>
      <c r="H102">
        <v>2E+20</v>
      </c>
      <c r="I102">
        <v>0</v>
      </c>
      <c r="J102">
        <v>0</v>
      </c>
      <c r="K102">
        <v>214</v>
      </c>
      <c r="L102" s="5" t="str">
        <f>DiscreteStatsTable[[#This Row],[ProjectName]]&amp;DiscreteStatsTable[[#This Row],[Name]]&amp;DiscreteStatsTable[[#This Row],[Type]]&amp;DiscreteStatsTable[[#This Row],[Source]]</f>
        <v>Unnamed ProjectHold M5.QueueWaiting TimeQueue</v>
      </c>
      <c r="M102" s="5" cm="1">
        <f t="array" ref="M102">MAX(IF((ProjectInfoTable[ProjectName]=DiscreteStatsTable[[#This Row],[ProjectName]]),(ProjectInfoTable[ProjectName]=DiscreteStatsTable[[#This Row],[ProjectName]])*ProjectInfoTable[NumberOfReplications]))</f>
        <v>10</v>
      </c>
      <c r="N102" s="5" cm="1">
        <f t="array" ref="N102">IFERROR(AVERAGE(IF((DiscreteStatsTable[GroupByKey]=DiscreteStatsTable[[#This Row],[GroupByKey]]),(DiscreteStatsTable[GroupByKey]=DiscreteStatsTable[[#This Row],[GroupByKey]])*DiscreteStatsTable[Average])),0)</f>
        <v>0</v>
      </c>
      <c r="O102" s="5" cm="1">
        <f t="array" ref="O102">IFERROR(_xlfn.STDEV.S(IF((DiscreteStatsTable[GroupByKey]=DiscreteStatsTable[[#This Row],[GroupByKey]]),(DiscreteStatsTable[GroupByKey]=DiscreteStatsTable[[#This Row],[GroupByKey]])*DiscreteStatsTable[Average])),0)</f>
        <v>0</v>
      </c>
      <c r="P102" s="5" cm="1">
        <f t="array" ref="P102">MAX(IF((ProjectInfoTable[ProjectName]=DiscreteStatsTable[[#This Row],[ProjectName]]),(ProjectInfoTable[ProjectName]=DiscreteStatsTable[[#This Row],[ProjectName]])*ProjectInfoTable[ConfidenceInterval]))</f>
        <v>0.95</v>
      </c>
      <c r="Q102" s="5">
        <f>IF(AND(DiscreteStatsTable[[#This Row],[RepsWithStatObserved]]=1,Y102=0),200000000000000000000,IFERROR(_xlfn.T.INV.2T(1 -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2" s="5" cm="1">
        <f t="array" ref="R102">MIN(IF((DiscreteStatsTable[GroupByKey]=DiscreteStatsTable[[#This Row],[GroupByKey]]),(DiscreteStatsTable[GroupByKey]=DiscreteStatsTable[[#This Row],[GroupByKey]])*DiscreteStatsTable[Average]))</f>
        <v>0</v>
      </c>
      <c r="S102" s="5" cm="1">
        <f t="array" ref="S102">MAX(IF((DiscreteStatsTable[GroupByKey]=DiscreteStatsTable[[#This Row],[GroupByKey]]),(DiscreteStatsTable[GroupByKey]=DiscreteStatsTable[[#This Row],[GroupByKey]])*DiscreteStatsTable[Average]))</f>
        <v>0</v>
      </c>
      <c r="T102" s="5" cm="1">
        <f t="array" ref="T102">MIN(IF((DiscreteStatsTable[GroupByKey]=DiscreteStatsTable[[#This Row],[GroupByKey]]),(DiscreteStatsTable[GroupByKey]=DiscreteStatsTable[[#This Row],[GroupByKey]])*DiscreteStatsTable[Minimum]))</f>
        <v>0</v>
      </c>
      <c r="U102" s="5" cm="1">
        <f t="array" ref="U102">MAX(IF((DiscreteStatsTable[GroupByKey]=DiscreteStatsTable[[#This Row],[GroupByKey]]),(DiscreteStatsTable[GroupByKey]=DiscreteStatsTable[[#This Row],[GroupByKey]])*DiscreteStatsTable[Maximum]))</f>
        <v>0</v>
      </c>
      <c r="V102" s="5" cm="1">
        <f t="array" ref="V102">IFERROR(AVERAGE(IF((DiscreteStatsTable[GroupByKey]=DiscreteStatsTable[[#This Row],[GroupByKey]]),(DiscreteStatsTable[GroupByKey]=DiscreteStatsTable[[#This Row],[GroupByKey]])*DiscreteStatsTable[NumberObservations])),0)</f>
        <v>220.7</v>
      </c>
      <c r="W102" s="5">
        <f>IF((DiscreteStatsTable[[#This Row],[RepsRequested]]&gt;1),DiscreteStatsTable[[#This Row],[HalfWidth]],DiscreteStatsTable[[#This Row],[BatchMeansHalfWidth]])</f>
        <v>0</v>
      </c>
      <c r="X102" s="5" cm="1">
        <f t="array" ref="X102">COUNT(IF((DiscreteStatsTable[GroupByKey]=DiscreteStatsTable[[#This Row],[GroupByKey]]),(DiscreteStatsTable[GroupByKey]=DiscreteStatsTable[[#This Row],[GroupByKey]])*DiscreteStatsTable[Replication]))</f>
        <v>10</v>
      </c>
      <c r="Y102" s="5">
        <f>IF(DiscreteStatsTable[[#This Row],[RepsRequested]]=DiscreteStatsTable[[#This Row],[RepsWithStatObserved]],1,0)</f>
        <v>1</v>
      </c>
    </row>
    <row r="103" spans="1:25" x14ac:dyDescent="0.4">
      <c r="A103" t="s">
        <v>66</v>
      </c>
      <c r="B103" t="s">
        <v>69</v>
      </c>
      <c r="C103">
        <v>2</v>
      </c>
      <c r="D103" t="s">
        <v>84</v>
      </c>
      <c r="E103" t="s">
        <v>79</v>
      </c>
      <c r="F103" t="s">
        <v>80</v>
      </c>
      <c r="G103">
        <v>0</v>
      </c>
      <c r="H103">
        <v>2E+20</v>
      </c>
      <c r="I103">
        <v>0</v>
      </c>
      <c r="J103">
        <v>0</v>
      </c>
      <c r="K103">
        <v>224</v>
      </c>
      <c r="L103" s="5" t="str">
        <f>DiscreteStatsTable[[#This Row],[ProjectName]]&amp;DiscreteStatsTable[[#This Row],[Name]]&amp;DiscreteStatsTable[[#This Row],[Type]]&amp;DiscreteStatsTable[[#This Row],[Source]]</f>
        <v>Unnamed ProjectHold M5.QueueWaiting TimeQueue</v>
      </c>
      <c r="M103" s="5" cm="1">
        <f t="array" ref="M103">MAX(IF((ProjectInfoTable[ProjectName]=DiscreteStatsTable[[#This Row],[ProjectName]]),(ProjectInfoTable[ProjectName]=DiscreteStatsTable[[#This Row],[ProjectName]])*ProjectInfoTable[NumberOfReplications]))</f>
        <v>10</v>
      </c>
      <c r="N103" s="5" cm="1">
        <f t="array" ref="N103">IFERROR(AVERAGE(IF((DiscreteStatsTable[GroupByKey]=DiscreteStatsTable[[#This Row],[GroupByKey]]),(DiscreteStatsTable[GroupByKey]=DiscreteStatsTable[[#This Row],[GroupByKey]])*DiscreteStatsTable[Average])),0)</f>
        <v>0</v>
      </c>
      <c r="O103" s="5" cm="1">
        <f t="array" ref="O103">IFERROR(_xlfn.STDEV.S(IF((DiscreteStatsTable[GroupByKey]=DiscreteStatsTable[[#This Row],[GroupByKey]]),(DiscreteStatsTable[GroupByKey]=DiscreteStatsTable[[#This Row],[GroupByKey]])*DiscreteStatsTable[Average])),0)</f>
        <v>0</v>
      </c>
      <c r="P103" s="5" cm="1">
        <f t="array" ref="P103">MAX(IF((ProjectInfoTable[ProjectName]=DiscreteStatsTable[[#This Row],[ProjectName]]),(ProjectInfoTable[ProjectName]=DiscreteStatsTable[[#This Row],[ProjectName]])*ProjectInfoTable[ConfidenceInterval]))</f>
        <v>0.95</v>
      </c>
      <c r="Q103" s="5">
        <f>IF(AND(DiscreteStatsTable[[#This Row],[RepsWithStatObserved]]=1,Y103=0),200000000000000000000,IFERROR(_xlfn.T.INV.2T(1 -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3" s="5" cm="1">
        <f t="array" ref="R103">MIN(IF((DiscreteStatsTable[GroupByKey]=DiscreteStatsTable[[#This Row],[GroupByKey]]),(DiscreteStatsTable[GroupByKey]=DiscreteStatsTable[[#This Row],[GroupByKey]])*DiscreteStatsTable[Average]))</f>
        <v>0</v>
      </c>
      <c r="S103" s="5" cm="1">
        <f t="array" ref="S103">MAX(IF((DiscreteStatsTable[GroupByKey]=DiscreteStatsTable[[#This Row],[GroupByKey]]),(DiscreteStatsTable[GroupByKey]=DiscreteStatsTable[[#This Row],[GroupByKey]])*DiscreteStatsTable[Average]))</f>
        <v>0</v>
      </c>
      <c r="T103" s="5" cm="1">
        <f t="array" ref="T103">MIN(IF((DiscreteStatsTable[GroupByKey]=DiscreteStatsTable[[#This Row],[GroupByKey]]),(DiscreteStatsTable[GroupByKey]=DiscreteStatsTable[[#This Row],[GroupByKey]])*DiscreteStatsTable[Minimum]))</f>
        <v>0</v>
      </c>
      <c r="U103" s="5" cm="1">
        <f t="array" ref="U103">MAX(IF((DiscreteStatsTable[GroupByKey]=DiscreteStatsTable[[#This Row],[GroupByKey]]),(DiscreteStatsTable[GroupByKey]=DiscreteStatsTable[[#This Row],[GroupByKey]])*DiscreteStatsTable[Maximum]))</f>
        <v>0</v>
      </c>
      <c r="V103" s="5" cm="1">
        <f t="array" ref="V103">IFERROR(AVERAGE(IF((DiscreteStatsTable[GroupByKey]=DiscreteStatsTable[[#This Row],[GroupByKey]]),(DiscreteStatsTable[GroupByKey]=DiscreteStatsTable[[#This Row],[GroupByKey]])*DiscreteStatsTable[NumberObservations])),0)</f>
        <v>220.7</v>
      </c>
      <c r="W103" s="5">
        <f>IF((DiscreteStatsTable[[#This Row],[RepsRequested]]&gt;1),DiscreteStatsTable[[#This Row],[HalfWidth]],DiscreteStatsTable[[#This Row],[BatchMeansHalfWidth]])</f>
        <v>0</v>
      </c>
      <c r="X103" s="5" cm="1">
        <f t="array" ref="X103">COUNT(IF((DiscreteStatsTable[GroupByKey]=DiscreteStatsTable[[#This Row],[GroupByKey]]),(DiscreteStatsTable[GroupByKey]=DiscreteStatsTable[[#This Row],[GroupByKey]])*DiscreteStatsTable[Replication]))</f>
        <v>10</v>
      </c>
      <c r="Y103" s="5">
        <f>IF(DiscreteStatsTable[[#This Row],[RepsRequested]]=DiscreteStatsTable[[#This Row],[RepsWithStatObserved]],1,0)</f>
        <v>1</v>
      </c>
    </row>
    <row r="104" spans="1:25" x14ac:dyDescent="0.4">
      <c r="A104" t="s">
        <v>66</v>
      </c>
      <c r="B104" t="s">
        <v>69</v>
      </c>
      <c r="C104">
        <v>3</v>
      </c>
      <c r="D104" t="s">
        <v>84</v>
      </c>
      <c r="E104" t="s">
        <v>79</v>
      </c>
      <c r="F104" t="s">
        <v>80</v>
      </c>
      <c r="G104">
        <v>0</v>
      </c>
      <c r="H104">
        <v>2E+20</v>
      </c>
      <c r="I104">
        <v>0</v>
      </c>
      <c r="J104">
        <v>0</v>
      </c>
      <c r="K104">
        <v>236</v>
      </c>
      <c r="L104" s="5" t="str">
        <f>DiscreteStatsTable[[#This Row],[ProjectName]]&amp;DiscreteStatsTable[[#This Row],[Name]]&amp;DiscreteStatsTable[[#This Row],[Type]]&amp;DiscreteStatsTable[[#This Row],[Source]]</f>
        <v>Unnamed ProjectHold M5.QueueWaiting TimeQueue</v>
      </c>
      <c r="M104" s="5" cm="1">
        <f t="array" ref="M104">MAX(IF((ProjectInfoTable[ProjectName]=DiscreteStatsTable[[#This Row],[ProjectName]]),(ProjectInfoTable[ProjectName]=DiscreteStatsTable[[#This Row],[ProjectName]])*ProjectInfoTable[NumberOfReplications]))</f>
        <v>10</v>
      </c>
      <c r="N104" s="5" cm="1">
        <f t="array" ref="N104">IFERROR(AVERAGE(IF((DiscreteStatsTable[GroupByKey]=DiscreteStatsTable[[#This Row],[GroupByKey]]),(DiscreteStatsTable[GroupByKey]=DiscreteStatsTable[[#This Row],[GroupByKey]])*DiscreteStatsTable[Average])),0)</f>
        <v>0</v>
      </c>
      <c r="O104" s="5" cm="1">
        <f t="array" ref="O104">IFERROR(_xlfn.STDEV.S(IF((DiscreteStatsTable[GroupByKey]=DiscreteStatsTable[[#This Row],[GroupByKey]]),(DiscreteStatsTable[GroupByKey]=DiscreteStatsTable[[#This Row],[GroupByKey]])*DiscreteStatsTable[Average])),0)</f>
        <v>0</v>
      </c>
      <c r="P104" s="5" cm="1">
        <f t="array" ref="P104">MAX(IF((ProjectInfoTable[ProjectName]=DiscreteStatsTable[[#This Row],[ProjectName]]),(ProjectInfoTable[ProjectName]=DiscreteStatsTable[[#This Row],[ProjectName]])*ProjectInfoTable[ConfidenceInterval]))</f>
        <v>0.95</v>
      </c>
      <c r="Q104" s="5">
        <f>IF(AND(DiscreteStatsTable[[#This Row],[RepsWithStatObserved]]=1,Y104=0),200000000000000000000,IFERROR(_xlfn.T.INV.2T(1 -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" s="5" cm="1">
        <f t="array" ref="R104">MIN(IF((DiscreteStatsTable[GroupByKey]=DiscreteStatsTable[[#This Row],[GroupByKey]]),(DiscreteStatsTable[GroupByKey]=DiscreteStatsTable[[#This Row],[GroupByKey]])*DiscreteStatsTable[Average]))</f>
        <v>0</v>
      </c>
      <c r="S104" s="5" cm="1">
        <f t="array" ref="S104">MAX(IF((DiscreteStatsTable[GroupByKey]=DiscreteStatsTable[[#This Row],[GroupByKey]]),(DiscreteStatsTable[GroupByKey]=DiscreteStatsTable[[#This Row],[GroupByKey]])*DiscreteStatsTable[Average]))</f>
        <v>0</v>
      </c>
      <c r="T104" s="5" cm="1">
        <f t="array" ref="T104">MIN(IF((DiscreteStatsTable[GroupByKey]=DiscreteStatsTable[[#This Row],[GroupByKey]]),(DiscreteStatsTable[GroupByKey]=DiscreteStatsTable[[#This Row],[GroupByKey]])*DiscreteStatsTable[Minimum]))</f>
        <v>0</v>
      </c>
      <c r="U104" s="5" cm="1">
        <f t="array" ref="U104">MAX(IF((DiscreteStatsTable[GroupByKey]=DiscreteStatsTable[[#This Row],[GroupByKey]]),(DiscreteStatsTable[GroupByKey]=DiscreteStatsTable[[#This Row],[GroupByKey]])*DiscreteStatsTable[Maximum]))</f>
        <v>0</v>
      </c>
      <c r="V104" s="5" cm="1">
        <f t="array" ref="V104">IFERROR(AVERAGE(IF((DiscreteStatsTable[GroupByKey]=DiscreteStatsTable[[#This Row],[GroupByKey]]),(DiscreteStatsTable[GroupByKey]=DiscreteStatsTable[[#This Row],[GroupByKey]])*DiscreteStatsTable[NumberObservations])),0)</f>
        <v>220.7</v>
      </c>
      <c r="W104" s="5">
        <f>IF((DiscreteStatsTable[[#This Row],[RepsRequested]]&gt;1),DiscreteStatsTable[[#This Row],[HalfWidth]],DiscreteStatsTable[[#This Row],[BatchMeansHalfWidth]])</f>
        <v>0</v>
      </c>
      <c r="X104" s="5" cm="1">
        <f t="array" ref="X104">COUNT(IF((DiscreteStatsTable[GroupByKey]=DiscreteStatsTable[[#This Row],[GroupByKey]]),(DiscreteStatsTable[GroupByKey]=DiscreteStatsTable[[#This Row],[GroupByKey]])*DiscreteStatsTable[Replication]))</f>
        <v>10</v>
      </c>
      <c r="Y104" s="5">
        <f>IF(DiscreteStatsTable[[#This Row],[RepsRequested]]=DiscreteStatsTable[[#This Row],[RepsWithStatObserved]],1,0)</f>
        <v>1</v>
      </c>
    </row>
    <row r="105" spans="1:25" x14ac:dyDescent="0.4">
      <c r="A105" t="s">
        <v>66</v>
      </c>
      <c r="B105" t="s">
        <v>69</v>
      </c>
      <c r="C105">
        <v>4</v>
      </c>
      <c r="D105" t="s">
        <v>84</v>
      </c>
      <c r="E105" t="s">
        <v>79</v>
      </c>
      <c r="F105" t="s">
        <v>80</v>
      </c>
      <c r="G105">
        <v>0</v>
      </c>
      <c r="H105">
        <v>2E+20</v>
      </c>
      <c r="I105">
        <v>0</v>
      </c>
      <c r="J105">
        <v>0</v>
      </c>
      <c r="K105">
        <v>239</v>
      </c>
      <c r="L105" s="5" t="str">
        <f>DiscreteStatsTable[[#This Row],[ProjectName]]&amp;DiscreteStatsTable[[#This Row],[Name]]&amp;DiscreteStatsTable[[#This Row],[Type]]&amp;DiscreteStatsTable[[#This Row],[Source]]</f>
        <v>Unnamed ProjectHold M5.QueueWaiting TimeQueue</v>
      </c>
      <c r="M105" s="5" cm="1">
        <f t="array" ref="M105">MAX(IF((ProjectInfoTable[ProjectName]=DiscreteStatsTable[[#This Row],[ProjectName]]),(ProjectInfoTable[ProjectName]=DiscreteStatsTable[[#This Row],[ProjectName]])*ProjectInfoTable[NumberOfReplications]))</f>
        <v>10</v>
      </c>
      <c r="N105" s="5" cm="1">
        <f t="array" ref="N105">IFERROR(AVERAGE(IF((DiscreteStatsTable[GroupByKey]=DiscreteStatsTable[[#This Row],[GroupByKey]]),(DiscreteStatsTable[GroupByKey]=DiscreteStatsTable[[#This Row],[GroupByKey]])*DiscreteStatsTable[Average])),0)</f>
        <v>0</v>
      </c>
      <c r="O105" s="5" cm="1">
        <f t="array" ref="O105">IFERROR(_xlfn.STDEV.S(IF((DiscreteStatsTable[GroupByKey]=DiscreteStatsTable[[#This Row],[GroupByKey]]),(DiscreteStatsTable[GroupByKey]=DiscreteStatsTable[[#This Row],[GroupByKey]])*DiscreteStatsTable[Average])),0)</f>
        <v>0</v>
      </c>
      <c r="P105" s="5" cm="1">
        <f t="array" ref="P105">MAX(IF((ProjectInfoTable[ProjectName]=DiscreteStatsTable[[#This Row],[ProjectName]]),(ProjectInfoTable[ProjectName]=DiscreteStatsTable[[#This Row],[ProjectName]])*ProjectInfoTable[ConfidenceInterval]))</f>
        <v>0.95</v>
      </c>
      <c r="Q105" s="5">
        <f>IF(AND(DiscreteStatsTable[[#This Row],[RepsWithStatObserved]]=1,Y105=0),200000000000000000000,IFERROR(_xlfn.T.INV.2T(1 -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" s="5" cm="1">
        <f t="array" ref="R105">MIN(IF((DiscreteStatsTable[GroupByKey]=DiscreteStatsTable[[#This Row],[GroupByKey]]),(DiscreteStatsTable[GroupByKey]=DiscreteStatsTable[[#This Row],[GroupByKey]])*DiscreteStatsTable[Average]))</f>
        <v>0</v>
      </c>
      <c r="S105" s="5" cm="1">
        <f t="array" ref="S105">MAX(IF((DiscreteStatsTable[GroupByKey]=DiscreteStatsTable[[#This Row],[GroupByKey]]),(DiscreteStatsTable[GroupByKey]=DiscreteStatsTable[[#This Row],[GroupByKey]])*DiscreteStatsTable[Average]))</f>
        <v>0</v>
      </c>
      <c r="T105" s="5" cm="1">
        <f t="array" ref="T105">MIN(IF((DiscreteStatsTable[GroupByKey]=DiscreteStatsTable[[#This Row],[GroupByKey]]),(DiscreteStatsTable[GroupByKey]=DiscreteStatsTable[[#This Row],[GroupByKey]])*DiscreteStatsTable[Minimum]))</f>
        <v>0</v>
      </c>
      <c r="U105" s="5" cm="1">
        <f t="array" ref="U105">MAX(IF((DiscreteStatsTable[GroupByKey]=DiscreteStatsTable[[#This Row],[GroupByKey]]),(DiscreteStatsTable[GroupByKey]=DiscreteStatsTable[[#This Row],[GroupByKey]])*DiscreteStatsTable[Maximum]))</f>
        <v>0</v>
      </c>
      <c r="V105" s="5" cm="1">
        <f t="array" ref="V105">IFERROR(AVERAGE(IF((DiscreteStatsTable[GroupByKey]=DiscreteStatsTable[[#This Row],[GroupByKey]]),(DiscreteStatsTable[GroupByKey]=DiscreteStatsTable[[#This Row],[GroupByKey]])*DiscreteStatsTable[NumberObservations])),0)</f>
        <v>220.7</v>
      </c>
      <c r="W105" s="5">
        <f>IF((DiscreteStatsTable[[#This Row],[RepsRequested]]&gt;1),DiscreteStatsTable[[#This Row],[HalfWidth]],DiscreteStatsTable[[#This Row],[BatchMeansHalfWidth]])</f>
        <v>0</v>
      </c>
      <c r="X105" s="5" cm="1">
        <f t="array" ref="X105">COUNT(IF((DiscreteStatsTable[GroupByKey]=DiscreteStatsTable[[#This Row],[GroupByKey]]),(DiscreteStatsTable[GroupByKey]=DiscreteStatsTable[[#This Row],[GroupByKey]])*DiscreteStatsTable[Replication]))</f>
        <v>10</v>
      </c>
      <c r="Y105" s="5">
        <f>IF(DiscreteStatsTable[[#This Row],[RepsRequested]]=DiscreteStatsTable[[#This Row],[RepsWithStatObserved]],1,0)</f>
        <v>1</v>
      </c>
    </row>
    <row r="106" spans="1:25" x14ac:dyDescent="0.4">
      <c r="A106" t="s">
        <v>66</v>
      </c>
      <c r="B106" t="s">
        <v>69</v>
      </c>
      <c r="C106">
        <v>5</v>
      </c>
      <c r="D106" t="s">
        <v>84</v>
      </c>
      <c r="E106" t="s">
        <v>79</v>
      </c>
      <c r="F106" t="s">
        <v>80</v>
      </c>
      <c r="G106">
        <v>0</v>
      </c>
      <c r="H106">
        <v>2E+20</v>
      </c>
      <c r="I106">
        <v>0</v>
      </c>
      <c r="J106">
        <v>0</v>
      </c>
      <c r="K106">
        <v>191</v>
      </c>
      <c r="L106" s="5" t="str">
        <f>DiscreteStatsTable[[#This Row],[ProjectName]]&amp;DiscreteStatsTable[[#This Row],[Name]]&amp;DiscreteStatsTable[[#This Row],[Type]]&amp;DiscreteStatsTable[[#This Row],[Source]]</f>
        <v>Unnamed ProjectHold M5.QueueWaiting TimeQueue</v>
      </c>
      <c r="M106" s="5" cm="1">
        <f t="array" ref="M106">MAX(IF((ProjectInfoTable[ProjectName]=DiscreteStatsTable[[#This Row],[ProjectName]]),(ProjectInfoTable[ProjectName]=DiscreteStatsTable[[#This Row],[ProjectName]])*ProjectInfoTable[NumberOfReplications]))</f>
        <v>10</v>
      </c>
      <c r="N106" s="5" cm="1">
        <f t="array" ref="N106">IFERROR(AVERAGE(IF((DiscreteStatsTable[GroupByKey]=DiscreteStatsTable[[#This Row],[GroupByKey]]),(DiscreteStatsTable[GroupByKey]=DiscreteStatsTable[[#This Row],[GroupByKey]])*DiscreteStatsTable[Average])),0)</f>
        <v>0</v>
      </c>
      <c r="O106" s="5" cm="1">
        <f t="array" ref="O106">IFERROR(_xlfn.STDEV.S(IF((DiscreteStatsTable[GroupByKey]=DiscreteStatsTable[[#This Row],[GroupByKey]]),(DiscreteStatsTable[GroupByKey]=DiscreteStatsTable[[#This Row],[GroupByKey]])*DiscreteStatsTable[Average])),0)</f>
        <v>0</v>
      </c>
      <c r="P106" s="5" cm="1">
        <f t="array" ref="P106">MAX(IF((ProjectInfoTable[ProjectName]=DiscreteStatsTable[[#This Row],[ProjectName]]),(ProjectInfoTable[ProjectName]=DiscreteStatsTable[[#This Row],[ProjectName]])*ProjectInfoTable[ConfidenceInterval]))</f>
        <v>0.95</v>
      </c>
      <c r="Q106" s="5">
        <f>IF(AND(DiscreteStatsTable[[#This Row],[RepsWithStatObserved]]=1,Y106=0),200000000000000000000,IFERROR(_xlfn.T.INV.2T(1 -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6" s="5" cm="1">
        <f t="array" ref="R106">MIN(IF((DiscreteStatsTable[GroupByKey]=DiscreteStatsTable[[#This Row],[GroupByKey]]),(DiscreteStatsTable[GroupByKey]=DiscreteStatsTable[[#This Row],[GroupByKey]])*DiscreteStatsTable[Average]))</f>
        <v>0</v>
      </c>
      <c r="S106" s="5" cm="1">
        <f t="array" ref="S106">MAX(IF((DiscreteStatsTable[GroupByKey]=DiscreteStatsTable[[#This Row],[GroupByKey]]),(DiscreteStatsTable[GroupByKey]=DiscreteStatsTable[[#This Row],[GroupByKey]])*DiscreteStatsTable[Average]))</f>
        <v>0</v>
      </c>
      <c r="T106" s="5" cm="1">
        <f t="array" ref="T106">MIN(IF((DiscreteStatsTable[GroupByKey]=DiscreteStatsTable[[#This Row],[GroupByKey]]),(DiscreteStatsTable[GroupByKey]=DiscreteStatsTable[[#This Row],[GroupByKey]])*DiscreteStatsTable[Minimum]))</f>
        <v>0</v>
      </c>
      <c r="U106" s="5" cm="1">
        <f t="array" ref="U106">MAX(IF((DiscreteStatsTable[GroupByKey]=DiscreteStatsTable[[#This Row],[GroupByKey]]),(DiscreteStatsTable[GroupByKey]=DiscreteStatsTable[[#This Row],[GroupByKey]])*DiscreteStatsTable[Maximum]))</f>
        <v>0</v>
      </c>
      <c r="V106" s="5" cm="1">
        <f t="array" ref="V106">IFERROR(AVERAGE(IF((DiscreteStatsTable[GroupByKey]=DiscreteStatsTable[[#This Row],[GroupByKey]]),(DiscreteStatsTable[GroupByKey]=DiscreteStatsTable[[#This Row],[GroupByKey]])*DiscreteStatsTable[NumberObservations])),0)</f>
        <v>220.7</v>
      </c>
      <c r="W106" s="5">
        <f>IF((DiscreteStatsTable[[#This Row],[RepsRequested]]&gt;1),DiscreteStatsTable[[#This Row],[HalfWidth]],DiscreteStatsTable[[#This Row],[BatchMeansHalfWidth]])</f>
        <v>0</v>
      </c>
      <c r="X106" s="5" cm="1">
        <f t="array" ref="X106">COUNT(IF((DiscreteStatsTable[GroupByKey]=DiscreteStatsTable[[#This Row],[GroupByKey]]),(DiscreteStatsTable[GroupByKey]=DiscreteStatsTable[[#This Row],[GroupByKey]])*DiscreteStatsTable[Replication]))</f>
        <v>10</v>
      </c>
      <c r="Y106" s="5">
        <f>IF(DiscreteStatsTable[[#This Row],[RepsRequested]]=DiscreteStatsTable[[#This Row],[RepsWithStatObserved]],1,0)</f>
        <v>1</v>
      </c>
    </row>
    <row r="107" spans="1:25" x14ac:dyDescent="0.4">
      <c r="A107" t="s">
        <v>66</v>
      </c>
      <c r="B107" t="s">
        <v>69</v>
      </c>
      <c r="C107">
        <v>6</v>
      </c>
      <c r="D107" t="s">
        <v>84</v>
      </c>
      <c r="E107" t="s">
        <v>79</v>
      </c>
      <c r="F107" t="s">
        <v>80</v>
      </c>
      <c r="G107">
        <v>0</v>
      </c>
      <c r="H107">
        <v>2E+20</v>
      </c>
      <c r="I107">
        <v>0</v>
      </c>
      <c r="J107">
        <v>0</v>
      </c>
      <c r="K107">
        <v>235</v>
      </c>
      <c r="L107" s="5" t="str">
        <f>DiscreteStatsTable[[#This Row],[ProjectName]]&amp;DiscreteStatsTable[[#This Row],[Name]]&amp;DiscreteStatsTable[[#This Row],[Type]]&amp;DiscreteStatsTable[[#This Row],[Source]]</f>
        <v>Unnamed ProjectHold M5.QueueWaiting TimeQueue</v>
      </c>
      <c r="M107" s="5" cm="1">
        <f t="array" ref="M107">MAX(IF((ProjectInfoTable[ProjectName]=DiscreteStatsTable[[#This Row],[ProjectName]]),(ProjectInfoTable[ProjectName]=DiscreteStatsTable[[#This Row],[ProjectName]])*ProjectInfoTable[NumberOfReplications]))</f>
        <v>10</v>
      </c>
      <c r="N107" s="5" cm="1">
        <f t="array" ref="N107">IFERROR(AVERAGE(IF((DiscreteStatsTable[GroupByKey]=DiscreteStatsTable[[#This Row],[GroupByKey]]),(DiscreteStatsTable[GroupByKey]=DiscreteStatsTable[[#This Row],[GroupByKey]])*DiscreteStatsTable[Average])),0)</f>
        <v>0</v>
      </c>
      <c r="O107" s="5" cm="1">
        <f t="array" ref="O107">IFERROR(_xlfn.STDEV.S(IF((DiscreteStatsTable[GroupByKey]=DiscreteStatsTable[[#This Row],[GroupByKey]]),(DiscreteStatsTable[GroupByKey]=DiscreteStatsTable[[#This Row],[GroupByKey]])*DiscreteStatsTable[Average])),0)</f>
        <v>0</v>
      </c>
      <c r="P107" s="5" cm="1">
        <f t="array" ref="P107">MAX(IF((ProjectInfoTable[ProjectName]=DiscreteStatsTable[[#This Row],[ProjectName]]),(ProjectInfoTable[ProjectName]=DiscreteStatsTable[[#This Row],[ProjectName]])*ProjectInfoTable[ConfidenceInterval]))</f>
        <v>0.95</v>
      </c>
      <c r="Q107" s="5">
        <f>IF(AND(DiscreteStatsTable[[#This Row],[RepsWithStatObserved]]=1,Y107=0),200000000000000000000,IFERROR(_xlfn.T.INV.2T(1 -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" s="5" cm="1">
        <f t="array" ref="R107">MIN(IF((DiscreteStatsTable[GroupByKey]=DiscreteStatsTable[[#This Row],[GroupByKey]]),(DiscreteStatsTable[GroupByKey]=DiscreteStatsTable[[#This Row],[GroupByKey]])*DiscreteStatsTable[Average]))</f>
        <v>0</v>
      </c>
      <c r="S107" s="5" cm="1">
        <f t="array" ref="S107">MAX(IF((DiscreteStatsTable[GroupByKey]=DiscreteStatsTable[[#This Row],[GroupByKey]]),(DiscreteStatsTable[GroupByKey]=DiscreteStatsTable[[#This Row],[GroupByKey]])*DiscreteStatsTable[Average]))</f>
        <v>0</v>
      </c>
      <c r="T107" s="5" cm="1">
        <f t="array" ref="T107">MIN(IF((DiscreteStatsTable[GroupByKey]=DiscreteStatsTable[[#This Row],[GroupByKey]]),(DiscreteStatsTable[GroupByKey]=DiscreteStatsTable[[#This Row],[GroupByKey]])*DiscreteStatsTable[Minimum]))</f>
        <v>0</v>
      </c>
      <c r="U107" s="5" cm="1">
        <f t="array" ref="U107">MAX(IF((DiscreteStatsTable[GroupByKey]=DiscreteStatsTable[[#This Row],[GroupByKey]]),(DiscreteStatsTable[GroupByKey]=DiscreteStatsTable[[#This Row],[GroupByKey]])*DiscreteStatsTable[Maximum]))</f>
        <v>0</v>
      </c>
      <c r="V107" s="5" cm="1">
        <f t="array" ref="V107">IFERROR(AVERAGE(IF((DiscreteStatsTable[GroupByKey]=DiscreteStatsTable[[#This Row],[GroupByKey]]),(DiscreteStatsTable[GroupByKey]=DiscreteStatsTable[[#This Row],[GroupByKey]])*DiscreteStatsTable[NumberObservations])),0)</f>
        <v>220.7</v>
      </c>
      <c r="W107" s="5">
        <f>IF((DiscreteStatsTable[[#This Row],[RepsRequested]]&gt;1),DiscreteStatsTable[[#This Row],[HalfWidth]],DiscreteStatsTable[[#This Row],[BatchMeansHalfWidth]])</f>
        <v>0</v>
      </c>
      <c r="X107" s="5" cm="1">
        <f t="array" ref="X107">COUNT(IF((DiscreteStatsTable[GroupByKey]=DiscreteStatsTable[[#This Row],[GroupByKey]]),(DiscreteStatsTable[GroupByKey]=DiscreteStatsTable[[#This Row],[GroupByKey]])*DiscreteStatsTable[Replication]))</f>
        <v>10</v>
      </c>
      <c r="Y107" s="5">
        <f>IF(DiscreteStatsTable[[#This Row],[RepsRequested]]=DiscreteStatsTable[[#This Row],[RepsWithStatObserved]],1,0)</f>
        <v>1</v>
      </c>
    </row>
    <row r="108" spans="1:25" x14ac:dyDescent="0.4">
      <c r="A108" t="s">
        <v>66</v>
      </c>
      <c r="B108" t="s">
        <v>69</v>
      </c>
      <c r="C108">
        <v>7</v>
      </c>
      <c r="D108" t="s">
        <v>84</v>
      </c>
      <c r="E108" t="s">
        <v>79</v>
      </c>
      <c r="F108" t="s">
        <v>80</v>
      </c>
      <c r="G108">
        <v>0</v>
      </c>
      <c r="H108">
        <v>2E+20</v>
      </c>
      <c r="I108">
        <v>0</v>
      </c>
      <c r="J108">
        <v>0</v>
      </c>
      <c r="K108">
        <v>203</v>
      </c>
      <c r="L108" s="5" t="str">
        <f>DiscreteStatsTable[[#This Row],[ProjectName]]&amp;DiscreteStatsTable[[#This Row],[Name]]&amp;DiscreteStatsTable[[#This Row],[Type]]&amp;DiscreteStatsTable[[#This Row],[Source]]</f>
        <v>Unnamed ProjectHold M5.QueueWaiting TimeQueue</v>
      </c>
      <c r="M108" s="5" cm="1">
        <f t="array" ref="M108">MAX(IF((ProjectInfoTable[ProjectName]=DiscreteStatsTable[[#This Row],[ProjectName]]),(ProjectInfoTable[ProjectName]=DiscreteStatsTable[[#This Row],[ProjectName]])*ProjectInfoTable[NumberOfReplications]))</f>
        <v>10</v>
      </c>
      <c r="N108" s="5" cm="1">
        <f t="array" ref="N108">IFERROR(AVERAGE(IF((DiscreteStatsTable[GroupByKey]=DiscreteStatsTable[[#This Row],[GroupByKey]]),(DiscreteStatsTable[GroupByKey]=DiscreteStatsTable[[#This Row],[GroupByKey]])*DiscreteStatsTable[Average])),0)</f>
        <v>0</v>
      </c>
      <c r="O108" s="5" cm="1">
        <f t="array" ref="O108">IFERROR(_xlfn.STDEV.S(IF((DiscreteStatsTable[GroupByKey]=DiscreteStatsTable[[#This Row],[GroupByKey]]),(DiscreteStatsTable[GroupByKey]=DiscreteStatsTable[[#This Row],[GroupByKey]])*DiscreteStatsTable[Average])),0)</f>
        <v>0</v>
      </c>
      <c r="P108" s="5" cm="1">
        <f t="array" ref="P108">MAX(IF((ProjectInfoTable[ProjectName]=DiscreteStatsTable[[#This Row],[ProjectName]]),(ProjectInfoTable[ProjectName]=DiscreteStatsTable[[#This Row],[ProjectName]])*ProjectInfoTable[ConfidenceInterval]))</f>
        <v>0.95</v>
      </c>
      <c r="Q108" s="5">
        <f>IF(AND(DiscreteStatsTable[[#This Row],[RepsWithStatObserved]]=1,Y108=0),200000000000000000000,IFERROR(_xlfn.T.INV.2T(1 -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8" s="5" cm="1">
        <f t="array" ref="R108">MIN(IF((DiscreteStatsTable[GroupByKey]=DiscreteStatsTable[[#This Row],[GroupByKey]]),(DiscreteStatsTable[GroupByKey]=DiscreteStatsTable[[#This Row],[GroupByKey]])*DiscreteStatsTable[Average]))</f>
        <v>0</v>
      </c>
      <c r="S108" s="5" cm="1">
        <f t="array" ref="S108">MAX(IF((DiscreteStatsTable[GroupByKey]=DiscreteStatsTable[[#This Row],[GroupByKey]]),(DiscreteStatsTable[GroupByKey]=DiscreteStatsTable[[#This Row],[GroupByKey]])*DiscreteStatsTable[Average]))</f>
        <v>0</v>
      </c>
      <c r="T108" s="5" cm="1">
        <f t="array" ref="T108">MIN(IF((DiscreteStatsTable[GroupByKey]=DiscreteStatsTable[[#This Row],[GroupByKey]]),(DiscreteStatsTable[GroupByKey]=DiscreteStatsTable[[#This Row],[GroupByKey]])*DiscreteStatsTable[Minimum]))</f>
        <v>0</v>
      </c>
      <c r="U108" s="5" cm="1">
        <f t="array" ref="U108">MAX(IF((DiscreteStatsTable[GroupByKey]=DiscreteStatsTable[[#This Row],[GroupByKey]]),(DiscreteStatsTable[GroupByKey]=DiscreteStatsTable[[#This Row],[GroupByKey]])*DiscreteStatsTable[Maximum]))</f>
        <v>0</v>
      </c>
      <c r="V108" s="5" cm="1">
        <f t="array" ref="V108">IFERROR(AVERAGE(IF((DiscreteStatsTable[GroupByKey]=DiscreteStatsTable[[#This Row],[GroupByKey]]),(DiscreteStatsTable[GroupByKey]=DiscreteStatsTable[[#This Row],[GroupByKey]])*DiscreteStatsTable[NumberObservations])),0)</f>
        <v>220.7</v>
      </c>
      <c r="W108" s="5">
        <f>IF((DiscreteStatsTable[[#This Row],[RepsRequested]]&gt;1),DiscreteStatsTable[[#This Row],[HalfWidth]],DiscreteStatsTable[[#This Row],[BatchMeansHalfWidth]])</f>
        <v>0</v>
      </c>
      <c r="X108" s="5" cm="1">
        <f t="array" ref="X108">COUNT(IF((DiscreteStatsTable[GroupByKey]=DiscreteStatsTable[[#This Row],[GroupByKey]]),(DiscreteStatsTable[GroupByKey]=DiscreteStatsTable[[#This Row],[GroupByKey]])*DiscreteStatsTable[Replication]))</f>
        <v>10</v>
      </c>
      <c r="Y108" s="5">
        <f>IF(DiscreteStatsTable[[#This Row],[RepsRequested]]=DiscreteStatsTable[[#This Row],[RepsWithStatObserved]],1,0)</f>
        <v>1</v>
      </c>
    </row>
    <row r="109" spans="1:25" x14ac:dyDescent="0.4">
      <c r="A109" t="s">
        <v>66</v>
      </c>
      <c r="B109" t="s">
        <v>69</v>
      </c>
      <c r="C109">
        <v>8</v>
      </c>
      <c r="D109" t="s">
        <v>84</v>
      </c>
      <c r="E109" t="s">
        <v>79</v>
      </c>
      <c r="F109" t="s">
        <v>80</v>
      </c>
      <c r="G109">
        <v>0</v>
      </c>
      <c r="H109">
        <v>2E+20</v>
      </c>
      <c r="I109">
        <v>0</v>
      </c>
      <c r="J109">
        <v>0</v>
      </c>
      <c r="K109">
        <v>232</v>
      </c>
      <c r="L109" s="5" t="str">
        <f>DiscreteStatsTable[[#This Row],[ProjectName]]&amp;DiscreteStatsTable[[#This Row],[Name]]&amp;DiscreteStatsTable[[#This Row],[Type]]&amp;DiscreteStatsTable[[#This Row],[Source]]</f>
        <v>Unnamed ProjectHold M5.QueueWaiting TimeQueue</v>
      </c>
      <c r="M109" s="5" cm="1">
        <f t="array" ref="M109">MAX(IF((ProjectInfoTable[ProjectName]=DiscreteStatsTable[[#This Row],[ProjectName]]),(ProjectInfoTable[ProjectName]=DiscreteStatsTable[[#This Row],[ProjectName]])*ProjectInfoTable[NumberOfReplications]))</f>
        <v>10</v>
      </c>
      <c r="N109" s="5" cm="1">
        <f t="array" ref="N109">IFERROR(AVERAGE(IF((DiscreteStatsTable[GroupByKey]=DiscreteStatsTable[[#This Row],[GroupByKey]]),(DiscreteStatsTable[GroupByKey]=DiscreteStatsTable[[#This Row],[GroupByKey]])*DiscreteStatsTable[Average])),0)</f>
        <v>0</v>
      </c>
      <c r="O109" s="5" cm="1">
        <f t="array" ref="O109">IFERROR(_xlfn.STDEV.S(IF((DiscreteStatsTable[GroupByKey]=DiscreteStatsTable[[#This Row],[GroupByKey]]),(DiscreteStatsTable[GroupByKey]=DiscreteStatsTable[[#This Row],[GroupByKey]])*DiscreteStatsTable[Average])),0)</f>
        <v>0</v>
      </c>
      <c r="P109" s="5" cm="1">
        <f t="array" ref="P109">MAX(IF((ProjectInfoTable[ProjectName]=DiscreteStatsTable[[#This Row],[ProjectName]]),(ProjectInfoTable[ProjectName]=DiscreteStatsTable[[#This Row],[ProjectName]])*ProjectInfoTable[ConfidenceInterval]))</f>
        <v>0.95</v>
      </c>
      <c r="Q109" s="5">
        <f>IF(AND(DiscreteStatsTable[[#This Row],[RepsWithStatObserved]]=1,Y109=0),200000000000000000000,IFERROR(_xlfn.T.INV.2T(1 -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9" s="5" cm="1">
        <f t="array" ref="R109">MIN(IF((DiscreteStatsTable[GroupByKey]=DiscreteStatsTable[[#This Row],[GroupByKey]]),(DiscreteStatsTable[GroupByKey]=DiscreteStatsTable[[#This Row],[GroupByKey]])*DiscreteStatsTable[Average]))</f>
        <v>0</v>
      </c>
      <c r="S109" s="5" cm="1">
        <f t="array" ref="S109">MAX(IF((DiscreteStatsTable[GroupByKey]=DiscreteStatsTable[[#This Row],[GroupByKey]]),(DiscreteStatsTable[GroupByKey]=DiscreteStatsTable[[#This Row],[GroupByKey]])*DiscreteStatsTable[Average]))</f>
        <v>0</v>
      </c>
      <c r="T109" s="5" cm="1">
        <f t="array" ref="T109">MIN(IF((DiscreteStatsTable[GroupByKey]=DiscreteStatsTable[[#This Row],[GroupByKey]]),(DiscreteStatsTable[GroupByKey]=DiscreteStatsTable[[#This Row],[GroupByKey]])*DiscreteStatsTable[Minimum]))</f>
        <v>0</v>
      </c>
      <c r="U109" s="5" cm="1">
        <f t="array" ref="U109">MAX(IF((DiscreteStatsTable[GroupByKey]=DiscreteStatsTable[[#This Row],[GroupByKey]]),(DiscreteStatsTable[GroupByKey]=DiscreteStatsTable[[#This Row],[GroupByKey]])*DiscreteStatsTable[Maximum]))</f>
        <v>0</v>
      </c>
      <c r="V109" s="5" cm="1">
        <f t="array" ref="V109">IFERROR(AVERAGE(IF((DiscreteStatsTable[GroupByKey]=DiscreteStatsTable[[#This Row],[GroupByKey]]),(DiscreteStatsTable[GroupByKey]=DiscreteStatsTable[[#This Row],[GroupByKey]])*DiscreteStatsTable[NumberObservations])),0)</f>
        <v>220.7</v>
      </c>
      <c r="W109" s="5">
        <f>IF((DiscreteStatsTable[[#This Row],[RepsRequested]]&gt;1),DiscreteStatsTable[[#This Row],[HalfWidth]],DiscreteStatsTable[[#This Row],[BatchMeansHalfWidth]])</f>
        <v>0</v>
      </c>
      <c r="X109" s="5" cm="1">
        <f t="array" ref="X109">COUNT(IF((DiscreteStatsTable[GroupByKey]=DiscreteStatsTable[[#This Row],[GroupByKey]]),(DiscreteStatsTable[GroupByKey]=DiscreteStatsTable[[#This Row],[GroupByKey]])*DiscreteStatsTable[Replication]))</f>
        <v>10</v>
      </c>
      <c r="Y109" s="5">
        <f>IF(DiscreteStatsTable[[#This Row],[RepsRequested]]=DiscreteStatsTable[[#This Row],[RepsWithStatObserved]],1,0)</f>
        <v>1</v>
      </c>
    </row>
    <row r="110" spans="1:25" x14ac:dyDescent="0.4">
      <c r="A110" t="s">
        <v>66</v>
      </c>
      <c r="B110" t="s">
        <v>69</v>
      </c>
      <c r="C110">
        <v>9</v>
      </c>
      <c r="D110" t="s">
        <v>84</v>
      </c>
      <c r="E110" t="s">
        <v>79</v>
      </c>
      <c r="F110" t="s">
        <v>80</v>
      </c>
      <c r="G110">
        <v>0</v>
      </c>
      <c r="H110">
        <v>2E+20</v>
      </c>
      <c r="I110">
        <v>0</v>
      </c>
      <c r="J110">
        <v>0</v>
      </c>
      <c r="K110">
        <v>223</v>
      </c>
      <c r="L110" s="5" t="str">
        <f>DiscreteStatsTable[[#This Row],[ProjectName]]&amp;DiscreteStatsTable[[#This Row],[Name]]&amp;DiscreteStatsTable[[#This Row],[Type]]&amp;DiscreteStatsTable[[#This Row],[Source]]</f>
        <v>Unnamed ProjectHold M5.QueueWaiting TimeQueue</v>
      </c>
      <c r="M110" s="5" cm="1">
        <f t="array" ref="M110">MAX(IF((ProjectInfoTable[ProjectName]=DiscreteStatsTable[[#This Row],[ProjectName]]),(ProjectInfoTable[ProjectName]=DiscreteStatsTable[[#This Row],[ProjectName]])*ProjectInfoTable[NumberOfReplications]))</f>
        <v>10</v>
      </c>
      <c r="N110" s="5" cm="1">
        <f t="array" ref="N110">IFERROR(AVERAGE(IF((DiscreteStatsTable[GroupByKey]=DiscreteStatsTable[[#This Row],[GroupByKey]]),(DiscreteStatsTable[GroupByKey]=DiscreteStatsTable[[#This Row],[GroupByKey]])*DiscreteStatsTable[Average])),0)</f>
        <v>0</v>
      </c>
      <c r="O110" s="5" cm="1">
        <f t="array" ref="O110">IFERROR(_xlfn.STDEV.S(IF((DiscreteStatsTable[GroupByKey]=DiscreteStatsTable[[#This Row],[GroupByKey]]),(DiscreteStatsTable[GroupByKey]=DiscreteStatsTable[[#This Row],[GroupByKey]])*DiscreteStatsTable[Average])),0)</f>
        <v>0</v>
      </c>
      <c r="P110" s="5" cm="1">
        <f t="array" ref="P110">MAX(IF((ProjectInfoTable[ProjectName]=DiscreteStatsTable[[#This Row],[ProjectName]]),(ProjectInfoTable[ProjectName]=DiscreteStatsTable[[#This Row],[ProjectName]])*ProjectInfoTable[ConfidenceInterval]))</f>
        <v>0.95</v>
      </c>
      <c r="Q110" s="5">
        <f>IF(AND(DiscreteStatsTable[[#This Row],[RepsWithStatObserved]]=1,Y110=0),200000000000000000000,IFERROR(_xlfn.T.INV.2T(1 -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" s="5" cm="1">
        <f t="array" ref="R110">MIN(IF((DiscreteStatsTable[GroupByKey]=DiscreteStatsTable[[#This Row],[GroupByKey]]),(DiscreteStatsTable[GroupByKey]=DiscreteStatsTable[[#This Row],[GroupByKey]])*DiscreteStatsTable[Average]))</f>
        <v>0</v>
      </c>
      <c r="S110" s="5" cm="1">
        <f t="array" ref="S110">MAX(IF((DiscreteStatsTable[GroupByKey]=DiscreteStatsTable[[#This Row],[GroupByKey]]),(DiscreteStatsTable[GroupByKey]=DiscreteStatsTable[[#This Row],[GroupByKey]])*DiscreteStatsTable[Average]))</f>
        <v>0</v>
      </c>
      <c r="T110" s="5" cm="1">
        <f t="array" ref="T110">MIN(IF((DiscreteStatsTable[GroupByKey]=DiscreteStatsTable[[#This Row],[GroupByKey]]),(DiscreteStatsTable[GroupByKey]=DiscreteStatsTable[[#This Row],[GroupByKey]])*DiscreteStatsTable[Minimum]))</f>
        <v>0</v>
      </c>
      <c r="U110" s="5" cm="1">
        <f t="array" ref="U110">MAX(IF((DiscreteStatsTable[GroupByKey]=DiscreteStatsTable[[#This Row],[GroupByKey]]),(DiscreteStatsTable[GroupByKey]=DiscreteStatsTable[[#This Row],[GroupByKey]])*DiscreteStatsTable[Maximum]))</f>
        <v>0</v>
      </c>
      <c r="V110" s="5" cm="1">
        <f t="array" ref="V110">IFERROR(AVERAGE(IF((DiscreteStatsTable[GroupByKey]=DiscreteStatsTable[[#This Row],[GroupByKey]]),(DiscreteStatsTable[GroupByKey]=DiscreteStatsTable[[#This Row],[GroupByKey]])*DiscreteStatsTable[NumberObservations])),0)</f>
        <v>220.7</v>
      </c>
      <c r="W110" s="5">
        <f>IF((DiscreteStatsTable[[#This Row],[RepsRequested]]&gt;1),DiscreteStatsTable[[#This Row],[HalfWidth]],DiscreteStatsTable[[#This Row],[BatchMeansHalfWidth]])</f>
        <v>0</v>
      </c>
      <c r="X110" s="5" cm="1">
        <f t="array" ref="X110">COUNT(IF((DiscreteStatsTable[GroupByKey]=DiscreteStatsTable[[#This Row],[GroupByKey]]),(DiscreteStatsTable[GroupByKey]=DiscreteStatsTable[[#This Row],[GroupByKey]])*DiscreteStatsTable[Replication]))</f>
        <v>10</v>
      </c>
      <c r="Y110" s="5">
        <f>IF(DiscreteStatsTable[[#This Row],[RepsRequested]]=DiscreteStatsTable[[#This Row],[RepsWithStatObserved]],1,0)</f>
        <v>1</v>
      </c>
    </row>
    <row r="111" spans="1:25" x14ac:dyDescent="0.4">
      <c r="A111" t="s">
        <v>66</v>
      </c>
      <c r="B111" t="s">
        <v>69</v>
      </c>
      <c r="C111">
        <v>10</v>
      </c>
      <c r="D111" t="s">
        <v>84</v>
      </c>
      <c r="E111" t="s">
        <v>79</v>
      </c>
      <c r="F111" t="s">
        <v>80</v>
      </c>
      <c r="G111">
        <v>0</v>
      </c>
      <c r="H111">
        <v>2E+20</v>
      </c>
      <c r="I111">
        <v>0</v>
      </c>
      <c r="J111">
        <v>0</v>
      </c>
      <c r="K111">
        <v>210</v>
      </c>
      <c r="L111" s="5" t="str">
        <f>DiscreteStatsTable[[#This Row],[ProjectName]]&amp;DiscreteStatsTable[[#This Row],[Name]]&amp;DiscreteStatsTable[[#This Row],[Type]]&amp;DiscreteStatsTable[[#This Row],[Source]]</f>
        <v>Unnamed ProjectHold M5.QueueWaiting TimeQueue</v>
      </c>
      <c r="M111" s="5" cm="1">
        <f t="array" ref="M111">MAX(IF((ProjectInfoTable[ProjectName]=DiscreteStatsTable[[#This Row],[ProjectName]]),(ProjectInfoTable[ProjectName]=DiscreteStatsTable[[#This Row],[ProjectName]])*ProjectInfoTable[NumberOfReplications]))</f>
        <v>10</v>
      </c>
      <c r="N111" s="5" cm="1">
        <f t="array" ref="N111">IFERROR(AVERAGE(IF((DiscreteStatsTable[GroupByKey]=DiscreteStatsTable[[#This Row],[GroupByKey]]),(DiscreteStatsTable[GroupByKey]=DiscreteStatsTable[[#This Row],[GroupByKey]])*DiscreteStatsTable[Average])),0)</f>
        <v>0</v>
      </c>
      <c r="O111" s="5" cm="1">
        <f t="array" ref="O111">IFERROR(_xlfn.STDEV.S(IF((DiscreteStatsTable[GroupByKey]=DiscreteStatsTable[[#This Row],[GroupByKey]]),(DiscreteStatsTable[GroupByKey]=DiscreteStatsTable[[#This Row],[GroupByKey]])*DiscreteStatsTable[Average])),0)</f>
        <v>0</v>
      </c>
      <c r="P111" s="5" cm="1">
        <f t="array" ref="P111">MAX(IF((ProjectInfoTable[ProjectName]=DiscreteStatsTable[[#This Row],[ProjectName]]),(ProjectInfoTable[ProjectName]=DiscreteStatsTable[[#This Row],[ProjectName]])*ProjectInfoTable[ConfidenceInterval]))</f>
        <v>0.95</v>
      </c>
      <c r="Q111" s="5">
        <f>IF(AND(DiscreteStatsTable[[#This Row],[RepsWithStatObserved]]=1,Y111=0),200000000000000000000,IFERROR(_xlfn.T.INV.2T(1 -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" s="5" cm="1">
        <f t="array" ref="R111">MIN(IF((DiscreteStatsTable[GroupByKey]=DiscreteStatsTable[[#This Row],[GroupByKey]]),(DiscreteStatsTable[GroupByKey]=DiscreteStatsTable[[#This Row],[GroupByKey]])*DiscreteStatsTable[Average]))</f>
        <v>0</v>
      </c>
      <c r="S111" s="5" cm="1">
        <f t="array" ref="S111">MAX(IF((DiscreteStatsTable[GroupByKey]=DiscreteStatsTable[[#This Row],[GroupByKey]]),(DiscreteStatsTable[GroupByKey]=DiscreteStatsTable[[#This Row],[GroupByKey]])*DiscreteStatsTable[Average]))</f>
        <v>0</v>
      </c>
      <c r="T111" s="5" cm="1">
        <f t="array" ref="T111">MIN(IF((DiscreteStatsTable[GroupByKey]=DiscreteStatsTable[[#This Row],[GroupByKey]]),(DiscreteStatsTable[GroupByKey]=DiscreteStatsTable[[#This Row],[GroupByKey]])*DiscreteStatsTable[Minimum]))</f>
        <v>0</v>
      </c>
      <c r="U111" s="5" cm="1">
        <f t="array" ref="U111">MAX(IF((DiscreteStatsTable[GroupByKey]=DiscreteStatsTable[[#This Row],[GroupByKey]]),(DiscreteStatsTable[GroupByKey]=DiscreteStatsTable[[#This Row],[GroupByKey]])*DiscreteStatsTable[Maximum]))</f>
        <v>0</v>
      </c>
      <c r="V111" s="5" cm="1">
        <f t="array" ref="V111">IFERROR(AVERAGE(IF((DiscreteStatsTable[GroupByKey]=DiscreteStatsTable[[#This Row],[GroupByKey]]),(DiscreteStatsTable[GroupByKey]=DiscreteStatsTable[[#This Row],[GroupByKey]])*DiscreteStatsTable[NumberObservations])),0)</f>
        <v>220.7</v>
      </c>
      <c r="W111" s="5">
        <f>IF((DiscreteStatsTable[[#This Row],[RepsRequested]]&gt;1),DiscreteStatsTable[[#This Row],[HalfWidth]],DiscreteStatsTable[[#This Row],[BatchMeansHalfWidth]])</f>
        <v>0</v>
      </c>
      <c r="X111" s="5" cm="1">
        <f t="array" ref="X111">COUNT(IF((DiscreteStatsTable[GroupByKey]=DiscreteStatsTable[[#This Row],[GroupByKey]]),(DiscreteStatsTable[GroupByKey]=DiscreteStatsTable[[#This Row],[GroupByKey]])*DiscreteStatsTable[Replication]))</f>
        <v>10</v>
      </c>
      <c r="Y111" s="5">
        <f>IF(DiscreteStatsTable[[#This Row],[RepsRequested]]=DiscreteStatsTable[[#This Row],[RepsWithStatObserved]],1,0)</f>
        <v>1</v>
      </c>
    </row>
    <row r="112" spans="1:25" x14ac:dyDescent="0.4">
      <c r="A112" t="s">
        <v>66</v>
      </c>
      <c r="B112" t="s">
        <v>69</v>
      </c>
      <c r="C112">
        <v>1</v>
      </c>
      <c r="D112" t="s">
        <v>85</v>
      </c>
      <c r="E112" t="s">
        <v>79</v>
      </c>
      <c r="F112" t="s">
        <v>80</v>
      </c>
      <c r="G112">
        <v>1.5349688574774101</v>
      </c>
      <c r="H112">
        <v>2E+20</v>
      </c>
      <c r="I112">
        <v>0</v>
      </c>
      <c r="J112">
        <v>19.3291610021761</v>
      </c>
      <c r="K112">
        <v>157</v>
      </c>
      <c r="L112" s="5" t="str">
        <f>DiscreteStatsTable[[#This Row],[ProjectName]]&amp;DiscreteStatsTable[[#This Row],[Name]]&amp;DiscreteStatsTable[[#This Row],[Type]]&amp;DiscreteStatsTable[[#This Row],[Source]]</f>
        <v>Unnamed ProjectM1.QWaiting TimeQueue</v>
      </c>
      <c r="M112" s="5" cm="1">
        <f t="array" ref="M112">MAX(IF((ProjectInfoTable[ProjectName]=DiscreteStatsTable[[#This Row],[ProjectName]]),(ProjectInfoTable[ProjectName]=DiscreteStatsTable[[#This Row],[ProjectName]])*ProjectInfoTable[NumberOfReplications]))</f>
        <v>10</v>
      </c>
      <c r="N112" s="5" cm="1">
        <f t="array" ref="N112">IFERROR(AVERAGE(IF((DiscreteStatsTable[GroupByKey]=DiscreteStatsTable[[#This Row],[GroupByKey]]),(DiscreteStatsTable[GroupByKey]=DiscreteStatsTable[[#This Row],[GroupByKey]])*DiscreteStatsTable[Average])),0)</f>
        <v>1.0671040543452321</v>
      </c>
      <c r="O112" s="5" cm="1">
        <f t="array" ref="O112">IFERROR(_xlfn.STDEV.S(IF((DiscreteStatsTable[GroupByKey]=DiscreteStatsTable[[#This Row],[GroupByKey]]),(DiscreteStatsTable[GroupByKey]=DiscreteStatsTable[[#This Row],[GroupByKey]])*DiscreteStatsTable[Average])),0)</f>
        <v>0.37045275622860491</v>
      </c>
      <c r="P112" s="5" cm="1">
        <f t="array" ref="P112">MAX(IF((ProjectInfoTable[ProjectName]=DiscreteStatsTable[[#This Row],[ProjectName]]),(ProjectInfoTable[ProjectName]=DiscreteStatsTable[[#This Row],[ProjectName]])*ProjectInfoTable[ConfidenceInterval]))</f>
        <v>0.95</v>
      </c>
      <c r="Q112" s="5">
        <f>IF(AND(DiscreteStatsTable[[#This Row],[RepsWithStatObserved]]=1,Y112=0),200000000000000000000,IFERROR(_xlfn.T.INV.2T(1 -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0.2650059375039997</v>
      </c>
      <c r="R112" s="5" cm="1">
        <f t="array" ref="R112">MIN(IF((DiscreteStatsTable[GroupByKey]=DiscreteStatsTable[[#This Row],[GroupByKey]]),(DiscreteStatsTable[GroupByKey]=DiscreteStatsTable[[#This Row],[GroupByKey]])*DiscreteStatsTable[Average]))</f>
        <v>0.44197900416538999</v>
      </c>
      <c r="S112" s="5" cm="1">
        <f t="array" ref="S112">MAX(IF((DiscreteStatsTable[GroupByKey]=DiscreteStatsTable[[#This Row],[GroupByKey]]),(DiscreteStatsTable[GroupByKey]=DiscreteStatsTable[[#This Row],[GroupByKey]])*DiscreteStatsTable[Average]))</f>
        <v>1.56888053927778</v>
      </c>
      <c r="T112" s="5" cm="1">
        <f t="array" ref="T112">MIN(IF((DiscreteStatsTable[GroupByKey]=DiscreteStatsTable[[#This Row],[GroupByKey]]),(DiscreteStatsTable[GroupByKey]=DiscreteStatsTable[[#This Row],[GroupByKey]])*DiscreteStatsTable[Minimum]))</f>
        <v>0</v>
      </c>
      <c r="U112" s="5" cm="1">
        <f t="array" ref="U112">MAX(IF((DiscreteStatsTable[GroupByKey]=DiscreteStatsTable[[#This Row],[GroupByKey]]),(DiscreteStatsTable[GroupByKey]=DiscreteStatsTable[[#This Row],[GroupByKey]])*DiscreteStatsTable[Maximum]))</f>
        <v>23.9509837185512</v>
      </c>
      <c r="V112" s="5" cm="1">
        <f t="array" ref="V112">IFERROR(AVERAGE(IF((DiscreteStatsTable[GroupByKey]=DiscreteStatsTable[[#This Row],[GroupByKey]]),(DiscreteStatsTable[GroupByKey]=DiscreteStatsTable[[#This Row],[GroupByKey]])*DiscreteStatsTable[NumberObservations])),0)</f>
        <v>166.8</v>
      </c>
      <c r="W112" s="5">
        <f>IF((DiscreteStatsTable[[#This Row],[RepsRequested]]&gt;1),DiscreteStatsTable[[#This Row],[HalfWidth]],DiscreteStatsTable[[#This Row],[BatchMeansHalfWidth]])</f>
        <v>0.2650059375039997</v>
      </c>
      <c r="X112" s="5" cm="1">
        <f t="array" ref="X112">COUNT(IF((DiscreteStatsTable[GroupByKey]=DiscreteStatsTable[[#This Row],[GroupByKey]]),(DiscreteStatsTable[GroupByKey]=DiscreteStatsTable[[#This Row],[GroupByKey]])*DiscreteStatsTable[Replication]))</f>
        <v>10</v>
      </c>
      <c r="Y112" s="5">
        <f>IF(DiscreteStatsTable[[#This Row],[RepsRequested]]=DiscreteStatsTable[[#This Row],[RepsWithStatObserved]],1,0)</f>
        <v>1</v>
      </c>
    </row>
    <row r="113" spans="1:25" x14ac:dyDescent="0.4">
      <c r="A113" t="s">
        <v>66</v>
      </c>
      <c r="B113" t="s">
        <v>69</v>
      </c>
      <c r="C113">
        <v>2</v>
      </c>
      <c r="D113" t="s">
        <v>85</v>
      </c>
      <c r="E113" t="s">
        <v>79</v>
      </c>
      <c r="F113" t="s">
        <v>80</v>
      </c>
      <c r="G113">
        <v>1.56888053927778</v>
      </c>
      <c r="H113">
        <v>2E+20</v>
      </c>
      <c r="I113">
        <v>0</v>
      </c>
      <c r="J113">
        <v>15.328614231383201</v>
      </c>
      <c r="K113">
        <v>181</v>
      </c>
      <c r="L113" s="5" t="str">
        <f>DiscreteStatsTable[[#This Row],[ProjectName]]&amp;DiscreteStatsTable[[#This Row],[Name]]&amp;DiscreteStatsTable[[#This Row],[Type]]&amp;DiscreteStatsTable[[#This Row],[Source]]</f>
        <v>Unnamed ProjectM1.QWaiting TimeQueue</v>
      </c>
      <c r="M113" s="5" cm="1">
        <f t="array" ref="M113">MAX(IF((ProjectInfoTable[ProjectName]=DiscreteStatsTable[[#This Row],[ProjectName]]),(ProjectInfoTable[ProjectName]=DiscreteStatsTable[[#This Row],[ProjectName]])*ProjectInfoTable[NumberOfReplications]))</f>
        <v>10</v>
      </c>
      <c r="N113" s="5" cm="1">
        <f t="array" ref="N113">IFERROR(AVERAGE(IF((DiscreteStatsTable[GroupByKey]=DiscreteStatsTable[[#This Row],[GroupByKey]]),(DiscreteStatsTable[GroupByKey]=DiscreteStatsTable[[#This Row],[GroupByKey]])*DiscreteStatsTable[Average])),0)</f>
        <v>1.0671040543452321</v>
      </c>
      <c r="O113" s="5" cm="1">
        <f t="array" ref="O113">IFERROR(_xlfn.STDEV.S(IF((DiscreteStatsTable[GroupByKey]=DiscreteStatsTable[[#This Row],[GroupByKey]]),(DiscreteStatsTable[GroupByKey]=DiscreteStatsTable[[#This Row],[GroupByKey]])*DiscreteStatsTable[Average])),0)</f>
        <v>0.37045275622860491</v>
      </c>
      <c r="P113" s="5" cm="1">
        <f t="array" ref="P113">MAX(IF((ProjectInfoTable[ProjectName]=DiscreteStatsTable[[#This Row],[ProjectName]]),(ProjectInfoTable[ProjectName]=DiscreteStatsTable[[#This Row],[ProjectName]])*ProjectInfoTable[ConfidenceInterval]))</f>
        <v>0.95</v>
      </c>
      <c r="Q113" s="5">
        <f>IF(AND(DiscreteStatsTable[[#This Row],[RepsWithStatObserved]]=1,Y113=0),200000000000000000000,IFERROR(_xlfn.T.INV.2T(1 -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0.2650059375039997</v>
      </c>
      <c r="R113" s="5" cm="1">
        <f t="array" ref="R113">MIN(IF((DiscreteStatsTable[GroupByKey]=DiscreteStatsTable[[#This Row],[GroupByKey]]),(DiscreteStatsTable[GroupByKey]=DiscreteStatsTable[[#This Row],[GroupByKey]])*DiscreteStatsTable[Average]))</f>
        <v>0.44197900416538999</v>
      </c>
      <c r="S113" s="5" cm="1">
        <f t="array" ref="S113">MAX(IF((DiscreteStatsTable[GroupByKey]=DiscreteStatsTable[[#This Row],[GroupByKey]]),(DiscreteStatsTable[GroupByKey]=DiscreteStatsTable[[#This Row],[GroupByKey]])*DiscreteStatsTable[Average]))</f>
        <v>1.56888053927778</v>
      </c>
      <c r="T113" s="5" cm="1">
        <f t="array" ref="T113">MIN(IF((DiscreteStatsTable[GroupByKey]=DiscreteStatsTable[[#This Row],[GroupByKey]]),(DiscreteStatsTable[GroupByKey]=DiscreteStatsTable[[#This Row],[GroupByKey]])*DiscreteStatsTable[Minimum]))</f>
        <v>0</v>
      </c>
      <c r="U113" s="5" cm="1">
        <f t="array" ref="U113">MAX(IF((DiscreteStatsTable[GroupByKey]=DiscreteStatsTable[[#This Row],[GroupByKey]]),(DiscreteStatsTable[GroupByKey]=DiscreteStatsTable[[#This Row],[GroupByKey]])*DiscreteStatsTable[Maximum]))</f>
        <v>23.9509837185512</v>
      </c>
      <c r="V113" s="5" cm="1">
        <f t="array" ref="V113">IFERROR(AVERAGE(IF((DiscreteStatsTable[GroupByKey]=DiscreteStatsTable[[#This Row],[GroupByKey]]),(DiscreteStatsTable[GroupByKey]=DiscreteStatsTable[[#This Row],[GroupByKey]])*DiscreteStatsTable[NumberObservations])),0)</f>
        <v>166.8</v>
      </c>
      <c r="W113" s="5">
        <f>IF((DiscreteStatsTable[[#This Row],[RepsRequested]]&gt;1),DiscreteStatsTable[[#This Row],[HalfWidth]],DiscreteStatsTable[[#This Row],[BatchMeansHalfWidth]])</f>
        <v>0.2650059375039997</v>
      </c>
      <c r="X113" s="5" cm="1">
        <f t="array" ref="X113">COUNT(IF((DiscreteStatsTable[GroupByKey]=DiscreteStatsTable[[#This Row],[GroupByKey]]),(DiscreteStatsTable[GroupByKey]=DiscreteStatsTable[[#This Row],[GroupByKey]])*DiscreteStatsTable[Replication]))</f>
        <v>10</v>
      </c>
      <c r="Y113" s="5">
        <f>IF(DiscreteStatsTable[[#This Row],[RepsRequested]]=DiscreteStatsTable[[#This Row],[RepsWithStatObserved]],1,0)</f>
        <v>1</v>
      </c>
    </row>
    <row r="114" spans="1:25" x14ac:dyDescent="0.4">
      <c r="A114" t="s">
        <v>66</v>
      </c>
      <c r="B114" t="s">
        <v>69</v>
      </c>
      <c r="C114">
        <v>3</v>
      </c>
      <c r="D114" t="s">
        <v>85</v>
      </c>
      <c r="E114" t="s">
        <v>79</v>
      </c>
      <c r="F114" t="s">
        <v>80</v>
      </c>
      <c r="G114">
        <v>1.34266440929521</v>
      </c>
      <c r="H114">
        <v>2E+20</v>
      </c>
      <c r="I114">
        <v>0</v>
      </c>
      <c r="J114">
        <v>16.826621229307001</v>
      </c>
      <c r="K114">
        <v>175</v>
      </c>
      <c r="L114" s="5" t="str">
        <f>DiscreteStatsTable[[#This Row],[ProjectName]]&amp;DiscreteStatsTable[[#This Row],[Name]]&amp;DiscreteStatsTable[[#This Row],[Type]]&amp;DiscreteStatsTable[[#This Row],[Source]]</f>
        <v>Unnamed ProjectM1.QWaiting TimeQueue</v>
      </c>
      <c r="M114" s="5" cm="1">
        <f t="array" ref="M114">MAX(IF((ProjectInfoTable[ProjectName]=DiscreteStatsTable[[#This Row],[ProjectName]]),(ProjectInfoTable[ProjectName]=DiscreteStatsTable[[#This Row],[ProjectName]])*ProjectInfoTable[NumberOfReplications]))</f>
        <v>10</v>
      </c>
      <c r="N114" s="5" cm="1">
        <f t="array" ref="N114">IFERROR(AVERAGE(IF((DiscreteStatsTable[GroupByKey]=DiscreteStatsTable[[#This Row],[GroupByKey]]),(DiscreteStatsTable[GroupByKey]=DiscreteStatsTable[[#This Row],[GroupByKey]])*DiscreteStatsTable[Average])),0)</f>
        <v>1.0671040543452321</v>
      </c>
      <c r="O114" s="5" cm="1">
        <f t="array" ref="O114">IFERROR(_xlfn.STDEV.S(IF((DiscreteStatsTable[GroupByKey]=DiscreteStatsTable[[#This Row],[GroupByKey]]),(DiscreteStatsTable[GroupByKey]=DiscreteStatsTable[[#This Row],[GroupByKey]])*DiscreteStatsTable[Average])),0)</f>
        <v>0.37045275622860491</v>
      </c>
      <c r="P114" s="5" cm="1">
        <f t="array" ref="P114">MAX(IF((ProjectInfoTable[ProjectName]=DiscreteStatsTable[[#This Row],[ProjectName]]),(ProjectInfoTable[ProjectName]=DiscreteStatsTable[[#This Row],[ProjectName]])*ProjectInfoTable[ConfidenceInterval]))</f>
        <v>0.95</v>
      </c>
      <c r="Q114" s="5">
        <f>IF(AND(DiscreteStatsTable[[#This Row],[RepsWithStatObserved]]=1,Y114=0),200000000000000000000,IFERROR(_xlfn.T.INV.2T(1 -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0.2650059375039997</v>
      </c>
      <c r="R114" s="5" cm="1">
        <f t="array" ref="R114">MIN(IF((DiscreteStatsTable[GroupByKey]=DiscreteStatsTable[[#This Row],[GroupByKey]]),(DiscreteStatsTable[GroupByKey]=DiscreteStatsTable[[#This Row],[GroupByKey]])*DiscreteStatsTable[Average]))</f>
        <v>0.44197900416538999</v>
      </c>
      <c r="S114" s="5" cm="1">
        <f t="array" ref="S114">MAX(IF((DiscreteStatsTable[GroupByKey]=DiscreteStatsTable[[#This Row],[GroupByKey]]),(DiscreteStatsTable[GroupByKey]=DiscreteStatsTable[[#This Row],[GroupByKey]])*DiscreteStatsTable[Average]))</f>
        <v>1.56888053927778</v>
      </c>
      <c r="T114" s="5" cm="1">
        <f t="array" ref="T114">MIN(IF((DiscreteStatsTable[GroupByKey]=DiscreteStatsTable[[#This Row],[GroupByKey]]),(DiscreteStatsTable[GroupByKey]=DiscreteStatsTable[[#This Row],[GroupByKey]])*DiscreteStatsTable[Minimum]))</f>
        <v>0</v>
      </c>
      <c r="U114" s="5" cm="1">
        <f t="array" ref="U114">MAX(IF((DiscreteStatsTable[GroupByKey]=DiscreteStatsTable[[#This Row],[GroupByKey]]),(DiscreteStatsTable[GroupByKey]=DiscreteStatsTable[[#This Row],[GroupByKey]])*DiscreteStatsTable[Maximum]))</f>
        <v>23.9509837185512</v>
      </c>
      <c r="V114" s="5" cm="1">
        <f t="array" ref="V114">IFERROR(AVERAGE(IF((DiscreteStatsTable[GroupByKey]=DiscreteStatsTable[[#This Row],[GroupByKey]]),(DiscreteStatsTable[GroupByKey]=DiscreteStatsTable[[#This Row],[GroupByKey]])*DiscreteStatsTable[NumberObservations])),0)</f>
        <v>166.8</v>
      </c>
      <c r="W114" s="5">
        <f>IF((DiscreteStatsTable[[#This Row],[RepsRequested]]&gt;1),DiscreteStatsTable[[#This Row],[HalfWidth]],DiscreteStatsTable[[#This Row],[BatchMeansHalfWidth]])</f>
        <v>0.2650059375039997</v>
      </c>
      <c r="X114" s="5" cm="1">
        <f t="array" ref="X114">COUNT(IF((DiscreteStatsTable[GroupByKey]=DiscreteStatsTable[[#This Row],[GroupByKey]]),(DiscreteStatsTable[GroupByKey]=DiscreteStatsTable[[#This Row],[GroupByKey]])*DiscreteStatsTable[Replication]))</f>
        <v>10</v>
      </c>
      <c r="Y114" s="5">
        <f>IF(DiscreteStatsTable[[#This Row],[RepsRequested]]=DiscreteStatsTable[[#This Row],[RepsWithStatObserved]],1,0)</f>
        <v>1</v>
      </c>
    </row>
    <row r="115" spans="1:25" x14ac:dyDescent="0.4">
      <c r="A115" t="s">
        <v>66</v>
      </c>
      <c r="B115" t="s">
        <v>69</v>
      </c>
      <c r="C115">
        <v>4</v>
      </c>
      <c r="D115" t="s">
        <v>85</v>
      </c>
      <c r="E115" t="s">
        <v>79</v>
      </c>
      <c r="F115" t="s">
        <v>80</v>
      </c>
      <c r="G115">
        <v>0.95592900945263204</v>
      </c>
      <c r="H115">
        <v>2E+20</v>
      </c>
      <c r="I115">
        <v>0</v>
      </c>
      <c r="J115">
        <v>14.540994236595999</v>
      </c>
      <c r="K115">
        <v>175</v>
      </c>
      <c r="L115" s="5" t="str">
        <f>DiscreteStatsTable[[#This Row],[ProjectName]]&amp;DiscreteStatsTable[[#This Row],[Name]]&amp;DiscreteStatsTable[[#This Row],[Type]]&amp;DiscreteStatsTable[[#This Row],[Source]]</f>
        <v>Unnamed ProjectM1.QWaiting TimeQueue</v>
      </c>
      <c r="M115" s="5" cm="1">
        <f t="array" ref="M115">MAX(IF((ProjectInfoTable[ProjectName]=DiscreteStatsTable[[#This Row],[ProjectName]]),(ProjectInfoTable[ProjectName]=DiscreteStatsTable[[#This Row],[ProjectName]])*ProjectInfoTable[NumberOfReplications]))</f>
        <v>10</v>
      </c>
      <c r="N115" s="5" cm="1">
        <f t="array" ref="N115">IFERROR(AVERAGE(IF((DiscreteStatsTable[GroupByKey]=DiscreteStatsTable[[#This Row],[GroupByKey]]),(DiscreteStatsTable[GroupByKey]=DiscreteStatsTable[[#This Row],[GroupByKey]])*DiscreteStatsTable[Average])),0)</f>
        <v>1.0671040543452321</v>
      </c>
      <c r="O115" s="5" cm="1">
        <f t="array" ref="O115">IFERROR(_xlfn.STDEV.S(IF((DiscreteStatsTable[GroupByKey]=DiscreteStatsTable[[#This Row],[GroupByKey]]),(DiscreteStatsTable[GroupByKey]=DiscreteStatsTable[[#This Row],[GroupByKey]])*DiscreteStatsTable[Average])),0)</f>
        <v>0.37045275622860491</v>
      </c>
      <c r="P115" s="5" cm="1">
        <f t="array" ref="P115">MAX(IF((ProjectInfoTable[ProjectName]=DiscreteStatsTable[[#This Row],[ProjectName]]),(ProjectInfoTable[ProjectName]=DiscreteStatsTable[[#This Row],[ProjectName]])*ProjectInfoTable[ConfidenceInterval]))</f>
        <v>0.95</v>
      </c>
      <c r="Q115" s="5">
        <f>IF(AND(DiscreteStatsTable[[#This Row],[RepsWithStatObserved]]=1,Y115=0),200000000000000000000,IFERROR(_xlfn.T.INV.2T(1 -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0.2650059375039997</v>
      </c>
      <c r="R115" s="5" cm="1">
        <f t="array" ref="R115">MIN(IF((DiscreteStatsTable[GroupByKey]=DiscreteStatsTable[[#This Row],[GroupByKey]]),(DiscreteStatsTable[GroupByKey]=DiscreteStatsTable[[#This Row],[GroupByKey]])*DiscreteStatsTable[Average]))</f>
        <v>0.44197900416538999</v>
      </c>
      <c r="S115" s="5" cm="1">
        <f t="array" ref="S115">MAX(IF((DiscreteStatsTable[GroupByKey]=DiscreteStatsTable[[#This Row],[GroupByKey]]),(DiscreteStatsTable[GroupByKey]=DiscreteStatsTable[[#This Row],[GroupByKey]])*DiscreteStatsTable[Average]))</f>
        <v>1.56888053927778</v>
      </c>
      <c r="T115" s="5" cm="1">
        <f t="array" ref="T115">MIN(IF((DiscreteStatsTable[GroupByKey]=DiscreteStatsTable[[#This Row],[GroupByKey]]),(DiscreteStatsTable[GroupByKey]=DiscreteStatsTable[[#This Row],[GroupByKey]])*DiscreteStatsTable[Minimum]))</f>
        <v>0</v>
      </c>
      <c r="U115" s="5" cm="1">
        <f t="array" ref="U115">MAX(IF((DiscreteStatsTable[GroupByKey]=DiscreteStatsTable[[#This Row],[GroupByKey]]),(DiscreteStatsTable[GroupByKey]=DiscreteStatsTable[[#This Row],[GroupByKey]])*DiscreteStatsTable[Maximum]))</f>
        <v>23.9509837185512</v>
      </c>
      <c r="V115" s="5" cm="1">
        <f t="array" ref="V115">IFERROR(AVERAGE(IF((DiscreteStatsTable[GroupByKey]=DiscreteStatsTable[[#This Row],[GroupByKey]]),(DiscreteStatsTable[GroupByKey]=DiscreteStatsTable[[#This Row],[GroupByKey]])*DiscreteStatsTable[NumberObservations])),0)</f>
        <v>166.8</v>
      </c>
      <c r="W115" s="5">
        <f>IF((DiscreteStatsTable[[#This Row],[RepsRequested]]&gt;1),DiscreteStatsTable[[#This Row],[HalfWidth]],DiscreteStatsTable[[#This Row],[BatchMeansHalfWidth]])</f>
        <v>0.2650059375039997</v>
      </c>
      <c r="X115" s="5" cm="1">
        <f t="array" ref="X115">COUNT(IF((DiscreteStatsTable[GroupByKey]=DiscreteStatsTable[[#This Row],[GroupByKey]]),(DiscreteStatsTable[GroupByKey]=DiscreteStatsTable[[#This Row],[GroupByKey]])*DiscreteStatsTable[Replication]))</f>
        <v>10</v>
      </c>
      <c r="Y115" s="5">
        <f>IF(DiscreteStatsTable[[#This Row],[RepsRequested]]=DiscreteStatsTable[[#This Row],[RepsWithStatObserved]],1,0)</f>
        <v>1</v>
      </c>
    </row>
    <row r="116" spans="1:25" x14ac:dyDescent="0.4">
      <c r="A116" t="s">
        <v>66</v>
      </c>
      <c r="B116" t="s">
        <v>69</v>
      </c>
      <c r="C116">
        <v>5</v>
      </c>
      <c r="D116" t="s">
        <v>85</v>
      </c>
      <c r="E116" t="s">
        <v>79</v>
      </c>
      <c r="F116" t="s">
        <v>80</v>
      </c>
      <c r="G116">
        <v>0.77421670719961899</v>
      </c>
      <c r="H116">
        <v>2E+20</v>
      </c>
      <c r="I116">
        <v>0</v>
      </c>
      <c r="J116">
        <v>13.4119906323149</v>
      </c>
      <c r="K116">
        <v>142</v>
      </c>
      <c r="L116" s="5" t="str">
        <f>DiscreteStatsTable[[#This Row],[ProjectName]]&amp;DiscreteStatsTable[[#This Row],[Name]]&amp;DiscreteStatsTable[[#This Row],[Type]]&amp;DiscreteStatsTable[[#This Row],[Source]]</f>
        <v>Unnamed ProjectM1.QWaiting TimeQueue</v>
      </c>
      <c r="M116" s="5" cm="1">
        <f t="array" ref="M116">MAX(IF((ProjectInfoTable[ProjectName]=DiscreteStatsTable[[#This Row],[ProjectName]]),(ProjectInfoTable[ProjectName]=DiscreteStatsTable[[#This Row],[ProjectName]])*ProjectInfoTable[NumberOfReplications]))</f>
        <v>10</v>
      </c>
      <c r="N116" s="5" cm="1">
        <f t="array" ref="N116">IFERROR(AVERAGE(IF((DiscreteStatsTable[GroupByKey]=DiscreteStatsTable[[#This Row],[GroupByKey]]),(DiscreteStatsTable[GroupByKey]=DiscreteStatsTable[[#This Row],[GroupByKey]])*DiscreteStatsTable[Average])),0)</f>
        <v>1.0671040543452321</v>
      </c>
      <c r="O116" s="5" cm="1">
        <f t="array" ref="O116">IFERROR(_xlfn.STDEV.S(IF((DiscreteStatsTable[GroupByKey]=DiscreteStatsTable[[#This Row],[GroupByKey]]),(DiscreteStatsTable[GroupByKey]=DiscreteStatsTable[[#This Row],[GroupByKey]])*DiscreteStatsTable[Average])),0)</f>
        <v>0.37045275622860491</v>
      </c>
      <c r="P116" s="5" cm="1">
        <f t="array" ref="P116">MAX(IF((ProjectInfoTable[ProjectName]=DiscreteStatsTable[[#This Row],[ProjectName]]),(ProjectInfoTable[ProjectName]=DiscreteStatsTable[[#This Row],[ProjectName]])*ProjectInfoTable[ConfidenceInterval]))</f>
        <v>0.95</v>
      </c>
      <c r="Q116" s="5">
        <f>IF(AND(DiscreteStatsTable[[#This Row],[RepsWithStatObserved]]=1,Y116=0),200000000000000000000,IFERROR(_xlfn.T.INV.2T(1 -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0.2650059375039997</v>
      </c>
      <c r="R116" s="5" cm="1">
        <f t="array" ref="R116">MIN(IF((DiscreteStatsTable[GroupByKey]=DiscreteStatsTable[[#This Row],[GroupByKey]]),(DiscreteStatsTable[GroupByKey]=DiscreteStatsTable[[#This Row],[GroupByKey]])*DiscreteStatsTable[Average]))</f>
        <v>0.44197900416538999</v>
      </c>
      <c r="S116" s="5" cm="1">
        <f t="array" ref="S116">MAX(IF((DiscreteStatsTable[GroupByKey]=DiscreteStatsTable[[#This Row],[GroupByKey]]),(DiscreteStatsTable[GroupByKey]=DiscreteStatsTable[[#This Row],[GroupByKey]])*DiscreteStatsTable[Average]))</f>
        <v>1.56888053927778</v>
      </c>
      <c r="T116" s="5" cm="1">
        <f t="array" ref="T116">MIN(IF((DiscreteStatsTable[GroupByKey]=DiscreteStatsTable[[#This Row],[GroupByKey]]),(DiscreteStatsTable[GroupByKey]=DiscreteStatsTable[[#This Row],[GroupByKey]])*DiscreteStatsTable[Minimum]))</f>
        <v>0</v>
      </c>
      <c r="U116" s="5" cm="1">
        <f t="array" ref="U116">MAX(IF((DiscreteStatsTable[GroupByKey]=DiscreteStatsTable[[#This Row],[GroupByKey]]),(DiscreteStatsTable[GroupByKey]=DiscreteStatsTable[[#This Row],[GroupByKey]])*DiscreteStatsTable[Maximum]))</f>
        <v>23.9509837185512</v>
      </c>
      <c r="V116" s="5" cm="1">
        <f t="array" ref="V116">IFERROR(AVERAGE(IF((DiscreteStatsTable[GroupByKey]=DiscreteStatsTable[[#This Row],[GroupByKey]]),(DiscreteStatsTable[GroupByKey]=DiscreteStatsTable[[#This Row],[GroupByKey]])*DiscreteStatsTable[NumberObservations])),0)</f>
        <v>166.8</v>
      </c>
      <c r="W116" s="5">
        <f>IF((DiscreteStatsTable[[#This Row],[RepsRequested]]&gt;1),DiscreteStatsTable[[#This Row],[HalfWidth]],DiscreteStatsTable[[#This Row],[BatchMeansHalfWidth]])</f>
        <v>0.2650059375039997</v>
      </c>
      <c r="X116" s="5" cm="1">
        <f t="array" ref="X116">COUNT(IF((DiscreteStatsTable[GroupByKey]=DiscreteStatsTable[[#This Row],[GroupByKey]]),(DiscreteStatsTable[GroupByKey]=DiscreteStatsTable[[#This Row],[GroupByKey]])*DiscreteStatsTable[Replication]))</f>
        <v>10</v>
      </c>
      <c r="Y116" s="5">
        <f>IF(DiscreteStatsTable[[#This Row],[RepsRequested]]=DiscreteStatsTable[[#This Row],[RepsWithStatObserved]],1,0)</f>
        <v>1</v>
      </c>
    </row>
    <row r="117" spans="1:25" x14ac:dyDescent="0.4">
      <c r="A117" t="s">
        <v>66</v>
      </c>
      <c r="B117" t="s">
        <v>69</v>
      </c>
      <c r="C117">
        <v>6</v>
      </c>
      <c r="D117" t="s">
        <v>85</v>
      </c>
      <c r="E117" t="s">
        <v>79</v>
      </c>
      <c r="F117" t="s">
        <v>80</v>
      </c>
      <c r="G117">
        <v>0.44197900416538999</v>
      </c>
      <c r="H117">
        <v>2E+20</v>
      </c>
      <c r="I117">
        <v>0</v>
      </c>
      <c r="J117">
        <v>13.158166174581799</v>
      </c>
      <c r="K117">
        <v>171</v>
      </c>
      <c r="L117" s="5" t="str">
        <f>DiscreteStatsTable[[#This Row],[ProjectName]]&amp;DiscreteStatsTable[[#This Row],[Name]]&amp;DiscreteStatsTable[[#This Row],[Type]]&amp;DiscreteStatsTable[[#This Row],[Source]]</f>
        <v>Unnamed ProjectM1.QWaiting TimeQueue</v>
      </c>
      <c r="M117" s="5" cm="1">
        <f t="array" ref="M117">MAX(IF((ProjectInfoTable[ProjectName]=DiscreteStatsTable[[#This Row],[ProjectName]]),(ProjectInfoTable[ProjectName]=DiscreteStatsTable[[#This Row],[ProjectName]])*ProjectInfoTable[NumberOfReplications]))</f>
        <v>10</v>
      </c>
      <c r="N117" s="5" cm="1">
        <f t="array" ref="N117">IFERROR(AVERAGE(IF((DiscreteStatsTable[GroupByKey]=DiscreteStatsTable[[#This Row],[GroupByKey]]),(DiscreteStatsTable[GroupByKey]=DiscreteStatsTable[[#This Row],[GroupByKey]])*DiscreteStatsTable[Average])),0)</f>
        <v>1.0671040543452321</v>
      </c>
      <c r="O117" s="5" cm="1">
        <f t="array" ref="O117">IFERROR(_xlfn.STDEV.S(IF((DiscreteStatsTable[GroupByKey]=DiscreteStatsTable[[#This Row],[GroupByKey]]),(DiscreteStatsTable[GroupByKey]=DiscreteStatsTable[[#This Row],[GroupByKey]])*DiscreteStatsTable[Average])),0)</f>
        <v>0.37045275622860491</v>
      </c>
      <c r="P117" s="5" cm="1">
        <f t="array" ref="P117">MAX(IF((ProjectInfoTable[ProjectName]=DiscreteStatsTable[[#This Row],[ProjectName]]),(ProjectInfoTable[ProjectName]=DiscreteStatsTable[[#This Row],[ProjectName]])*ProjectInfoTable[ConfidenceInterval]))</f>
        <v>0.95</v>
      </c>
      <c r="Q117" s="5">
        <f>IF(AND(DiscreteStatsTable[[#This Row],[RepsWithStatObserved]]=1,Y117=0),200000000000000000000,IFERROR(_xlfn.T.INV.2T(1 -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0.2650059375039997</v>
      </c>
      <c r="R117" s="5" cm="1">
        <f t="array" ref="R117">MIN(IF((DiscreteStatsTable[GroupByKey]=DiscreteStatsTable[[#This Row],[GroupByKey]]),(DiscreteStatsTable[GroupByKey]=DiscreteStatsTable[[#This Row],[GroupByKey]])*DiscreteStatsTable[Average]))</f>
        <v>0.44197900416538999</v>
      </c>
      <c r="S117" s="5" cm="1">
        <f t="array" ref="S117">MAX(IF((DiscreteStatsTable[GroupByKey]=DiscreteStatsTable[[#This Row],[GroupByKey]]),(DiscreteStatsTable[GroupByKey]=DiscreteStatsTable[[#This Row],[GroupByKey]])*DiscreteStatsTable[Average]))</f>
        <v>1.56888053927778</v>
      </c>
      <c r="T117" s="5" cm="1">
        <f t="array" ref="T117">MIN(IF((DiscreteStatsTable[GroupByKey]=DiscreteStatsTable[[#This Row],[GroupByKey]]),(DiscreteStatsTable[GroupByKey]=DiscreteStatsTable[[#This Row],[GroupByKey]])*DiscreteStatsTable[Minimum]))</f>
        <v>0</v>
      </c>
      <c r="U117" s="5" cm="1">
        <f t="array" ref="U117">MAX(IF((DiscreteStatsTable[GroupByKey]=DiscreteStatsTable[[#This Row],[GroupByKey]]),(DiscreteStatsTable[GroupByKey]=DiscreteStatsTable[[#This Row],[GroupByKey]])*DiscreteStatsTable[Maximum]))</f>
        <v>23.9509837185512</v>
      </c>
      <c r="V117" s="5" cm="1">
        <f t="array" ref="V117">IFERROR(AVERAGE(IF((DiscreteStatsTable[GroupByKey]=DiscreteStatsTable[[#This Row],[GroupByKey]]),(DiscreteStatsTable[GroupByKey]=DiscreteStatsTable[[#This Row],[GroupByKey]])*DiscreteStatsTable[NumberObservations])),0)</f>
        <v>166.8</v>
      </c>
      <c r="W117" s="5">
        <f>IF((DiscreteStatsTable[[#This Row],[RepsRequested]]&gt;1),DiscreteStatsTable[[#This Row],[HalfWidth]],DiscreteStatsTable[[#This Row],[BatchMeansHalfWidth]])</f>
        <v>0.2650059375039997</v>
      </c>
      <c r="X117" s="5" cm="1">
        <f t="array" ref="X117">COUNT(IF((DiscreteStatsTable[GroupByKey]=DiscreteStatsTable[[#This Row],[GroupByKey]]),(DiscreteStatsTable[GroupByKey]=DiscreteStatsTable[[#This Row],[GroupByKey]])*DiscreteStatsTable[Replication]))</f>
        <v>10</v>
      </c>
      <c r="Y117" s="5">
        <f>IF(DiscreteStatsTable[[#This Row],[RepsRequested]]=DiscreteStatsTable[[#This Row],[RepsWithStatObserved]],1,0)</f>
        <v>1</v>
      </c>
    </row>
    <row r="118" spans="1:25" x14ac:dyDescent="0.4">
      <c r="A118" t="s">
        <v>66</v>
      </c>
      <c r="B118" t="s">
        <v>69</v>
      </c>
      <c r="C118">
        <v>7</v>
      </c>
      <c r="D118" t="s">
        <v>85</v>
      </c>
      <c r="E118" t="s">
        <v>79</v>
      </c>
      <c r="F118" t="s">
        <v>80</v>
      </c>
      <c r="G118">
        <v>1.20083101593195</v>
      </c>
      <c r="H118">
        <v>2E+20</v>
      </c>
      <c r="I118">
        <v>0</v>
      </c>
      <c r="J118">
        <v>23.9509837185512</v>
      </c>
      <c r="K118">
        <v>147</v>
      </c>
      <c r="L118" s="5" t="str">
        <f>DiscreteStatsTable[[#This Row],[ProjectName]]&amp;DiscreteStatsTable[[#This Row],[Name]]&amp;DiscreteStatsTable[[#This Row],[Type]]&amp;DiscreteStatsTable[[#This Row],[Source]]</f>
        <v>Unnamed ProjectM1.QWaiting TimeQueue</v>
      </c>
      <c r="M118" s="5" cm="1">
        <f t="array" ref="M118">MAX(IF((ProjectInfoTable[ProjectName]=DiscreteStatsTable[[#This Row],[ProjectName]]),(ProjectInfoTable[ProjectName]=DiscreteStatsTable[[#This Row],[ProjectName]])*ProjectInfoTable[NumberOfReplications]))</f>
        <v>10</v>
      </c>
      <c r="N118" s="5" cm="1">
        <f t="array" ref="N118">IFERROR(AVERAGE(IF((DiscreteStatsTable[GroupByKey]=DiscreteStatsTable[[#This Row],[GroupByKey]]),(DiscreteStatsTable[GroupByKey]=DiscreteStatsTable[[#This Row],[GroupByKey]])*DiscreteStatsTable[Average])),0)</f>
        <v>1.0671040543452321</v>
      </c>
      <c r="O118" s="5" cm="1">
        <f t="array" ref="O118">IFERROR(_xlfn.STDEV.S(IF((DiscreteStatsTable[GroupByKey]=DiscreteStatsTable[[#This Row],[GroupByKey]]),(DiscreteStatsTable[GroupByKey]=DiscreteStatsTable[[#This Row],[GroupByKey]])*DiscreteStatsTable[Average])),0)</f>
        <v>0.37045275622860491</v>
      </c>
      <c r="P118" s="5" cm="1">
        <f t="array" ref="P118">MAX(IF((ProjectInfoTable[ProjectName]=DiscreteStatsTable[[#This Row],[ProjectName]]),(ProjectInfoTable[ProjectName]=DiscreteStatsTable[[#This Row],[ProjectName]])*ProjectInfoTable[ConfidenceInterval]))</f>
        <v>0.95</v>
      </c>
      <c r="Q118" s="5">
        <f>IF(AND(DiscreteStatsTable[[#This Row],[RepsWithStatObserved]]=1,Y118=0),200000000000000000000,IFERROR(_xlfn.T.INV.2T(1 -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0.2650059375039997</v>
      </c>
      <c r="R118" s="5" cm="1">
        <f t="array" ref="R118">MIN(IF((DiscreteStatsTable[GroupByKey]=DiscreteStatsTable[[#This Row],[GroupByKey]]),(DiscreteStatsTable[GroupByKey]=DiscreteStatsTable[[#This Row],[GroupByKey]])*DiscreteStatsTable[Average]))</f>
        <v>0.44197900416538999</v>
      </c>
      <c r="S118" s="5" cm="1">
        <f t="array" ref="S118">MAX(IF((DiscreteStatsTable[GroupByKey]=DiscreteStatsTable[[#This Row],[GroupByKey]]),(DiscreteStatsTable[GroupByKey]=DiscreteStatsTable[[#This Row],[GroupByKey]])*DiscreteStatsTable[Average]))</f>
        <v>1.56888053927778</v>
      </c>
      <c r="T118" s="5" cm="1">
        <f t="array" ref="T118">MIN(IF((DiscreteStatsTable[GroupByKey]=DiscreteStatsTable[[#This Row],[GroupByKey]]),(DiscreteStatsTable[GroupByKey]=DiscreteStatsTable[[#This Row],[GroupByKey]])*DiscreteStatsTable[Minimum]))</f>
        <v>0</v>
      </c>
      <c r="U118" s="5" cm="1">
        <f t="array" ref="U118">MAX(IF((DiscreteStatsTable[GroupByKey]=DiscreteStatsTable[[#This Row],[GroupByKey]]),(DiscreteStatsTable[GroupByKey]=DiscreteStatsTable[[#This Row],[GroupByKey]])*DiscreteStatsTable[Maximum]))</f>
        <v>23.9509837185512</v>
      </c>
      <c r="V118" s="5" cm="1">
        <f t="array" ref="V118">IFERROR(AVERAGE(IF((DiscreteStatsTable[GroupByKey]=DiscreteStatsTable[[#This Row],[GroupByKey]]),(DiscreteStatsTable[GroupByKey]=DiscreteStatsTable[[#This Row],[GroupByKey]])*DiscreteStatsTable[NumberObservations])),0)</f>
        <v>166.8</v>
      </c>
      <c r="W118" s="5">
        <f>IF((DiscreteStatsTable[[#This Row],[RepsRequested]]&gt;1),DiscreteStatsTable[[#This Row],[HalfWidth]],DiscreteStatsTable[[#This Row],[BatchMeansHalfWidth]])</f>
        <v>0.2650059375039997</v>
      </c>
      <c r="X118" s="5" cm="1">
        <f t="array" ref="X118">COUNT(IF((DiscreteStatsTable[GroupByKey]=DiscreteStatsTable[[#This Row],[GroupByKey]]),(DiscreteStatsTable[GroupByKey]=DiscreteStatsTable[[#This Row],[GroupByKey]])*DiscreteStatsTable[Replication]))</f>
        <v>10</v>
      </c>
      <c r="Y118" s="5">
        <f>IF(DiscreteStatsTable[[#This Row],[RepsRequested]]=DiscreteStatsTable[[#This Row],[RepsWithStatObserved]],1,0)</f>
        <v>1</v>
      </c>
    </row>
    <row r="119" spans="1:25" x14ac:dyDescent="0.4">
      <c r="A119" t="s">
        <v>66</v>
      </c>
      <c r="B119" t="s">
        <v>69</v>
      </c>
      <c r="C119">
        <v>8</v>
      </c>
      <c r="D119" t="s">
        <v>85</v>
      </c>
      <c r="E119" t="s">
        <v>79</v>
      </c>
      <c r="F119" t="s">
        <v>80</v>
      </c>
      <c r="G119">
        <v>0.71516467140120699</v>
      </c>
      <c r="H119">
        <v>2E+20</v>
      </c>
      <c r="I119">
        <v>0</v>
      </c>
      <c r="J119">
        <v>15.8525130453024</v>
      </c>
      <c r="K119">
        <v>176</v>
      </c>
      <c r="L119" s="5" t="str">
        <f>DiscreteStatsTable[[#This Row],[ProjectName]]&amp;DiscreteStatsTable[[#This Row],[Name]]&amp;DiscreteStatsTable[[#This Row],[Type]]&amp;DiscreteStatsTable[[#This Row],[Source]]</f>
        <v>Unnamed ProjectM1.QWaiting TimeQueue</v>
      </c>
      <c r="M119" s="5" cm="1">
        <f t="array" ref="M119">MAX(IF((ProjectInfoTable[ProjectName]=DiscreteStatsTable[[#This Row],[ProjectName]]),(ProjectInfoTable[ProjectName]=DiscreteStatsTable[[#This Row],[ProjectName]])*ProjectInfoTable[NumberOfReplications]))</f>
        <v>10</v>
      </c>
      <c r="N119" s="5" cm="1">
        <f t="array" ref="N119">IFERROR(AVERAGE(IF((DiscreteStatsTable[GroupByKey]=DiscreteStatsTable[[#This Row],[GroupByKey]]),(DiscreteStatsTable[GroupByKey]=DiscreteStatsTable[[#This Row],[GroupByKey]])*DiscreteStatsTable[Average])),0)</f>
        <v>1.0671040543452321</v>
      </c>
      <c r="O119" s="5" cm="1">
        <f t="array" ref="O119">IFERROR(_xlfn.STDEV.S(IF((DiscreteStatsTable[GroupByKey]=DiscreteStatsTable[[#This Row],[GroupByKey]]),(DiscreteStatsTable[GroupByKey]=DiscreteStatsTable[[#This Row],[GroupByKey]])*DiscreteStatsTable[Average])),0)</f>
        <v>0.37045275622860491</v>
      </c>
      <c r="P119" s="5" cm="1">
        <f t="array" ref="P119">MAX(IF((ProjectInfoTable[ProjectName]=DiscreteStatsTable[[#This Row],[ProjectName]]),(ProjectInfoTable[ProjectName]=DiscreteStatsTable[[#This Row],[ProjectName]])*ProjectInfoTable[ConfidenceInterval]))</f>
        <v>0.95</v>
      </c>
      <c r="Q119" s="5">
        <f>IF(AND(DiscreteStatsTable[[#This Row],[RepsWithStatObserved]]=1,Y119=0),200000000000000000000,IFERROR(_xlfn.T.INV.2T(1 -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0.2650059375039997</v>
      </c>
      <c r="R119" s="5" cm="1">
        <f t="array" ref="R119">MIN(IF((DiscreteStatsTable[GroupByKey]=DiscreteStatsTable[[#This Row],[GroupByKey]]),(DiscreteStatsTable[GroupByKey]=DiscreteStatsTable[[#This Row],[GroupByKey]])*DiscreteStatsTable[Average]))</f>
        <v>0.44197900416538999</v>
      </c>
      <c r="S119" s="5" cm="1">
        <f t="array" ref="S119">MAX(IF((DiscreteStatsTable[GroupByKey]=DiscreteStatsTable[[#This Row],[GroupByKey]]),(DiscreteStatsTable[GroupByKey]=DiscreteStatsTable[[#This Row],[GroupByKey]])*DiscreteStatsTable[Average]))</f>
        <v>1.56888053927778</v>
      </c>
      <c r="T119" s="5" cm="1">
        <f t="array" ref="T119">MIN(IF((DiscreteStatsTable[GroupByKey]=DiscreteStatsTable[[#This Row],[GroupByKey]]),(DiscreteStatsTable[GroupByKey]=DiscreteStatsTable[[#This Row],[GroupByKey]])*DiscreteStatsTable[Minimum]))</f>
        <v>0</v>
      </c>
      <c r="U119" s="5" cm="1">
        <f t="array" ref="U119">MAX(IF((DiscreteStatsTable[GroupByKey]=DiscreteStatsTable[[#This Row],[GroupByKey]]),(DiscreteStatsTable[GroupByKey]=DiscreteStatsTable[[#This Row],[GroupByKey]])*DiscreteStatsTable[Maximum]))</f>
        <v>23.9509837185512</v>
      </c>
      <c r="V119" s="5" cm="1">
        <f t="array" ref="V119">IFERROR(AVERAGE(IF((DiscreteStatsTable[GroupByKey]=DiscreteStatsTable[[#This Row],[GroupByKey]]),(DiscreteStatsTable[GroupByKey]=DiscreteStatsTable[[#This Row],[GroupByKey]])*DiscreteStatsTable[NumberObservations])),0)</f>
        <v>166.8</v>
      </c>
      <c r="W119" s="5">
        <f>IF((DiscreteStatsTable[[#This Row],[RepsRequested]]&gt;1),DiscreteStatsTable[[#This Row],[HalfWidth]],DiscreteStatsTable[[#This Row],[BatchMeansHalfWidth]])</f>
        <v>0.2650059375039997</v>
      </c>
      <c r="X119" s="5" cm="1">
        <f t="array" ref="X119">COUNT(IF((DiscreteStatsTable[GroupByKey]=DiscreteStatsTable[[#This Row],[GroupByKey]]),(DiscreteStatsTable[GroupByKey]=DiscreteStatsTable[[#This Row],[GroupByKey]])*DiscreteStatsTable[Replication]))</f>
        <v>10</v>
      </c>
      <c r="Y119" s="5">
        <f>IF(DiscreteStatsTable[[#This Row],[RepsRequested]]=DiscreteStatsTable[[#This Row],[RepsWithStatObserved]],1,0)</f>
        <v>1</v>
      </c>
    </row>
    <row r="120" spans="1:25" x14ac:dyDescent="0.4">
      <c r="A120" t="s">
        <v>66</v>
      </c>
      <c r="B120" t="s">
        <v>69</v>
      </c>
      <c r="C120">
        <v>9</v>
      </c>
      <c r="D120" t="s">
        <v>85</v>
      </c>
      <c r="E120" t="s">
        <v>79</v>
      </c>
      <c r="F120" t="s">
        <v>80</v>
      </c>
      <c r="G120">
        <v>0.89815065123818305</v>
      </c>
      <c r="H120">
        <v>2E+20</v>
      </c>
      <c r="I120">
        <v>0</v>
      </c>
      <c r="J120">
        <v>19.221452541902401</v>
      </c>
      <c r="K120">
        <v>178</v>
      </c>
      <c r="L120" s="5" t="str">
        <f>DiscreteStatsTable[[#This Row],[ProjectName]]&amp;DiscreteStatsTable[[#This Row],[Name]]&amp;DiscreteStatsTable[[#This Row],[Type]]&amp;DiscreteStatsTable[[#This Row],[Source]]</f>
        <v>Unnamed ProjectM1.QWaiting TimeQueue</v>
      </c>
      <c r="M120" s="5" cm="1">
        <f t="array" ref="M120">MAX(IF((ProjectInfoTable[ProjectName]=DiscreteStatsTable[[#This Row],[ProjectName]]),(ProjectInfoTable[ProjectName]=DiscreteStatsTable[[#This Row],[ProjectName]])*ProjectInfoTable[NumberOfReplications]))</f>
        <v>10</v>
      </c>
      <c r="N120" s="5" cm="1">
        <f t="array" ref="N120">IFERROR(AVERAGE(IF((DiscreteStatsTable[GroupByKey]=DiscreteStatsTable[[#This Row],[GroupByKey]]),(DiscreteStatsTable[GroupByKey]=DiscreteStatsTable[[#This Row],[GroupByKey]])*DiscreteStatsTable[Average])),0)</f>
        <v>1.0671040543452321</v>
      </c>
      <c r="O120" s="5" cm="1">
        <f t="array" ref="O120">IFERROR(_xlfn.STDEV.S(IF((DiscreteStatsTable[GroupByKey]=DiscreteStatsTable[[#This Row],[GroupByKey]]),(DiscreteStatsTable[GroupByKey]=DiscreteStatsTable[[#This Row],[GroupByKey]])*DiscreteStatsTable[Average])),0)</f>
        <v>0.37045275622860491</v>
      </c>
      <c r="P120" s="5" cm="1">
        <f t="array" ref="P120">MAX(IF((ProjectInfoTable[ProjectName]=DiscreteStatsTable[[#This Row],[ProjectName]]),(ProjectInfoTable[ProjectName]=DiscreteStatsTable[[#This Row],[ProjectName]])*ProjectInfoTable[ConfidenceInterval]))</f>
        <v>0.95</v>
      </c>
      <c r="Q120" s="5">
        <f>IF(AND(DiscreteStatsTable[[#This Row],[RepsWithStatObserved]]=1,Y120=0),200000000000000000000,IFERROR(_xlfn.T.INV.2T(1 -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0.2650059375039997</v>
      </c>
      <c r="R120" s="5" cm="1">
        <f t="array" ref="R120">MIN(IF((DiscreteStatsTable[GroupByKey]=DiscreteStatsTable[[#This Row],[GroupByKey]]),(DiscreteStatsTable[GroupByKey]=DiscreteStatsTable[[#This Row],[GroupByKey]])*DiscreteStatsTable[Average]))</f>
        <v>0.44197900416538999</v>
      </c>
      <c r="S120" s="5" cm="1">
        <f t="array" ref="S120">MAX(IF((DiscreteStatsTable[GroupByKey]=DiscreteStatsTable[[#This Row],[GroupByKey]]),(DiscreteStatsTable[GroupByKey]=DiscreteStatsTable[[#This Row],[GroupByKey]])*DiscreteStatsTable[Average]))</f>
        <v>1.56888053927778</v>
      </c>
      <c r="T120" s="5" cm="1">
        <f t="array" ref="T120">MIN(IF((DiscreteStatsTable[GroupByKey]=DiscreteStatsTable[[#This Row],[GroupByKey]]),(DiscreteStatsTable[GroupByKey]=DiscreteStatsTable[[#This Row],[GroupByKey]])*DiscreteStatsTable[Minimum]))</f>
        <v>0</v>
      </c>
      <c r="U120" s="5" cm="1">
        <f t="array" ref="U120">MAX(IF((DiscreteStatsTable[GroupByKey]=DiscreteStatsTable[[#This Row],[GroupByKey]]),(DiscreteStatsTable[GroupByKey]=DiscreteStatsTable[[#This Row],[GroupByKey]])*DiscreteStatsTable[Maximum]))</f>
        <v>23.9509837185512</v>
      </c>
      <c r="V120" s="5" cm="1">
        <f t="array" ref="V120">IFERROR(AVERAGE(IF((DiscreteStatsTable[GroupByKey]=DiscreteStatsTable[[#This Row],[GroupByKey]]),(DiscreteStatsTable[GroupByKey]=DiscreteStatsTable[[#This Row],[GroupByKey]])*DiscreteStatsTable[NumberObservations])),0)</f>
        <v>166.8</v>
      </c>
      <c r="W120" s="5">
        <f>IF((DiscreteStatsTable[[#This Row],[RepsRequested]]&gt;1),DiscreteStatsTable[[#This Row],[HalfWidth]],DiscreteStatsTable[[#This Row],[BatchMeansHalfWidth]])</f>
        <v>0.2650059375039997</v>
      </c>
      <c r="X120" s="5" cm="1">
        <f t="array" ref="X120">COUNT(IF((DiscreteStatsTable[GroupByKey]=DiscreteStatsTable[[#This Row],[GroupByKey]]),(DiscreteStatsTable[GroupByKey]=DiscreteStatsTable[[#This Row],[GroupByKey]])*DiscreteStatsTable[Replication]))</f>
        <v>10</v>
      </c>
      <c r="Y120" s="5">
        <f>IF(DiscreteStatsTable[[#This Row],[RepsRequested]]=DiscreteStatsTable[[#This Row],[RepsWithStatObserved]],1,0)</f>
        <v>1</v>
      </c>
    </row>
    <row r="121" spans="1:25" x14ac:dyDescent="0.4">
      <c r="A121" t="s">
        <v>66</v>
      </c>
      <c r="B121" t="s">
        <v>69</v>
      </c>
      <c r="C121">
        <v>10</v>
      </c>
      <c r="D121" t="s">
        <v>85</v>
      </c>
      <c r="E121" t="s">
        <v>79</v>
      </c>
      <c r="F121" t="s">
        <v>80</v>
      </c>
      <c r="G121">
        <v>1.2382556780129399</v>
      </c>
      <c r="H121">
        <v>2E+20</v>
      </c>
      <c r="I121">
        <v>0</v>
      </c>
      <c r="J121">
        <v>18.755391025810201</v>
      </c>
      <c r="K121">
        <v>166</v>
      </c>
      <c r="L121" s="5" t="str">
        <f>DiscreteStatsTable[[#This Row],[ProjectName]]&amp;DiscreteStatsTable[[#This Row],[Name]]&amp;DiscreteStatsTable[[#This Row],[Type]]&amp;DiscreteStatsTable[[#This Row],[Source]]</f>
        <v>Unnamed ProjectM1.QWaiting TimeQueue</v>
      </c>
      <c r="M121" s="5" cm="1">
        <f t="array" ref="M121">MAX(IF((ProjectInfoTable[ProjectName]=DiscreteStatsTable[[#This Row],[ProjectName]]),(ProjectInfoTable[ProjectName]=DiscreteStatsTable[[#This Row],[ProjectName]])*ProjectInfoTable[NumberOfReplications]))</f>
        <v>10</v>
      </c>
      <c r="N121" s="5" cm="1">
        <f t="array" ref="N121">IFERROR(AVERAGE(IF((DiscreteStatsTable[GroupByKey]=DiscreteStatsTable[[#This Row],[GroupByKey]]),(DiscreteStatsTable[GroupByKey]=DiscreteStatsTable[[#This Row],[GroupByKey]])*DiscreteStatsTable[Average])),0)</f>
        <v>1.0671040543452321</v>
      </c>
      <c r="O121" s="5" cm="1">
        <f t="array" ref="O121">IFERROR(_xlfn.STDEV.S(IF((DiscreteStatsTable[GroupByKey]=DiscreteStatsTable[[#This Row],[GroupByKey]]),(DiscreteStatsTable[GroupByKey]=DiscreteStatsTable[[#This Row],[GroupByKey]])*DiscreteStatsTable[Average])),0)</f>
        <v>0.37045275622860491</v>
      </c>
      <c r="P121" s="5" cm="1">
        <f t="array" ref="P121">MAX(IF((ProjectInfoTable[ProjectName]=DiscreteStatsTable[[#This Row],[ProjectName]]),(ProjectInfoTable[ProjectName]=DiscreteStatsTable[[#This Row],[ProjectName]])*ProjectInfoTable[ConfidenceInterval]))</f>
        <v>0.95</v>
      </c>
      <c r="Q121" s="5">
        <f>IF(AND(DiscreteStatsTable[[#This Row],[RepsWithStatObserved]]=1,Y121=0),200000000000000000000,IFERROR(_xlfn.T.INV.2T(1 -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0.2650059375039997</v>
      </c>
      <c r="R121" s="5" cm="1">
        <f t="array" ref="R121">MIN(IF((DiscreteStatsTable[GroupByKey]=DiscreteStatsTable[[#This Row],[GroupByKey]]),(DiscreteStatsTable[GroupByKey]=DiscreteStatsTable[[#This Row],[GroupByKey]])*DiscreteStatsTable[Average]))</f>
        <v>0.44197900416538999</v>
      </c>
      <c r="S121" s="5" cm="1">
        <f t="array" ref="S121">MAX(IF((DiscreteStatsTable[GroupByKey]=DiscreteStatsTable[[#This Row],[GroupByKey]]),(DiscreteStatsTable[GroupByKey]=DiscreteStatsTable[[#This Row],[GroupByKey]])*DiscreteStatsTable[Average]))</f>
        <v>1.56888053927778</v>
      </c>
      <c r="T121" s="5" cm="1">
        <f t="array" ref="T121">MIN(IF((DiscreteStatsTable[GroupByKey]=DiscreteStatsTable[[#This Row],[GroupByKey]]),(DiscreteStatsTable[GroupByKey]=DiscreteStatsTable[[#This Row],[GroupByKey]])*DiscreteStatsTable[Minimum]))</f>
        <v>0</v>
      </c>
      <c r="U121" s="5" cm="1">
        <f t="array" ref="U121">MAX(IF((DiscreteStatsTable[GroupByKey]=DiscreteStatsTable[[#This Row],[GroupByKey]]),(DiscreteStatsTable[GroupByKey]=DiscreteStatsTable[[#This Row],[GroupByKey]])*DiscreteStatsTable[Maximum]))</f>
        <v>23.9509837185512</v>
      </c>
      <c r="V121" s="5" cm="1">
        <f t="array" ref="V121">IFERROR(AVERAGE(IF((DiscreteStatsTable[GroupByKey]=DiscreteStatsTable[[#This Row],[GroupByKey]]),(DiscreteStatsTable[GroupByKey]=DiscreteStatsTable[[#This Row],[GroupByKey]])*DiscreteStatsTable[NumberObservations])),0)</f>
        <v>166.8</v>
      </c>
      <c r="W121" s="5">
        <f>IF((DiscreteStatsTable[[#This Row],[RepsRequested]]&gt;1),DiscreteStatsTable[[#This Row],[HalfWidth]],DiscreteStatsTable[[#This Row],[BatchMeansHalfWidth]])</f>
        <v>0.2650059375039997</v>
      </c>
      <c r="X121" s="5" cm="1">
        <f t="array" ref="X121">COUNT(IF((DiscreteStatsTable[GroupByKey]=DiscreteStatsTable[[#This Row],[GroupByKey]]),(DiscreteStatsTable[GroupByKey]=DiscreteStatsTable[[#This Row],[GroupByKey]])*DiscreteStatsTable[Replication]))</f>
        <v>10</v>
      </c>
      <c r="Y121" s="5">
        <f>IF(DiscreteStatsTable[[#This Row],[RepsRequested]]=DiscreteStatsTable[[#This Row],[RepsWithStatObserved]],1,0)</f>
        <v>1</v>
      </c>
    </row>
    <row r="122" spans="1:25" x14ac:dyDescent="0.4">
      <c r="A122" t="s">
        <v>66</v>
      </c>
      <c r="B122" t="s">
        <v>69</v>
      </c>
      <c r="C122">
        <v>1</v>
      </c>
      <c r="D122" t="s">
        <v>86</v>
      </c>
      <c r="E122" t="s">
        <v>79</v>
      </c>
      <c r="F122" t="s">
        <v>80</v>
      </c>
      <c r="G122">
        <v>19.797376315424</v>
      </c>
      <c r="H122">
        <v>2E+20</v>
      </c>
      <c r="I122">
        <v>0</v>
      </c>
      <c r="J122">
        <v>85.698553160587693</v>
      </c>
      <c r="K122">
        <v>122</v>
      </c>
      <c r="L122" s="5" t="str">
        <f>DiscreteStatsTable[[#This Row],[ProjectName]]&amp;DiscreteStatsTable[[#This Row],[Name]]&amp;DiscreteStatsTable[[#This Row],[Type]]&amp;DiscreteStatsTable[[#This Row],[Source]]</f>
        <v>Unnamed ProjectM2.QWaiting TimeQueue</v>
      </c>
      <c r="M122" s="5" cm="1">
        <f t="array" ref="M122">MAX(IF((ProjectInfoTable[ProjectName]=DiscreteStatsTable[[#This Row],[ProjectName]]),(ProjectInfoTable[ProjectName]=DiscreteStatsTable[[#This Row],[ProjectName]])*ProjectInfoTable[NumberOfReplications]))</f>
        <v>10</v>
      </c>
      <c r="N122" s="5" cm="1">
        <f t="array" ref="N122">IFERROR(AVERAGE(IF((DiscreteStatsTable[GroupByKey]=DiscreteStatsTable[[#This Row],[GroupByKey]]),(DiscreteStatsTable[GroupByKey]=DiscreteStatsTable[[#This Row],[GroupByKey]])*DiscreteStatsTable[Average])),0)</f>
        <v>34.44606615353954</v>
      </c>
      <c r="O122" s="5" cm="1">
        <f t="array" ref="O122">IFERROR(_xlfn.STDEV.S(IF((DiscreteStatsTable[GroupByKey]=DiscreteStatsTable[[#This Row],[GroupByKey]]),(DiscreteStatsTable[GroupByKey]=DiscreteStatsTable[[#This Row],[GroupByKey]])*DiscreteStatsTable[Average])),0)</f>
        <v>18.017933671946704</v>
      </c>
      <c r="P122" s="5" cm="1">
        <f t="array" ref="P122">MAX(IF((ProjectInfoTable[ProjectName]=DiscreteStatsTable[[#This Row],[ProjectName]]),(ProjectInfoTable[ProjectName]=DiscreteStatsTable[[#This Row],[ProjectName]])*ProjectInfoTable[ConfidenceInterval]))</f>
        <v>0.95</v>
      </c>
      <c r="Q122" s="5">
        <f>IF(AND(DiscreteStatsTable[[#This Row],[RepsWithStatObserved]]=1,Y122=0),200000000000000000000,IFERROR(_xlfn.T.INV.2T(1 -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12.889253283548451</v>
      </c>
      <c r="R122" s="5" cm="1">
        <f t="array" ref="R122">MIN(IF((DiscreteStatsTable[GroupByKey]=DiscreteStatsTable[[#This Row],[GroupByKey]]),(DiscreteStatsTable[GroupByKey]=DiscreteStatsTable[[#This Row],[GroupByKey]])*DiscreteStatsTable[Average]))</f>
        <v>12.627252141303</v>
      </c>
      <c r="S122" s="5" cm="1">
        <f t="array" ref="S122">MAX(IF((DiscreteStatsTable[GroupByKey]=DiscreteStatsTable[[#This Row],[GroupByKey]]),(DiscreteStatsTable[GroupByKey]=DiscreteStatsTable[[#This Row],[GroupByKey]])*DiscreteStatsTable[Average]))</f>
        <v>65.803371989875501</v>
      </c>
      <c r="T122" s="5" cm="1">
        <f t="array" ref="T122">MIN(IF((DiscreteStatsTable[GroupByKey]=DiscreteStatsTable[[#This Row],[GroupByKey]]),(DiscreteStatsTable[GroupByKey]=DiscreteStatsTable[[#This Row],[GroupByKey]])*DiscreteStatsTable[Minimum]))</f>
        <v>0</v>
      </c>
      <c r="U122" s="5" cm="1">
        <f t="array" ref="U122">MAX(IF((DiscreteStatsTable[GroupByKey]=DiscreteStatsTable[[#This Row],[GroupByKey]]),(DiscreteStatsTable[GroupByKey]=DiscreteStatsTable[[#This Row],[GroupByKey]])*DiscreteStatsTable[Maximum]))</f>
        <v>225.51091633065201</v>
      </c>
      <c r="V122" s="5" cm="1">
        <f t="array" ref="V122">IFERROR(AVERAGE(IF((DiscreteStatsTable[GroupByKey]=DiscreteStatsTable[[#This Row],[GroupByKey]]),(DiscreteStatsTable[GroupByKey]=DiscreteStatsTable[[#This Row],[GroupByKey]])*DiscreteStatsTable[NumberObservations])),0)</f>
        <v>118.9</v>
      </c>
      <c r="W122" s="5">
        <f>IF((DiscreteStatsTable[[#This Row],[RepsRequested]]&gt;1),DiscreteStatsTable[[#This Row],[HalfWidth]],DiscreteStatsTable[[#This Row],[BatchMeansHalfWidth]])</f>
        <v>12.889253283548451</v>
      </c>
      <c r="X122" s="5" cm="1">
        <f t="array" ref="X122">COUNT(IF((DiscreteStatsTable[GroupByKey]=DiscreteStatsTable[[#This Row],[GroupByKey]]),(DiscreteStatsTable[GroupByKey]=DiscreteStatsTable[[#This Row],[GroupByKey]])*DiscreteStatsTable[Replication]))</f>
        <v>10</v>
      </c>
      <c r="Y122" s="5">
        <f>IF(DiscreteStatsTable[[#This Row],[RepsRequested]]=DiscreteStatsTable[[#This Row],[RepsWithStatObserved]],1,0)</f>
        <v>1</v>
      </c>
    </row>
    <row r="123" spans="1:25" x14ac:dyDescent="0.4">
      <c r="A123" t="s">
        <v>66</v>
      </c>
      <c r="B123" t="s">
        <v>69</v>
      </c>
      <c r="C123">
        <v>2</v>
      </c>
      <c r="D123" t="s">
        <v>86</v>
      </c>
      <c r="E123" t="s">
        <v>79</v>
      </c>
      <c r="F123" t="s">
        <v>80</v>
      </c>
      <c r="G123">
        <v>35.402068951330598</v>
      </c>
      <c r="H123">
        <v>2E+20</v>
      </c>
      <c r="I123">
        <v>0</v>
      </c>
      <c r="J123">
        <v>136.21512171562699</v>
      </c>
      <c r="K123">
        <v>110</v>
      </c>
      <c r="L123" s="5" t="str">
        <f>DiscreteStatsTable[[#This Row],[ProjectName]]&amp;DiscreteStatsTable[[#This Row],[Name]]&amp;DiscreteStatsTable[[#This Row],[Type]]&amp;DiscreteStatsTable[[#This Row],[Source]]</f>
        <v>Unnamed ProjectM2.QWaiting TimeQueue</v>
      </c>
      <c r="M123" s="5" cm="1">
        <f t="array" ref="M123">MAX(IF((ProjectInfoTable[ProjectName]=DiscreteStatsTable[[#This Row],[ProjectName]]),(ProjectInfoTable[ProjectName]=DiscreteStatsTable[[#This Row],[ProjectName]])*ProjectInfoTable[NumberOfReplications]))</f>
        <v>10</v>
      </c>
      <c r="N123" s="5" cm="1">
        <f t="array" ref="N123">IFERROR(AVERAGE(IF((DiscreteStatsTable[GroupByKey]=DiscreteStatsTable[[#This Row],[GroupByKey]]),(DiscreteStatsTable[GroupByKey]=DiscreteStatsTable[[#This Row],[GroupByKey]])*DiscreteStatsTable[Average])),0)</f>
        <v>34.44606615353954</v>
      </c>
      <c r="O123" s="5" cm="1">
        <f t="array" ref="O123">IFERROR(_xlfn.STDEV.S(IF((DiscreteStatsTable[GroupByKey]=DiscreteStatsTable[[#This Row],[GroupByKey]]),(DiscreteStatsTable[GroupByKey]=DiscreteStatsTable[[#This Row],[GroupByKey]])*DiscreteStatsTable[Average])),0)</f>
        <v>18.017933671946704</v>
      </c>
      <c r="P123" s="5" cm="1">
        <f t="array" ref="P123">MAX(IF((ProjectInfoTable[ProjectName]=DiscreteStatsTable[[#This Row],[ProjectName]]),(ProjectInfoTable[ProjectName]=DiscreteStatsTable[[#This Row],[ProjectName]])*ProjectInfoTable[ConfidenceInterval]))</f>
        <v>0.95</v>
      </c>
      <c r="Q123" s="5">
        <f>IF(AND(DiscreteStatsTable[[#This Row],[RepsWithStatObserved]]=1,Y123=0),200000000000000000000,IFERROR(_xlfn.T.INV.2T(1 -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12.889253283548451</v>
      </c>
      <c r="R123" s="5" cm="1">
        <f t="array" ref="R123">MIN(IF((DiscreteStatsTable[GroupByKey]=DiscreteStatsTable[[#This Row],[GroupByKey]]),(DiscreteStatsTable[GroupByKey]=DiscreteStatsTable[[#This Row],[GroupByKey]])*DiscreteStatsTable[Average]))</f>
        <v>12.627252141303</v>
      </c>
      <c r="S123" s="5" cm="1">
        <f t="array" ref="S123">MAX(IF((DiscreteStatsTable[GroupByKey]=DiscreteStatsTable[[#This Row],[GroupByKey]]),(DiscreteStatsTable[GroupByKey]=DiscreteStatsTable[[#This Row],[GroupByKey]])*DiscreteStatsTable[Average]))</f>
        <v>65.803371989875501</v>
      </c>
      <c r="T123" s="5" cm="1">
        <f t="array" ref="T123">MIN(IF((DiscreteStatsTable[GroupByKey]=DiscreteStatsTable[[#This Row],[GroupByKey]]),(DiscreteStatsTable[GroupByKey]=DiscreteStatsTable[[#This Row],[GroupByKey]])*DiscreteStatsTable[Minimum]))</f>
        <v>0</v>
      </c>
      <c r="U123" s="5" cm="1">
        <f t="array" ref="U123">MAX(IF((DiscreteStatsTable[GroupByKey]=DiscreteStatsTable[[#This Row],[GroupByKey]]),(DiscreteStatsTable[GroupByKey]=DiscreteStatsTable[[#This Row],[GroupByKey]])*DiscreteStatsTable[Maximum]))</f>
        <v>225.51091633065201</v>
      </c>
      <c r="V123" s="5" cm="1">
        <f t="array" ref="V123">IFERROR(AVERAGE(IF((DiscreteStatsTable[GroupByKey]=DiscreteStatsTable[[#This Row],[GroupByKey]]),(DiscreteStatsTable[GroupByKey]=DiscreteStatsTable[[#This Row],[GroupByKey]])*DiscreteStatsTable[NumberObservations])),0)</f>
        <v>118.9</v>
      </c>
      <c r="W123" s="5">
        <f>IF((DiscreteStatsTable[[#This Row],[RepsRequested]]&gt;1),DiscreteStatsTable[[#This Row],[HalfWidth]],DiscreteStatsTable[[#This Row],[BatchMeansHalfWidth]])</f>
        <v>12.889253283548451</v>
      </c>
      <c r="X123" s="5" cm="1">
        <f t="array" ref="X123">COUNT(IF((DiscreteStatsTable[GroupByKey]=DiscreteStatsTable[[#This Row],[GroupByKey]]),(DiscreteStatsTable[GroupByKey]=DiscreteStatsTable[[#This Row],[GroupByKey]])*DiscreteStatsTable[Replication]))</f>
        <v>10</v>
      </c>
      <c r="Y123" s="5">
        <f>IF(DiscreteStatsTable[[#This Row],[RepsRequested]]=DiscreteStatsTable[[#This Row],[RepsWithStatObserved]],1,0)</f>
        <v>1</v>
      </c>
    </row>
    <row r="124" spans="1:25" x14ac:dyDescent="0.4">
      <c r="A124" t="s">
        <v>66</v>
      </c>
      <c r="B124" t="s">
        <v>69</v>
      </c>
      <c r="C124">
        <v>3</v>
      </c>
      <c r="D124" t="s">
        <v>86</v>
      </c>
      <c r="E124" t="s">
        <v>79</v>
      </c>
      <c r="F124" t="s">
        <v>80</v>
      </c>
      <c r="G124">
        <v>65.803371989875501</v>
      </c>
      <c r="H124">
        <v>2E+20</v>
      </c>
      <c r="I124">
        <v>0</v>
      </c>
      <c r="J124">
        <v>225.51091633065201</v>
      </c>
      <c r="K124">
        <v>130</v>
      </c>
      <c r="L124" s="5" t="str">
        <f>DiscreteStatsTable[[#This Row],[ProjectName]]&amp;DiscreteStatsTable[[#This Row],[Name]]&amp;DiscreteStatsTable[[#This Row],[Type]]&amp;DiscreteStatsTable[[#This Row],[Source]]</f>
        <v>Unnamed ProjectM2.QWaiting TimeQueue</v>
      </c>
      <c r="M124" s="5" cm="1">
        <f t="array" ref="M124">MAX(IF((ProjectInfoTable[ProjectName]=DiscreteStatsTable[[#This Row],[ProjectName]]),(ProjectInfoTable[ProjectName]=DiscreteStatsTable[[#This Row],[ProjectName]])*ProjectInfoTable[NumberOfReplications]))</f>
        <v>10</v>
      </c>
      <c r="N124" s="5" cm="1">
        <f t="array" ref="N124">IFERROR(AVERAGE(IF((DiscreteStatsTable[GroupByKey]=DiscreteStatsTable[[#This Row],[GroupByKey]]),(DiscreteStatsTable[GroupByKey]=DiscreteStatsTable[[#This Row],[GroupByKey]])*DiscreteStatsTable[Average])),0)</f>
        <v>34.44606615353954</v>
      </c>
      <c r="O124" s="5" cm="1">
        <f t="array" ref="O124">IFERROR(_xlfn.STDEV.S(IF((DiscreteStatsTable[GroupByKey]=DiscreteStatsTable[[#This Row],[GroupByKey]]),(DiscreteStatsTable[GroupByKey]=DiscreteStatsTable[[#This Row],[GroupByKey]])*DiscreteStatsTable[Average])),0)</f>
        <v>18.017933671946704</v>
      </c>
      <c r="P124" s="5" cm="1">
        <f t="array" ref="P124">MAX(IF((ProjectInfoTable[ProjectName]=DiscreteStatsTable[[#This Row],[ProjectName]]),(ProjectInfoTable[ProjectName]=DiscreteStatsTable[[#This Row],[ProjectName]])*ProjectInfoTable[ConfidenceInterval]))</f>
        <v>0.95</v>
      </c>
      <c r="Q124" s="5">
        <f>IF(AND(DiscreteStatsTable[[#This Row],[RepsWithStatObserved]]=1,Y124=0),200000000000000000000,IFERROR(_xlfn.T.INV.2T(1 -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12.889253283548451</v>
      </c>
      <c r="R124" s="5" cm="1">
        <f t="array" ref="R124">MIN(IF((DiscreteStatsTable[GroupByKey]=DiscreteStatsTable[[#This Row],[GroupByKey]]),(DiscreteStatsTable[GroupByKey]=DiscreteStatsTable[[#This Row],[GroupByKey]])*DiscreteStatsTable[Average]))</f>
        <v>12.627252141303</v>
      </c>
      <c r="S124" s="5" cm="1">
        <f t="array" ref="S124">MAX(IF((DiscreteStatsTable[GroupByKey]=DiscreteStatsTable[[#This Row],[GroupByKey]]),(DiscreteStatsTable[GroupByKey]=DiscreteStatsTable[[#This Row],[GroupByKey]])*DiscreteStatsTable[Average]))</f>
        <v>65.803371989875501</v>
      </c>
      <c r="T124" s="5" cm="1">
        <f t="array" ref="T124">MIN(IF((DiscreteStatsTable[GroupByKey]=DiscreteStatsTable[[#This Row],[GroupByKey]]),(DiscreteStatsTable[GroupByKey]=DiscreteStatsTable[[#This Row],[GroupByKey]])*DiscreteStatsTable[Minimum]))</f>
        <v>0</v>
      </c>
      <c r="U124" s="5" cm="1">
        <f t="array" ref="U124">MAX(IF((DiscreteStatsTable[GroupByKey]=DiscreteStatsTable[[#This Row],[GroupByKey]]),(DiscreteStatsTable[GroupByKey]=DiscreteStatsTable[[#This Row],[GroupByKey]])*DiscreteStatsTable[Maximum]))</f>
        <v>225.51091633065201</v>
      </c>
      <c r="V124" s="5" cm="1">
        <f t="array" ref="V124">IFERROR(AVERAGE(IF((DiscreteStatsTable[GroupByKey]=DiscreteStatsTable[[#This Row],[GroupByKey]]),(DiscreteStatsTable[GroupByKey]=DiscreteStatsTable[[#This Row],[GroupByKey]])*DiscreteStatsTable[NumberObservations])),0)</f>
        <v>118.9</v>
      </c>
      <c r="W124" s="5">
        <f>IF((DiscreteStatsTable[[#This Row],[RepsRequested]]&gt;1),DiscreteStatsTable[[#This Row],[HalfWidth]],DiscreteStatsTable[[#This Row],[BatchMeansHalfWidth]])</f>
        <v>12.889253283548451</v>
      </c>
      <c r="X124" s="5" cm="1">
        <f t="array" ref="X124">COUNT(IF((DiscreteStatsTable[GroupByKey]=DiscreteStatsTable[[#This Row],[GroupByKey]]),(DiscreteStatsTable[GroupByKey]=DiscreteStatsTable[[#This Row],[GroupByKey]])*DiscreteStatsTable[Replication]))</f>
        <v>10</v>
      </c>
      <c r="Y124" s="5">
        <f>IF(DiscreteStatsTable[[#This Row],[RepsRequested]]=DiscreteStatsTable[[#This Row],[RepsWithStatObserved]],1,0)</f>
        <v>1</v>
      </c>
    </row>
    <row r="125" spans="1:25" x14ac:dyDescent="0.4">
      <c r="A125" t="s">
        <v>66</v>
      </c>
      <c r="B125" t="s">
        <v>69</v>
      </c>
      <c r="C125">
        <v>4</v>
      </c>
      <c r="D125" t="s">
        <v>86</v>
      </c>
      <c r="E125" t="s">
        <v>79</v>
      </c>
      <c r="F125" t="s">
        <v>80</v>
      </c>
      <c r="G125">
        <v>43.516802778006401</v>
      </c>
      <c r="H125">
        <v>2E+20</v>
      </c>
      <c r="I125">
        <v>0</v>
      </c>
      <c r="J125">
        <v>103.07591462497</v>
      </c>
      <c r="K125">
        <v>127</v>
      </c>
      <c r="L125" s="5" t="str">
        <f>DiscreteStatsTable[[#This Row],[ProjectName]]&amp;DiscreteStatsTable[[#This Row],[Name]]&amp;DiscreteStatsTable[[#This Row],[Type]]&amp;DiscreteStatsTable[[#This Row],[Source]]</f>
        <v>Unnamed ProjectM2.QWaiting TimeQueue</v>
      </c>
      <c r="M125" s="5" cm="1">
        <f t="array" ref="M125">MAX(IF((ProjectInfoTable[ProjectName]=DiscreteStatsTable[[#This Row],[ProjectName]]),(ProjectInfoTable[ProjectName]=DiscreteStatsTable[[#This Row],[ProjectName]])*ProjectInfoTable[NumberOfReplications]))</f>
        <v>10</v>
      </c>
      <c r="N125" s="5" cm="1">
        <f t="array" ref="N125">IFERROR(AVERAGE(IF((DiscreteStatsTable[GroupByKey]=DiscreteStatsTable[[#This Row],[GroupByKey]]),(DiscreteStatsTable[GroupByKey]=DiscreteStatsTable[[#This Row],[GroupByKey]])*DiscreteStatsTable[Average])),0)</f>
        <v>34.44606615353954</v>
      </c>
      <c r="O125" s="5" cm="1">
        <f t="array" ref="O125">IFERROR(_xlfn.STDEV.S(IF((DiscreteStatsTable[GroupByKey]=DiscreteStatsTable[[#This Row],[GroupByKey]]),(DiscreteStatsTable[GroupByKey]=DiscreteStatsTable[[#This Row],[GroupByKey]])*DiscreteStatsTable[Average])),0)</f>
        <v>18.017933671946704</v>
      </c>
      <c r="P125" s="5" cm="1">
        <f t="array" ref="P125">MAX(IF((ProjectInfoTable[ProjectName]=DiscreteStatsTable[[#This Row],[ProjectName]]),(ProjectInfoTable[ProjectName]=DiscreteStatsTable[[#This Row],[ProjectName]])*ProjectInfoTable[ConfidenceInterval]))</f>
        <v>0.95</v>
      </c>
      <c r="Q125" s="5">
        <f>IF(AND(DiscreteStatsTable[[#This Row],[RepsWithStatObserved]]=1,Y125=0),200000000000000000000,IFERROR(_xlfn.T.INV.2T(1 -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12.889253283548451</v>
      </c>
      <c r="R125" s="5" cm="1">
        <f t="array" ref="R125">MIN(IF((DiscreteStatsTable[GroupByKey]=DiscreteStatsTable[[#This Row],[GroupByKey]]),(DiscreteStatsTable[GroupByKey]=DiscreteStatsTable[[#This Row],[GroupByKey]])*DiscreteStatsTable[Average]))</f>
        <v>12.627252141303</v>
      </c>
      <c r="S125" s="5" cm="1">
        <f t="array" ref="S125">MAX(IF((DiscreteStatsTable[GroupByKey]=DiscreteStatsTable[[#This Row],[GroupByKey]]),(DiscreteStatsTable[GroupByKey]=DiscreteStatsTable[[#This Row],[GroupByKey]])*DiscreteStatsTable[Average]))</f>
        <v>65.803371989875501</v>
      </c>
      <c r="T125" s="5" cm="1">
        <f t="array" ref="T125">MIN(IF((DiscreteStatsTable[GroupByKey]=DiscreteStatsTable[[#This Row],[GroupByKey]]),(DiscreteStatsTable[GroupByKey]=DiscreteStatsTable[[#This Row],[GroupByKey]])*DiscreteStatsTable[Minimum]))</f>
        <v>0</v>
      </c>
      <c r="U125" s="5" cm="1">
        <f t="array" ref="U125">MAX(IF((DiscreteStatsTable[GroupByKey]=DiscreteStatsTable[[#This Row],[GroupByKey]]),(DiscreteStatsTable[GroupByKey]=DiscreteStatsTable[[#This Row],[GroupByKey]])*DiscreteStatsTable[Maximum]))</f>
        <v>225.51091633065201</v>
      </c>
      <c r="V125" s="5" cm="1">
        <f t="array" ref="V125">IFERROR(AVERAGE(IF((DiscreteStatsTable[GroupByKey]=DiscreteStatsTable[[#This Row],[GroupByKey]]),(DiscreteStatsTable[GroupByKey]=DiscreteStatsTable[[#This Row],[GroupByKey]])*DiscreteStatsTable[NumberObservations])),0)</f>
        <v>118.9</v>
      </c>
      <c r="W125" s="5">
        <f>IF((DiscreteStatsTable[[#This Row],[RepsRequested]]&gt;1),DiscreteStatsTable[[#This Row],[HalfWidth]],DiscreteStatsTable[[#This Row],[BatchMeansHalfWidth]])</f>
        <v>12.889253283548451</v>
      </c>
      <c r="X125" s="5" cm="1">
        <f t="array" ref="X125">COUNT(IF((DiscreteStatsTable[GroupByKey]=DiscreteStatsTable[[#This Row],[GroupByKey]]),(DiscreteStatsTable[GroupByKey]=DiscreteStatsTable[[#This Row],[GroupByKey]])*DiscreteStatsTable[Replication]))</f>
        <v>10</v>
      </c>
      <c r="Y125" s="5">
        <f>IF(DiscreteStatsTable[[#This Row],[RepsRequested]]=DiscreteStatsTable[[#This Row],[RepsWithStatObserved]],1,0)</f>
        <v>1</v>
      </c>
    </row>
    <row r="126" spans="1:25" x14ac:dyDescent="0.4">
      <c r="A126" t="s">
        <v>66</v>
      </c>
      <c r="B126" t="s">
        <v>69</v>
      </c>
      <c r="C126">
        <v>5</v>
      </c>
      <c r="D126" t="s">
        <v>86</v>
      </c>
      <c r="E126" t="s">
        <v>79</v>
      </c>
      <c r="F126" t="s">
        <v>80</v>
      </c>
      <c r="G126">
        <v>13.3521137387604</v>
      </c>
      <c r="H126">
        <v>2E+20</v>
      </c>
      <c r="I126">
        <v>0</v>
      </c>
      <c r="J126">
        <v>56.031912138275402</v>
      </c>
      <c r="K126">
        <v>101</v>
      </c>
      <c r="L126" s="5" t="str">
        <f>DiscreteStatsTable[[#This Row],[ProjectName]]&amp;DiscreteStatsTable[[#This Row],[Name]]&amp;DiscreteStatsTable[[#This Row],[Type]]&amp;DiscreteStatsTable[[#This Row],[Source]]</f>
        <v>Unnamed ProjectM2.QWaiting TimeQueue</v>
      </c>
      <c r="M126" s="5" cm="1">
        <f t="array" ref="M126">MAX(IF((ProjectInfoTable[ProjectName]=DiscreteStatsTable[[#This Row],[ProjectName]]),(ProjectInfoTable[ProjectName]=DiscreteStatsTable[[#This Row],[ProjectName]])*ProjectInfoTable[NumberOfReplications]))</f>
        <v>10</v>
      </c>
      <c r="N126" s="5" cm="1">
        <f t="array" ref="N126">IFERROR(AVERAGE(IF((DiscreteStatsTable[GroupByKey]=DiscreteStatsTable[[#This Row],[GroupByKey]]),(DiscreteStatsTable[GroupByKey]=DiscreteStatsTable[[#This Row],[GroupByKey]])*DiscreteStatsTable[Average])),0)</f>
        <v>34.44606615353954</v>
      </c>
      <c r="O126" s="5" cm="1">
        <f t="array" ref="O126">IFERROR(_xlfn.STDEV.S(IF((DiscreteStatsTable[GroupByKey]=DiscreteStatsTable[[#This Row],[GroupByKey]]),(DiscreteStatsTable[GroupByKey]=DiscreteStatsTable[[#This Row],[GroupByKey]])*DiscreteStatsTable[Average])),0)</f>
        <v>18.017933671946704</v>
      </c>
      <c r="P126" s="5" cm="1">
        <f t="array" ref="P126">MAX(IF((ProjectInfoTable[ProjectName]=DiscreteStatsTable[[#This Row],[ProjectName]]),(ProjectInfoTable[ProjectName]=DiscreteStatsTable[[#This Row],[ProjectName]])*ProjectInfoTable[ConfidenceInterval]))</f>
        <v>0.95</v>
      </c>
      <c r="Q126" s="5">
        <f>IF(AND(DiscreteStatsTable[[#This Row],[RepsWithStatObserved]]=1,Y126=0),200000000000000000000,IFERROR(_xlfn.T.INV.2T(1 -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12.889253283548451</v>
      </c>
      <c r="R126" s="5" cm="1">
        <f t="array" ref="R126">MIN(IF((DiscreteStatsTable[GroupByKey]=DiscreteStatsTable[[#This Row],[GroupByKey]]),(DiscreteStatsTable[GroupByKey]=DiscreteStatsTable[[#This Row],[GroupByKey]])*DiscreteStatsTable[Average]))</f>
        <v>12.627252141303</v>
      </c>
      <c r="S126" s="5" cm="1">
        <f t="array" ref="S126">MAX(IF((DiscreteStatsTable[GroupByKey]=DiscreteStatsTable[[#This Row],[GroupByKey]]),(DiscreteStatsTable[GroupByKey]=DiscreteStatsTable[[#This Row],[GroupByKey]])*DiscreteStatsTable[Average]))</f>
        <v>65.803371989875501</v>
      </c>
      <c r="T126" s="5" cm="1">
        <f t="array" ref="T126">MIN(IF((DiscreteStatsTable[GroupByKey]=DiscreteStatsTable[[#This Row],[GroupByKey]]),(DiscreteStatsTable[GroupByKey]=DiscreteStatsTable[[#This Row],[GroupByKey]])*DiscreteStatsTable[Minimum]))</f>
        <v>0</v>
      </c>
      <c r="U126" s="5" cm="1">
        <f t="array" ref="U126">MAX(IF((DiscreteStatsTable[GroupByKey]=DiscreteStatsTable[[#This Row],[GroupByKey]]),(DiscreteStatsTable[GroupByKey]=DiscreteStatsTable[[#This Row],[GroupByKey]])*DiscreteStatsTable[Maximum]))</f>
        <v>225.51091633065201</v>
      </c>
      <c r="V126" s="5" cm="1">
        <f t="array" ref="V126">IFERROR(AVERAGE(IF((DiscreteStatsTable[GroupByKey]=DiscreteStatsTable[[#This Row],[GroupByKey]]),(DiscreteStatsTable[GroupByKey]=DiscreteStatsTable[[#This Row],[GroupByKey]])*DiscreteStatsTable[NumberObservations])),0)</f>
        <v>118.9</v>
      </c>
      <c r="W126" s="5">
        <f>IF((DiscreteStatsTable[[#This Row],[RepsRequested]]&gt;1),DiscreteStatsTable[[#This Row],[HalfWidth]],DiscreteStatsTable[[#This Row],[BatchMeansHalfWidth]])</f>
        <v>12.889253283548451</v>
      </c>
      <c r="X126" s="5" cm="1">
        <f t="array" ref="X126">COUNT(IF((DiscreteStatsTable[GroupByKey]=DiscreteStatsTable[[#This Row],[GroupByKey]]),(DiscreteStatsTable[GroupByKey]=DiscreteStatsTable[[#This Row],[GroupByKey]])*DiscreteStatsTable[Replication]))</f>
        <v>10</v>
      </c>
      <c r="Y126" s="5">
        <f>IF(DiscreteStatsTable[[#This Row],[RepsRequested]]=DiscreteStatsTable[[#This Row],[RepsWithStatObserved]],1,0)</f>
        <v>1</v>
      </c>
    </row>
    <row r="127" spans="1:25" x14ac:dyDescent="0.4">
      <c r="A127" t="s">
        <v>66</v>
      </c>
      <c r="B127" t="s">
        <v>69</v>
      </c>
      <c r="C127">
        <v>6</v>
      </c>
      <c r="D127" t="s">
        <v>86</v>
      </c>
      <c r="E127" t="s">
        <v>79</v>
      </c>
      <c r="F127" t="s">
        <v>80</v>
      </c>
      <c r="G127">
        <v>27.665233690617899</v>
      </c>
      <c r="H127">
        <v>2E+20</v>
      </c>
      <c r="I127">
        <v>0</v>
      </c>
      <c r="J127">
        <v>94.127105327405204</v>
      </c>
      <c r="K127">
        <v>134</v>
      </c>
      <c r="L127" s="5" t="str">
        <f>DiscreteStatsTable[[#This Row],[ProjectName]]&amp;DiscreteStatsTable[[#This Row],[Name]]&amp;DiscreteStatsTable[[#This Row],[Type]]&amp;DiscreteStatsTable[[#This Row],[Source]]</f>
        <v>Unnamed ProjectM2.QWaiting TimeQueue</v>
      </c>
      <c r="M127" s="5" cm="1">
        <f t="array" ref="M127">MAX(IF((ProjectInfoTable[ProjectName]=DiscreteStatsTable[[#This Row],[ProjectName]]),(ProjectInfoTable[ProjectName]=DiscreteStatsTable[[#This Row],[ProjectName]])*ProjectInfoTable[NumberOfReplications]))</f>
        <v>10</v>
      </c>
      <c r="N127" s="5" cm="1">
        <f t="array" ref="N127">IFERROR(AVERAGE(IF((DiscreteStatsTable[GroupByKey]=DiscreteStatsTable[[#This Row],[GroupByKey]]),(DiscreteStatsTable[GroupByKey]=DiscreteStatsTable[[#This Row],[GroupByKey]])*DiscreteStatsTable[Average])),0)</f>
        <v>34.44606615353954</v>
      </c>
      <c r="O127" s="5" cm="1">
        <f t="array" ref="O127">IFERROR(_xlfn.STDEV.S(IF((DiscreteStatsTable[GroupByKey]=DiscreteStatsTable[[#This Row],[GroupByKey]]),(DiscreteStatsTable[GroupByKey]=DiscreteStatsTable[[#This Row],[GroupByKey]])*DiscreteStatsTable[Average])),0)</f>
        <v>18.017933671946704</v>
      </c>
      <c r="P127" s="5" cm="1">
        <f t="array" ref="P127">MAX(IF((ProjectInfoTable[ProjectName]=DiscreteStatsTable[[#This Row],[ProjectName]]),(ProjectInfoTable[ProjectName]=DiscreteStatsTable[[#This Row],[ProjectName]])*ProjectInfoTable[ConfidenceInterval]))</f>
        <v>0.95</v>
      </c>
      <c r="Q127" s="5">
        <f>IF(AND(DiscreteStatsTable[[#This Row],[RepsWithStatObserved]]=1,Y127=0),200000000000000000000,IFERROR(_xlfn.T.INV.2T(1 -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12.889253283548451</v>
      </c>
      <c r="R127" s="5" cm="1">
        <f t="array" ref="R127">MIN(IF((DiscreteStatsTable[GroupByKey]=DiscreteStatsTable[[#This Row],[GroupByKey]]),(DiscreteStatsTable[GroupByKey]=DiscreteStatsTable[[#This Row],[GroupByKey]])*DiscreteStatsTable[Average]))</f>
        <v>12.627252141303</v>
      </c>
      <c r="S127" s="5" cm="1">
        <f t="array" ref="S127">MAX(IF((DiscreteStatsTable[GroupByKey]=DiscreteStatsTable[[#This Row],[GroupByKey]]),(DiscreteStatsTable[GroupByKey]=DiscreteStatsTable[[#This Row],[GroupByKey]])*DiscreteStatsTable[Average]))</f>
        <v>65.803371989875501</v>
      </c>
      <c r="T127" s="5" cm="1">
        <f t="array" ref="T127">MIN(IF((DiscreteStatsTable[GroupByKey]=DiscreteStatsTable[[#This Row],[GroupByKey]]),(DiscreteStatsTable[GroupByKey]=DiscreteStatsTable[[#This Row],[GroupByKey]])*DiscreteStatsTable[Minimum]))</f>
        <v>0</v>
      </c>
      <c r="U127" s="5" cm="1">
        <f t="array" ref="U127">MAX(IF((DiscreteStatsTable[GroupByKey]=DiscreteStatsTable[[#This Row],[GroupByKey]]),(DiscreteStatsTable[GroupByKey]=DiscreteStatsTable[[#This Row],[GroupByKey]])*DiscreteStatsTable[Maximum]))</f>
        <v>225.51091633065201</v>
      </c>
      <c r="V127" s="5" cm="1">
        <f t="array" ref="V127">IFERROR(AVERAGE(IF((DiscreteStatsTable[GroupByKey]=DiscreteStatsTable[[#This Row],[GroupByKey]]),(DiscreteStatsTable[GroupByKey]=DiscreteStatsTable[[#This Row],[GroupByKey]])*DiscreteStatsTable[NumberObservations])),0)</f>
        <v>118.9</v>
      </c>
      <c r="W127" s="5">
        <f>IF((DiscreteStatsTable[[#This Row],[RepsRequested]]&gt;1),DiscreteStatsTable[[#This Row],[HalfWidth]],DiscreteStatsTable[[#This Row],[BatchMeansHalfWidth]])</f>
        <v>12.889253283548451</v>
      </c>
      <c r="X127" s="5" cm="1">
        <f t="array" ref="X127">COUNT(IF((DiscreteStatsTable[GroupByKey]=DiscreteStatsTable[[#This Row],[GroupByKey]]),(DiscreteStatsTable[GroupByKey]=DiscreteStatsTable[[#This Row],[GroupByKey]])*DiscreteStatsTable[Replication]))</f>
        <v>10</v>
      </c>
      <c r="Y127" s="5">
        <f>IF(DiscreteStatsTable[[#This Row],[RepsRequested]]=DiscreteStatsTable[[#This Row],[RepsWithStatObserved]],1,0)</f>
        <v>1</v>
      </c>
    </row>
    <row r="128" spans="1:25" x14ac:dyDescent="0.4">
      <c r="A128" t="s">
        <v>66</v>
      </c>
      <c r="B128" t="s">
        <v>69</v>
      </c>
      <c r="C128">
        <v>7</v>
      </c>
      <c r="D128" t="s">
        <v>86</v>
      </c>
      <c r="E128" t="s">
        <v>79</v>
      </c>
      <c r="F128" t="s">
        <v>80</v>
      </c>
      <c r="G128">
        <v>12.627252141303</v>
      </c>
      <c r="H128">
        <v>2E+20</v>
      </c>
      <c r="I128">
        <v>0</v>
      </c>
      <c r="J128">
        <v>66.636882998070405</v>
      </c>
      <c r="K128">
        <v>111</v>
      </c>
      <c r="L128" s="5" t="str">
        <f>DiscreteStatsTable[[#This Row],[ProjectName]]&amp;DiscreteStatsTable[[#This Row],[Name]]&amp;DiscreteStatsTable[[#This Row],[Type]]&amp;DiscreteStatsTable[[#This Row],[Source]]</f>
        <v>Unnamed ProjectM2.QWaiting TimeQueue</v>
      </c>
      <c r="M128" s="5" cm="1">
        <f t="array" ref="M128">MAX(IF((ProjectInfoTable[ProjectName]=DiscreteStatsTable[[#This Row],[ProjectName]]),(ProjectInfoTable[ProjectName]=DiscreteStatsTable[[#This Row],[ProjectName]])*ProjectInfoTable[NumberOfReplications]))</f>
        <v>10</v>
      </c>
      <c r="N128" s="5" cm="1">
        <f t="array" ref="N128">IFERROR(AVERAGE(IF((DiscreteStatsTable[GroupByKey]=DiscreteStatsTable[[#This Row],[GroupByKey]]),(DiscreteStatsTable[GroupByKey]=DiscreteStatsTable[[#This Row],[GroupByKey]])*DiscreteStatsTable[Average])),0)</f>
        <v>34.44606615353954</v>
      </c>
      <c r="O128" s="5" cm="1">
        <f t="array" ref="O128">IFERROR(_xlfn.STDEV.S(IF((DiscreteStatsTable[GroupByKey]=DiscreteStatsTable[[#This Row],[GroupByKey]]),(DiscreteStatsTable[GroupByKey]=DiscreteStatsTable[[#This Row],[GroupByKey]])*DiscreteStatsTable[Average])),0)</f>
        <v>18.017933671946704</v>
      </c>
      <c r="P128" s="5" cm="1">
        <f t="array" ref="P128">MAX(IF((ProjectInfoTable[ProjectName]=DiscreteStatsTable[[#This Row],[ProjectName]]),(ProjectInfoTable[ProjectName]=DiscreteStatsTable[[#This Row],[ProjectName]])*ProjectInfoTable[ConfidenceInterval]))</f>
        <v>0.95</v>
      </c>
      <c r="Q128" s="5">
        <f>IF(AND(DiscreteStatsTable[[#This Row],[RepsWithStatObserved]]=1,Y128=0),200000000000000000000,IFERROR(_xlfn.T.INV.2T(1 -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12.889253283548451</v>
      </c>
      <c r="R128" s="5" cm="1">
        <f t="array" ref="R128">MIN(IF((DiscreteStatsTable[GroupByKey]=DiscreteStatsTable[[#This Row],[GroupByKey]]),(DiscreteStatsTable[GroupByKey]=DiscreteStatsTable[[#This Row],[GroupByKey]])*DiscreteStatsTable[Average]))</f>
        <v>12.627252141303</v>
      </c>
      <c r="S128" s="5" cm="1">
        <f t="array" ref="S128">MAX(IF((DiscreteStatsTable[GroupByKey]=DiscreteStatsTable[[#This Row],[GroupByKey]]),(DiscreteStatsTable[GroupByKey]=DiscreteStatsTable[[#This Row],[GroupByKey]])*DiscreteStatsTable[Average]))</f>
        <v>65.803371989875501</v>
      </c>
      <c r="T128" s="5" cm="1">
        <f t="array" ref="T128">MIN(IF((DiscreteStatsTable[GroupByKey]=DiscreteStatsTable[[#This Row],[GroupByKey]]),(DiscreteStatsTable[GroupByKey]=DiscreteStatsTable[[#This Row],[GroupByKey]])*DiscreteStatsTable[Minimum]))</f>
        <v>0</v>
      </c>
      <c r="U128" s="5" cm="1">
        <f t="array" ref="U128">MAX(IF((DiscreteStatsTable[GroupByKey]=DiscreteStatsTable[[#This Row],[GroupByKey]]),(DiscreteStatsTable[GroupByKey]=DiscreteStatsTable[[#This Row],[GroupByKey]])*DiscreteStatsTable[Maximum]))</f>
        <v>225.51091633065201</v>
      </c>
      <c r="V128" s="5" cm="1">
        <f t="array" ref="V128">IFERROR(AVERAGE(IF((DiscreteStatsTable[GroupByKey]=DiscreteStatsTable[[#This Row],[GroupByKey]]),(DiscreteStatsTable[GroupByKey]=DiscreteStatsTable[[#This Row],[GroupByKey]])*DiscreteStatsTable[NumberObservations])),0)</f>
        <v>118.9</v>
      </c>
      <c r="W128" s="5">
        <f>IF((DiscreteStatsTable[[#This Row],[RepsRequested]]&gt;1),DiscreteStatsTable[[#This Row],[HalfWidth]],DiscreteStatsTable[[#This Row],[BatchMeansHalfWidth]])</f>
        <v>12.889253283548451</v>
      </c>
      <c r="X128" s="5" cm="1">
        <f t="array" ref="X128">COUNT(IF((DiscreteStatsTable[GroupByKey]=DiscreteStatsTable[[#This Row],[GroupByKey]]),(DiscreteStatsTable[GroupByKey]=DiscreteStatsTable[[#This Row],[GroupByKey]])*DiscreteStatsTable[Replication]))</f>
        <v>10</v>
      </c>
      <c r="Y128" s="5">
        <f>IF(DiscreteStatsTable[[#This Row],[RepsRequested]]=DiscreteStatsTable[[#This Row],[RepsWithStatObserved]],1,0)</f>
        <v>1</v>
      </c>
    </row>
    <row r="129" spans="1:25" x14ac:dyDescent="0.4">
      <c r="A129" t="s">
        <v>66</v>
      </c>
      <c r="B129" t="s">
        <v>69</v>
      </c>
      <c r="C129">
        <v>8</v>
      </c>
      <c r="D129" t="s">
        <v>86</v>
      </c>
      <c r="E129" t="s">
        <v>79</v>
      </c>
      <c r="F129" t="s">
        <v>80</v>
      </c>
      <c r="G129">
        <v>60.222508796042398</v>
      </c>
      <c r="H129">
        <v>2E+20</v>
      </c>
      <c r="I129">
        <v>0</v>
      </c>
      <c r="J129">
        <v>148.47962721132899</v>
      </c>
      <c r="K129">
        <v>123</v>
      </c>
      <c r="L129" s="5" t="str">
        <f>DiscreteStatsTable[[#This Row],[ProjectName]]&amp;DiscreteStatsTable[[#This Row],[Name]]&amp;DiscreteStatsTable[[#This Row],[Type]]&amp;DiscreteStatsTable[[#This Row],[Source]]</f>
        <v>Unnamed ProjectM2.QWaiting TimeQueue</v>
      </c>
      <c r="M129" s="5" cm="1">
        <f t="array" ref="M129">MAX(IF((ProjectInfoTable[ProjectName]=DiscreteStatsTable[[#This Row],[ProjectName]]),(ProjectInfoTable[ProjectName]=DiscreteStatsTable[[#This Row],[ProjectName]])*ProjectInfoTable[NumberOfReplications]))</f>
        <v>10</v>
      </c>
      <c r="N129" s="5" cm="1">
        <f t="array" ref="N129">IFERROR(AVERAGE(IF((DiscreteStatsTable[GroupByKey]=DiscreteStatsTable[[#This Row],[GroupByKey]]),(DiscreteStatsTable[GroupByKey]=DiscreteStatsTable[[#This Row],[GroupByKey]])*DiscreteStatsTable[Average])),0)</f>
        <v>34.44606615353954</v>
      </c>
      <c r="O129" s="5" cm="1">
        <f t="array" ref="O129">IFERROR(_xlfn.STDEV.S(IF((DiscreteStatsTable[GroupByKey]=DiscreteStatsTable[[#This Row],[GroupByKey]]),(DiscreteStatsTable[GroupByKey]=DiscreteStatsTable[[#This Row],[GroupByKey]])*DiscreteStatsTable[Average])),0)</f>
        <v>18.017933671946704</v>
      </c>
      <c r="P129" s="5" cm="1">
        <f t="array" ref="P129">MAX(IF((ProjectInfoTable[ProjectName]=DiscreteStatsTable[[#This Row],[ProjectName]]),(ProjectInfoTable[ProjectName]=DiscreteStatsTable[[#This Row],[ProjectName]])*ProjectInfoTable[ConfidenceInterval]))</f>
        <v>0.95</v>
      </c>
      <c r="Q129" s="5">
        <f>IF(AND(DiscreteStatsTable[[#This Row],[RepsWithStatObserved]]=1,Y129=0),200000000000000000000,IFERROR(_xlfn.T.INV.2T(1 -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12.889253283548451</v>
      </c>
      <c r="R129" s="5" cm="1">
        <f t="array" ref="R129">MIN(IF((DiscreteStatsTable[GroupByKey]=DiscreteStatsTable[[#This Row],[GroupByKey]]),(DiscreteStatsTable[GroupByKey]=DiscreteStatsTable[[#This Row],[GroupByKey]])*DiscreteStatsTable[Average]))</f>
        <v>12.627252141303</v>
      </c>
      <c r="S129" s="5" cm="1">
        <f t="array" ref="S129">MAX(IF((DiscreteStatsTable[GroupByKey]=DiscreteStatsTable[[#This Row],[GroupByKey]]),(DiscreteStatsTable[GroupByKey]=DiscreteStatsTable[[#This Row],[GroupByKey]])*DiscreteStatsTable[Average]))</f>
        <v>65.803371989875501</v>
      </c>
      <c r="T129" s="5" cm="1">
        <f t="array" ref="T129">MIN(IF((DiscreteStatsTable[GroupByKey]=DiscreteStatsTable[[#This Row],[GroupByKey]]),(DiscreteStatsTable[GroupByKey]=DiscreteStatsTable[[#This Row],[GroupByKey]])*DiscreteStatsTable[Minimum]))</f>
        <v>0</v>
      </c>
      <c r="U129" s="5" cm="1">
        <f t="array" ref="U129">MAX(IF((DiscreteStatsTable[GroupByKey]=DiscreteStatsTable[[#This Row],[GroupByKey]]),(DiscreteStatsTable[GroupByKey]=DiscreteStatsTable[[#This Row],[GroupByKey]])*DiscreteStatsTable[Maximum]))</f>
        <v>225.51091633065201</v>
      </c>
      <c r="V129" s="5" cm="1">
        <f t="array" ref="V129">IFERROR(AVERAGE(IF((DiscreteStatsTable[GroupByKey]=DiscreteStatsTable[[#This Row],[GroupByKey]]),(DiscreteStatsTable[GroupByKey]=DiscreteStatsTable[[#This Row],[GroupByKey]])*DiscreteStatsTable[NumberObservations])),0)</f>
        <v>118.9</v>
      </c>
      <c r="W129" s="5">
        <f>IF((DiscreteStatsTable[[#This Row],[RepsRequested]]&gt;1),DiscreteStatsTable[[#This Row],[HalfWidth]],DiscreteStatsTable[[#This Row],[BatchMeansHalfWidth]])</f>
        <v>12.889253283548451</v>
      </c>
      <c r="X129" s="5" cm="1">
        <f t="array" ref="X129">COUNT(IF((DiscreteStatsTable[GroupByKey]=DiscreteStatsTable[[#This Row],[GroupByKey]]),(DiscreteStatsTable[GroupByKey]=DiscreteStatsTable[[#This Row],[GroupByKey]])*DiscreteStatsTable[Replication]))</f>
        <v>10</v>
      </c>
      <c r="Y129" s="5">
        <f>IF(DiscreteStatsTable[[#This Row],[RepsRequested]]=DiscreteStatsTable[[#This Row],[RepsWithStatObserved]],1,0)</f>
        <v>1</v>
      </c>
    </row>
    <row r="130" spans="1:25" x14ac:dyDescent="0.4">
      <c r="A130" t="s">
        <v>66</v>
      </c>
      <c r="B130" t="s">
        <v>69</v>
      </c>
      <c r="C130">
        <v>9</v>
      </c>
      <c r="D130" t="s">
        <v>86</v>
      </c>
      <c r="E130" t="s">
        <v>79</v>
      </c>
      <c r="F130" t="s">
        <v>80</v>
      </c>
      <c r="G130">
        <v>31.3991057893675</v>
      </c>
      <c r="H130">
        <v>2E+20</v>
      </c>
      <c r="I130">
        <v>0</v>
      </c>
      <c r="J130">
        <v>101.883193898551</v>
      </c>
      <c r="K130">
        <v>121</v>
      </c>
      <c r="L130" s="5" t="str">
        <f>DiscreteStatsTable[[#This Row],[ProjectName]]&amp;DiscreteStatsTable[[#This Row],[Name]]&amp;DiscreteStatsTable[[#This Row],[Type]]&amp;DiscreteStatsTable[[#This Row],[Source]]</f>
        <v>Unnamed ProjectM2.QWaiting TimeQueue</v>
      </c>
      <c r="M130" s="5" cm="1">
        <f t="array" ref="M130">MAX(IF((ProjectInfoTable[ProjectName]=DiscreteStatsTable[[#This Row],[ProjectName]]),(ProjectInfoTable[ProjectName]=DiscreteStatsTable[[#This Row],[ProjectName]])*ProjectInfoTable[NumberOfReplications]))</f>
        <v>10</v>
      </c>
      <c r="N130" s="5" cm="1">
        <f t="array" ref="N130">IFERROR(AVERAGE(IF((DiscreteStatsTable[GroupByKey]=DiscreteStatsTable[[#This Row],[GroupByKey]]),(DiscreteStatsTable[GroupByKey]=DiscreteStatsTable[[#This Row],[GroupByKey]])*DiscreteStatsTable[Average])),0)</f>
        <v>34.44606615353954</v>
      </c>
      <c r="O130" s="5" cm="1">
        <f t="array" ref="O130">IFERROR(_xlfn.STDEV.S(IF((DiscreteStatsTable[GroupByKey]=DiscreteStatsTable[[#This Row],[GroupByKey]]),(DiscreteStatsTable[GroupByKey]=DiscreteStatsTable[[#This Row],[GroupByKey]])*DiscreteStatsTable[Average])),0)</f>
        <v>18.017933671946704</v>
      </c>
      <c r="P130" s="5" cm="1">
        <f t="array" ref="P130">MAX(IF((ProjectInfoTable[ProjectName]=DiscreteStatsTable[[#This Row],[ProjectName]]),(ProjectInfoTable[ProjectName]=DiscreteStatsTable[[#This Row],[ProjectName]])*ProjectInfoTable[ConfidenceInterval]))</f>
        <v>0.95</v>
      </c>
      <c r="Q130" s="5">
        <f>IF(AND(DiscreteStatsTable[[#This Row],[RepsWithStatObserved]]=1,Y130=0),200000000000000000000,IFERROR(_xlfn.T.INV.2T(1 -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12.889253283548451</v>
      </c>
      <c r="R130" s="5" cm="1">
        <f t="array" ref="R130">MIN(IF((DiscreteStatsTable[GroupByKey]=DiscreteStatsTable[[#This Row],[GroupByKey]]),(DiscreteStatsTable[GroupByKey]=DiscreteStatsTable[[#This Row],[GroupByKey]])*DiscreteStatsTable[Average]))</f>
        <v>12.627252141303</v>
      </c>
      <c r="S130" s="5" cm="1">
        <f t="array" ref="S130">MAX(IF((DiscreteStatsTable[GroupByKey]=DiscreteStatsTable[[#This Row],[GroupByKey]]),(DiscreteStatsTable[GroupByKey]=DiscreteStatsTable[[#This Row],[GroupByKey]])*DiscreteStatsTable[Average]))</f>
        <v>65.803371989875501</v>
      </c>
      <c r="T130" s="5" cm="1">
        <f t="array" ref="T130">MIN(IF((DiscreteStatsTable[GroupByKey]=DiscreteStatsTable[[#This Row],[GroupByKey]]),(DiscreteStatsTable[GroupByKey]=DiscreteStatsTable[[#This Row],[GroupByKey]])*DiscreteStatsTable[Minimum]))</f>
        <v>0</v>
      </c>
      <c r="U130" s="5" cm="1">
        <f t="array" ref="U130">MAX(IF((DiscreteStatsTable[GroupByKey]=DiscreteStatsTable[[#This Row],[GroupByKey]]),(DiscreteStatsTable[GroupByKey]=DiscreteStatsTable[[#This Row],[GroupByKey]])*DiscreteStatsTable[Maximum]))</f>
        <v>225.51091633065201</v>
      </c>
      <c r="V130" s="5" cm="1">
        <f t="array" ref="V130">IFERROR(AVERAGE(IF((DiscreteStatsTable[GroupByKey]=DiscreteStatsTable[[#This Row],[GroupByKey]]),(DiscreteStatsTable[GroupByKey]=DiscreteStatsTable[[#This Row],[GroupByKey]])*DiscreteStatsTable[NumberObservations])),0)</f>
        <v>118.9</v>
      </c>
      <c r="W130" s="5">
        <f>IF((DiscreteStatsTable[[#This Row],[RepsRequested]]&gt;1),DiscreteStatsTable[[#This Row],[HalfWidth]],DiscreteStatsTable[[#This Row],[BatchMeansHalfWidth]])</f>
        <v>12.889253283548451</v>
      </c>
      <c r="X130" s="5" cm="1">
        <f t="array" ref="X130">COUNT(IF((DiscreteStatsTable[GroupByKey]=DiscreteStatsTable[[#This Row],[GroupByKey]]),(DiscreteStatsTable[GroupByKey]=DiscreteStatsTable[[#This Row],[GroupByKey]])*DiscreteStatsTable[Replication]))</f>
        <v>10</v>
      </c>
      <c r="Y130" s="5">
        <f>IF(DiscreteStatsTable[[#This Row],[RepsRequested]]=DiscreteStatsTable[[#This Row],[RepsWithStatObserved]],1,0)</f>
        <v>1</v>
      </c>
    </row>
    <row r="131" spans="1:25" x14ac:dyDescent="0.4">
      <c r="A131" t="s">
        <v>66</v>
      </c>
      <c r="B131" t="s">
        <v>69</v>
      </c>
      <c r="C131">
        <v>10</v>
      </c>
      <c r="D131" t="s">
        <v>86</v>
      </c>
      <c r="E131" t="s">
        <v>79</v>
      </c>
      <c r="F131" t="s">
        <v>80</v>
      </c>
      <c r="G131">
        <v>34.674827344667698</v>
      </c>
      <c r="H131">
        <v>2E+20</v>
      </c>
      <c r="I131">
        <v>0</v>
      </c>
      <c r="J131">
        <v>117.992914406545</v>
      </c>
      <c r="K131">
        <v>110</v>
      </c>
      <c r="L131" s="5" t="str">
        <f>DiscreteStatsTable[[#This Row],[ProjectName]]&amp;DiscreteStatsTable[[#This Row],[Name]]&amp;DiscreteStatsTable[[#This Row],[Type]]&amp;DiscreteStatsTable[[#This Row],[Source]]</f>
        <v>Unnamed ProjectM2.QWaiting TimeQueue</v>
      </c>
      <c r="M131" s="5" cm="1">
        <f t="array" ref="M131">MAX(IF((ProjectInfoTable[ProjectName]=DiscreteStatsTable[[#This Row],[ProjectName]]),(ProjectInfoTable[ProjectName]=DiscreteStatsTable[[#This Row],[ProjectName]])*ProjectInfoTable[NumberOfReplications]))</f>
        <v>10</v>
      </c>
      <c r="N131" s="5" cm="1">
        <f t="array" ref="N131">IFERROR(AVERAGE(IF((DiscreteStatsTable[GroupByKey]=DiscreteStatsTable[[#This Row],[GroupByKey]]),(DiscreteStatsTable[GroupByKey]=DiscreteStatsTable[[#This Row],[GroupByKey]])*DiscreteStatsTable[Average])),0)</f>
        <v>34.44606615353954</v>
      </c>
      <c r="O131" s="5" cm="1">
        <f t="array" ref="O131">IFERROR(_xlfn.STDEV.S(IF((DiscreteStatsTable[GroupByKey]=DiscreteStatsTable[[#This Row],[GroupByKey]]),(DiscreteStatsTable[GroupByKey]=DiscreteStatsTable[[#This Row],[GroupByKey]])*DiscreteStatsTable[Average])),0)</f>
        <v>18.017933671946704</v>
      </c>
      <c r="P131" s="5" cm="1">
        <f t="array" ref="P131">MAX(IF((ProjectInfoTable[ProjectName]=DiscreteStatsTable[[#This Row],[ProjectName]]),(ProjectInfoTable[ProjectName]=DiscreteStatsTable[[#This Row],[ProjectName]])*ProjectInfoTable[ConfidenceInterval]))</f>
        <v>0.95</v>
      </c>
      <c r="Q131" s="5">
        <f>IF(AND(DiscreteStatsTable[[#This Row],[RepsWithStatObserved]]=1,Y131=0),200000000000000000000,IFERROR(_xlfn.T.INV.2T(1 -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12.889253283548451</v>
      </c>
      <c r="R131" s="5" cm="1">
        <f t="array" ref="R131">MIN(IF((DiscreteStatsTable[GroupByKey]=DiscreteStatsTable[[#This Row],[GroupByKey]]),(DiscreteStatsTable[GroupByKey]=DiscreteStatsTable[[#This Row],[GroupByKey]])*DiscreteStatsTable[Average]))</f>
        <v>12.627252141303</v>
      </c>
      <c r="S131" s="5" cm="1">
        <f t="array" ref="S131">MAX(IF((DiscreteStatsTable[GroupByKey]=DiscreteStatsTable[[#This Row],[GroupByKey]]),(DiscreteStatsTable[GroupByKey]=DiscreteStatsTable[[#This Row],[GroupByKey]])*DiscreteStatsTable[Average]))</f>
        <v>65.803371989875501</v>
      </c>
      <c r="T131" s="5" cm="1">
        <f t="array" ref="T131">MIN(IF((DiscreteStatsTable[GroupByKey]=DiscreteStatsTable[[#This Row],[GroupByKey]]),(DiscreteStatsTable[GroupByKey]=DiscreteStatsTable[[#This Row],[GroupByKey]])*DiscreteStatsTable[Minimum]))</f>
        <v>0</v>
      </c>
      <c r="U131" s="5" cm="1">
        <f t="array" ref="U131">MAX(IF((DiscreteStatsTable[GroupByKey]=DiscreteStatsTable[[#This Row],[GroupByKey]]),(DiscreteStatsTable[GroupByKey]=DiscreteStatsTable[[#This Row],[GroupByKey]])*DiscreteStatsTable[Maximum]))</f>
        <v>225.51091633065201</v>
      </c>
      <c r="V131" s="5" cm="1">
        <f t="array" ref="V131">IFERROR(AVERAGE(IF((DiscreteStatsTable[GroupByKey]=DiscreteStatsTable[[#This Row],[GroupByKey]]),(DiscreteStatsTable[GroupByKey]=DiscreteStatsTable[[#This Row],[GroupByKey]])*DiscreteStatsTable[NumberObservations])),0)</f>
        <v>118.9</v>
      </c>
      <c r="W131" s="5">
        <f>IF((DiscreteStatsTable[[#This Row],[RepsRequested]]&gt;1),DiscreteStatsTable[[#This Row],[HalfWidth]],DiscreteStatsTable[[#This Row],[BatchMeansHalfWidth]])</f>
        <v>12.889253283548451</v>
      </c>
      <c r="X131" s="5" cm="1">
        <f t="array" ref="X131">COUNT(IF((DiscreteStatsTable[GroupByKey]=DiscreteStatsTable[[#This Row],[GroupByKey]]),(DiscreteStatsTable[GroupByKey]=DiscreteStatsTable[[#This Row],[GroupByKey]])*DiscreteStatsTable[Replication]))</f>
        <v>10</v>
      </c>
      <c r="Y131" s="5">
        <f>IF(DiscreteStatsTable[[#This Row],[RepsRequested]]=DiscreteStatsTable[[#This Row],[RepsWithStatObserved]],1,0)</f>
        <v>1</v>
      </c>
    </row>
    <row r="132" spans="1:25" x14ac:dyDescent="0.4">
      <c r="A132" t="s">
        <v>66</v>
      </c>
      <c r="B132" t="s">
        <v>69</v>
      </c>
      <c r="C132">
        <v>1</v>
      </c>
      <c r="D132" t="s">
        <v>87</v>
      </c>
      <c r="E132" t="s">
        <v>79</v>
      </c>
      <c r="F132" t="s">
        <v>80</v>
      </c>
      <c r="G132">
        <v>0.21754533385382999</v>
      </c>
      <c r="H132">
        <v>2E+20</v>
      </c>
      <c r="I132">
        <v>0</v>
      </c>
      <c r="J132">
        <v>18.827976989477499</v>
      </c>
      <c r="K132">
        <v>174</v>
      </c>
      <c r="L132" s="5" t="str">
        <f>DiscreteStatsTable[[#This Row],[ProjectName]]&amp;DiscreteStatsTable[[#This Row],[Name]]&amp;DiscreteStatsTable[[#This Row],[Type]]&amp;DiscreteStatsTable[[#This Row],[Source]]</f>
        <v>Unnamed ProjectM3.QWaiting TimeQueue</v>
      </c>
      <c r="M132" s="5" cm="1">
        <f t="array" ref="M132">MAX(IF((ProjectInfoTable[ProjectName]=DiscreteStatsTable[[#This Row],[ProjectName]]),(ProjectInfoTable[ProjectName]=DiscreteStatsTable[[#This Row],[ProjectName]])*ProjectInfoTable[NumberOfReplications]))</f>
        <v>10</v>
      </c>
      <c r="N132" s="5" cm="1">
        <f t="array" ref="N132">IFERROR(AVERAGE(IF((DiscreteStatsTable[GroupByKey]=DiscreteStatsTable[[#This Row],[GroupByKey]]),(DiscreteStatsTable[GroupByKey]=DiscreteStatsTable[[#This Row],[GroupByKey]])*DiscreteStatsTable[Average])),0)</f>
        <v>0.3107068026011599</v>
      </c>
      <c r="O132" s="5" cm="1">
        <f t="array" ref="O132">IFERROR(_xlfn.STDEV.S(IF((DiscreteStatsTable[GroupByKey]=DiscreteStatsTable[[#This Row],[GroupByKey]]),(DiscreteStatsTable[GroupByKey]=DiscreteStatsTable[[#This Row],[GroupByKey]])*DiscreteStatsTable[Average])),0)</f>
        <v>8.4107136405101632E-2</v>
      </c>
      <c r="P132" s="5" cm="1">
        <f t="array" ref="P132">MAX(IF((ProjectInfoTable[ProjectName]=DiscreteStatsTable[[#This Row],[ProjectName]]),(ProjectInfoTable[ProjectName]=DiscreteStatsTable[[#This Row],[ProjectName]])*ProjectInfoTable[ConfidenceInterval]))</f>
        <v>0.95</v>
      </c>
      <c r="Q132" s="5">
        <f>IF(AND(DiscreteStatsTable[[#This Row],[RepsWithStatObserved]]=1,Y132=0),200000000000000000000,IFERROR(_xlfn.T.INV.2T(1 -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6.0166620868806149E-2</v>
      </c>
      <c r="R132" s="5" cm="1">
        <f t="array" ref="R132">MIN(IF((DiscreteStatsTable[GroupByKey]=DiscreteStatsTable[[#This Row],[GroupByKey]]),(DiscreteStatsTable[GroupByKey]=DiscreteStatsTable[[#This Row],[GroupByKey]])*DiscreteStatsTable[Average]))</f>
        <v>0.18745126643182999</v>
      </c>
      <c r="S132" s="5" cm="1">
        <f t="array" ref="S132">MAX(IF((DiscreteStatsTable[GroupByKey]=DiscreteStatsTable[[#This Row],[GroupByKey]]),(DiscreteStatsTable[GroupByKey]=DiscreteStatsTable[[#This Row],[GroupByKey]])*DiscreteStatsTable[Average]))</f>
        <v>0.41527216816366702</v>
      </c>
      <c r="T132" s="5" cm="1">
        <f t="array" ref="T132">MIN(IF((DiscreteStatsTable[GroupByKey]=DiscreteStatsTable[[#This Row],[GroupByKey]]),(DiscreteStatsTable[GroupByKey]=DiscreteStatsTable[[#This Row],[GroupByKey]])*DiscreteStatsTable[Minimum]))</f>
        <v>0</v>
      </c>
      <c r="U132" s="5" cm="1">
        <f t="array" ref="U132">MAX(IF((DiscreteStatsTable[GroupByKey]=DiscreteStatsTable[[#This Row],[GroupByKey]]),(DiscreteStatsTable[GroupByKey]=DiscreteStatsTable[[#This Row],[GroupByKey]])*DiscreteStatsTable[Maximum]))</f>
        <v>20.568253815268498</v>
      </c>
      <c r="V132" s="5" cm="1">
        <f t="array" ref="V132">IFERROR(AVERAGE(IF((DiscreteStatsTable[GroupByKey]=DiscreteStatsTable[[#This Row],[GroupByKey]]),(DiscreteStatsTable[GroupByKey]=DiscreteStatsTable[[#This Row],[GroupByKey]])*DiscreteStatsTable[NumberObservations])),0)</f>
        <v>176.2</v>
      </c>
      <c r="W132" s="5">
        <f>IF((DiscreteStatsTable[[#This Row],[RepsRequested]]&gt;1),DiscreteStatsTable[[#This Row],[HalfWidth]],DiscreteStatsTable[[#This Row],[BatchMeansHalfWidth]])</f>
        <v>6.0166620868806149E-2</v>
      </c>
      <c r="X132" s="5" cm="1">
        <f t="array" ref="X132">COUNT(IF((DiscreteStatsTable[GroupByKey]=DiscreteStatsTable[[#This Row],[GroupByKey]]),(DiscreteStatsTable[GroupByKey]=DiscreteStatsTable[[#This Row],[GroupByKey]])*DiscreteStatsTable[Replication]))</f>
        <v>10</v>
      </c>
      <c r="Y132" s="5">
        <f>IF(DiscreteStatsTable[[#This Row],[RepsRequested]]=DiscreteStatsTable[[#This Row],[RepsWithStatObserved]],1,0)</f>
        <v>1</v>
      </c>
    </row>
    <row r="133" spans="1:25" x14ac:dyDescent="0.4">
      <c r="A133" t="s">
        <v>66</v>
      </c>
      <c r="B133" t="s">
        <v>69</v>
      </c>
      <c r="C133">
        <v>2</v>
      </c>
      <c r="D133" t="s">
        <v>87</v>
      </c>
      <c r="E133" t="s">
        <v>79</v>
      </c>
      <c r="F133" t="s">
        <v>80</v>
      </c>
      <c r="G133">
        <v>0.351363093471591</v>
      </c>
      <c r="H133">
        <v>2E+20</v>
      </c>
      <c r="I133">
        <v>0</v>
      </c>
      <c r="J133">
        <v>7.8488839918895801</v>
      </c>
      <c r="K133">
        <v>172</v>
      </c>
      <c r="L133" s="5" t="str">
        <f>DiscreteStatsTable[[#This Row],[ProjectName]]&amp;DiscreteStatsTable[[#This Row],[Name]]&amp;DiscreteStatsTable[[#This Row],[Type]]&amp;DiscreteStatsTable[[#This Row],[Source]]</f>
        <v>Unnamed ProjectM3.QWaiting TimeQueue</v>
      </c>
      <c r="M133" s="5" cm="1">
        <f t="array" ref="M133">MAX(IF((ProjectInfoTable[ProjectName]=DiscreteStatsTable[[#This Row],[ProjectName]]),(ProjectInfoTable[ProjectName]=DiscreteStatsTable[[#This Row],[ProjectName]])*ProjectInfoTable[NumberOfReplications]))</f>
        <v>10</v>
      </c>
      <c r="N133" s="5" cm="1">
        <f t="array" ref="N133">IFERROR(AVERAGE(IF((DiscreteStatsTable[GroupByKey]=DiscreteStatsTable[[#This Row],[GroupByKey]]),(DiscreteStatsTable[GroupByKey]=DiscreteStatsTable[[#This Row],[GroupByKey]])*DiscreteStatsTable[Average])),0)</f>
        <v>0.3107068026011599</v>
      </c>
      <c r="O133" s="5" cm="1">
        <f t="array" ref="O133">IFERROR(_xlfn.STDEV.S(IF((DiscreteStatsTable[GroupByKey]=DiscreteStatsTable[[#This Row],[GroupByKey]]),(DiscreteStatsTable[GroupByKey]=DiscreteStatsTable[[#This Row],[GroupByKey]])*DiscreteStatsTable[Average])),0)</f>
        <v>8.4107136405101632E-2</v>
      </c>
      <c r="P133" s="5" cm="1">
        <f t="array" ref="P133">MAX(IF((ProjectInfoTable[ProjectName]=DiscreteStatsTable[[#This Row],[ProjectName]]),(ProjectInfoTable[ProjectName]=DiscreteStatsTable[[#This Row],[ProjectName]])*ProjectInfoTable[ConfidenceInterval]))</f>
        <v>0.95</v>
      </c>
      <c r="Q133" s="5">
        <f>IF(AND(DiscreteStatsTable[[#This Row],[RepsWithStatObserved]]=1,Y133=0),200000000000000000000,IFERROR(_xlfn.T.INV.2T(1 -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6.0166620868806149E-2</v>
      </c>
      <c r="R133" s="5" cm="1">
        <f t="array" ref="R133">MIN(IF((DiscreteStatsTable[GroupByKey]=DiscreteStatsTable[[#This Row],[GroupByKey]]),(DiscreteStatsTable[GroupByKey]=DiscreteStatsTable[[#This Row],[GroupByKey]])*DiscreteStatsTable[Average]))</f>
        <v>0.18745126643182999</v>
      </c>
      <c r="S133" s="5" cm="1">
        <f t="array" ref="S133">MAX(IF((DiscreteStatsTable[GroupByKey]=DiscreteStatsTable[[#This Row],[GroupByKey]]),(DiscreteStatsTable[GroupByKey]=DiscreteStatsTable[[#This Row],[GroupByKey]])*DiscreteStatsTable[Average]))</f>
        <v>0.41527216816366702</v>
      </c>
      <c r="T133" s="5" cm="1">
        <f t="array" ref="T133">MIN(IF((DiscreteStatsTable[GroupByKey]=DiscreteStatsTable[[#This Row],[GroupByKey]]),(DiscreteStatsTable[GroupByKey]=DiscreteStatsTable[[#This Row],[GroupByKey]])*DiscreteStatsTable[Minimum]))</f>
        <v>0</v>
      </c>
      <c r="U133" s="5" cm="1">
        <f t="array" ref="U133">MAX(IF((DiscreteStatsTable[GroupByKey]=DiscreteStatsTable[[#This Row],[GroupByKey]]),(DiscreteStatsTable[GroupByKey]=DiscreteStatsTable[[#This Row],[GroupByKey]])*DiscreteStatsTable[Maximum]))</f>
        <v>20.568253815268498</v>
      </c>
      <c r="V133" s="5" cm="1">
        <f t="array" ref="V133">IFERROR(AVERAGE(IF((DiscreteStatsTable[GroupByKey]=DiscreteStatsTable[[#This Row],[GroupByKey]]),(DiscreteStatsTable[GroupByKey]=DiscreteStatsTable[[#This Row],[GroupByKey]])*DiscreteStatsTable[NumberObservations])),0)</f>
        <v>176.2</v>
      </c>
      <c r="W133" s="5">
        <f>IF((DiscreteStatsTable[[#This Row],[RepsRequested]]&gt;1),DiscreteStatsTable[[#This Row],[HalfWidth]],DiscreteStatsTable[[#This Row],[BatchMeansHalfWidth]])</f>
        <v>6.0166620868806149E-2</v>
      </c>
      <c r="X133" s="5" cm="1">
        <f t="array" ref="X133">COUNT(IF((DiscreteStatsTable[GroupByKey]=DiscreteStatsTable[[#This Row],[GroupByKey]]),(DiscreteStatsTable[GroupByKey]=DiscreteStatsTable[[#This Row],[GroupByKey]])*DiscreteStatsTable[Replication]))</f>
        <v>10</v>
      </c>
      <c r="Y133" s="5">
        <f>IF(DiscreteStatsTable[[#This Row],[RepsRequested]]=DiscreteStatsTable[[#This Row],[RepsWithStatObserved]],1,0)</f>
        <v>1</v>
      </c>
    </row>
    <row r="134" spans="1:25" x14ac:dyDescent="0.4">
      <c r="A134" t="s">
        <v>66</v>
      </c>
      <c r="B134" t="s">
        <v>69</v>
      </c>
      <c r="C134">
        <v>3</v>
      </c>
      <c r="D134" t="s">
        <v>87</v>
      </c>
      <c r="E134" t="s">
        <v>79</v>
      </c>
      <c r="F134" t="s">
        <v>80</v>
      </c>
      <c r="G134">
        <v>0.38225851976119102</v>
      </c>
      <c r="H134">
        <v>2E+20</v>
      </c>
      <c r="I134">
        <v>0</v>
      </c>
      <c r="J134">
        <v>16.102422619406099</v>
      </c>
      <c r="K134">
        <v>187</v>
      </c>
      <c r="L134" s="5" t="str">
        <f>DiscreteStatsTable[[#This Row],[ProjectName]]&amp;DiscreteStatsTable[[#This Row],[Name]]&amp;DiscreteStatsTable[[#This Row],[Type]]&amp;DiscreteStatsTable[[#This Row],[Source]]</f>
        <v>Unnamed ProjectM3.QWaiting TimeQueue</v>
      </c>
      <c r="M134" s="5" cm="1">
        <f t="array" ref="M134">MAX(IF((ProjectInfoTable[ProjectName]=DiscreteStatsTable[[#This Row],[ProjectName]]),(ProjectInfoTable[ProjectName]=DiscreteStatsTable[[#This Row],[ProjectName]])*ProjectInfoTable[NumberOfReplications]))</f>
        <v>10</v>
      </c>
      <c r="N134" s="5" cm="1">
        <f t="array" ref="N134">IFERROR(AVERAGE(IF((DiscreteStatsTable[GroupByKey]=DiscreteStatsTable[[#This Row],[GroupByKey]]),(DiscreteStatsTable[GroupByKey]=DiscreteStatsTable[[#This Row],[GroupByKey]])*DiscreteStatsTable[Average])),0)</f>
        <v>0.3107068026011599</v>
      </c>
      <c r="O134" s="5" cm="1">
        <f t="array" ref="O134">IFERROR(_xlfn.STDEV.S(IF((DiscreteStatsTable[GroupByKey]=DiscreteStatsTable[[#This Row],[GroupByKey]]),(DiscreteStatsTable[GroupByKey]=DiscreteStatsTable[[#This Row],[GroupByKey]])*DiscreteStatsTable[Average])),0)</f>
        <v>8.4107136405101632E-2</v>
      </c>
      <c r="P134" s="5" cm="1">
        <f t="array" ref="P134">MAX(IF((ProjectInfoTable[ProjectName]=DiscreteStatsTable[[#This Row],[ProjectName]]),(ProjectInfoTable[ProjectName]=DiscreteStatsTable[[#This Row],[ProjectName]])*ProjectInfoTable[ConfidenceInterval]))</f>
        <v>0.95</v>
      </c>
      <c r="Q134" s="5">
        <f>IF(AND(DiscreteStatsTable[[#This Row],[RepsWithStatObserved]]=1,Y134=0),200000000000000000000,IFERROR(_xlfn.T.INV.2T(1 -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6.0166620868806149E-2</v>
      </c>
      <c r="R134" s="5" cm="1">
        <f t="array" ref="R134">MIN(IF((DiscreteStatsTable[GroupByKey]=DiscreteStatsTable[[#This Row],[GroupByKey]]),(DiscreteStatsTable[GroupByKey]=DiscreteStatsTable[[#This Row],[GroupByKey]])*DiscreteStatsTable[Average]))</f>
        <v>0.18745126643182999</v>
      </c>
      <c r="S134" s="5" cm="1">
        <f t="array" ref="S134">MAX(IF((DiscreteStatsTable[GroupByKey]=DiscreteStatsTable[[#This Row],[GroupByKey]]),(DiscreteStatsTable[GroupByKey]=DiscreteStatsTable[[#This Row],[GroupByKey]])*DiscreteStatsTable[Average]))</f>
        <v>0.41527216816366702</v>
      </c>
      <c r="T134" s="5" cm="1">
        <f t="array" ref="T134">MIN(IF((DiscreteStatsTable[GroupByKey]=DiscreteStatsTable[[#This Row],[GroupByKey]]),(DiscreteStatsTable[GroupByKey]=DiscreteStatsTable[[#This Row],[GroupByKey]])*DiscreteStatsTable[Minimum]))</f>
        <v>0</v>
      </c>
      <c r="U134" s="5" cm="1">
        <f t="array" ref="U134">MAX(IF((DiscreteStatsTable[GroupByKey]=DiscreteStatsTable[[#This Row],[GroupByKey]]),(DiscreteStatsTable[GroupByKey]=DiscreteStatsTable[[#This Row],[GroupByKey]])*DiscreteStatsTable[Maximum]))</f>
        <v>20.568253815268498</v>
      </c>
      <c r="V134" s="5" cm="1">
        <f t="array" ref="V134">IFERROR(AVERAGE(IF((DiscreteStatsTable[GroupByKey]=DiscreteStatsTable[[#This Row],[GroupByKey]]),(DiscreteStatsTable[GroupByKey]=DiscreteStatsTable[[#This Row],[GroupByKey]])*DiscreteStatsTable[NumberObservations])),0)</f>
        <v>176.2</v>
      </c>
      <c r="W134" s="5">
        <f>IF((DiscreteStatsTable[[#This Row],[RepsRequested]]&gt;1),DiscreteStatsTable[[#This Row],[HalfWidth]],DiscreteStatsTable[[#This Row],[BatchMeansHalfWidth]])</f>
        <v>6.0166620868806149E-2</v>
      </c>
      <c r="X134" s="5" cm="1">
        <f t="array" ref="X134">COUNT(IF((DiscreteStatsTable[GroupByKey]=DiscreteStatsTable[[#This Row],[GroupByKey]]),(DiscreteStatsTable[GroupByKey]=DiscreteStatsTable[[#This Row],[GroupByKey]])*DiscreteStatsTable[Replication]))</f>
        <v>10</v>
      </c>
      <c r="Y134" s="5">
        <f>IF(DiscreteStatsTable[[#This Row],[RepsRequested]]=DiscreteStatsTable[[#This Row],[RepsWithStatObserved]],1,0)</f>
        <v>1</v>
      </c>
    </row>
    <row r="135" spans="1:25" x14ac:dyDescent="0.4">
      <c r="A135" t="s">
        <v>66</v>
      </c>
      <c r="B135" t="s">
        <v>69</v>
      </c>
      <c r="C135">
        <v>4</v>
      </c>
      <c r="D135" t="s">
        <v>87</v>
      </c>
      <c r="E135" t="s">
        <v>79</v>
      </c>
      <c r="F135" t="s">
        <v>80</v>
      </c>
      <c r="G135">
        <v>0.29203437343608302</v>
      </c>
      <c r="H135">
        <v>2E+20</v>
      </c>
      <c r="I135">
        <v>0</v>
      </c>
      <c r="J135">
        <v>10.0201277773375</v>
      </c>
      <c r="K135">
        <v>191</v>
      </c>
      <c r="L135" s="5" t="str">
        <f>DiscreteStatsTable[[#This Row],[ProjectName]]&amp;DiscreteStatsTable[[#This Row],[Name]]&amp;DiscreteStatsTable[[#This Row],[Type]]&amp;DiscreteStatsTable[[#This Row],[Source]]</f>
        <v>Unnamed ProjectM3.QWaiting TimeQueue</v>
      </c>
      <c r="M135" s="5" cm="1">
        <f t="array" ref="M135">MAX(IF((ProjectInfoTable[ProjectName]=DiscreteStatsTable[[#This Row],[ProjectName]]),(ProjectInfoTable[ProjectName]=DiscreteStatsTable[[#This Row],[ProjectName]])*ProjectInfoTable[NumberOfReplications]))</f>
        <v>10</v>
      </c>
      <c r="N135" s="5" cm="1">
        <f t="array" ref="N135">IFERROR(AVERAGE(IF((DiscreteStatsTable[GroupByKey]=DiscreteStatsTable[[#This Row],[GroupByKey]]),(DiscreteStatsTable[GroupByKey]=DiscreteStatsTable[[#This Row],[GroupByKey]])*DiscreteStatsTable[Average])),0)</f>
        <v>0.3107068026011599</v>
      </c>
      <c r="O135" s="5" cm="1">
        <f t="array" ref="O135">IFERROR(_xlfn.STDEV.S(IF((DiscreteStatsTable[GroupByKey]=DiscreteStatsTable[[#This Row],[GroupByKey]]),(DiscreteStatsTable[GroupByKey]=DiscreteStatsTable[[#This Row],[GroupByKey]])*DiscreteStatsTable[Average])),0)</f>
        <v>8.4107136405101632E-2</v>
      </c>
      <c r="P135" s="5" cm="1">
        <f t="array" ref="P135">MAX(IF((ProjectInfoTable[ProjectName]=DiscreteStatsTable[[#This Row],[ProjectName]]),(ProjectInfoTable[ProjectName]=DiscreteStatsTable[[#This Row],[ProjectName]])*ProjectInfoTable[ConfidenceInterval]))</f>
        <v>0.95</v>
      </c>
      <c r="Q135" s="5">
        <f>IF(AND(DiscreteStatsTable[[#This Row],[RepsWithStatObserved]]=1,Y135=0),200000000000000000000,IFERROR(_xlfn.T.INV.2T(1 -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6.0166620868806149E-2</v>
      </c>
      <c r="R135" s="5" cm="1">
        <f t="array" ref="R135">MIN(IF((DiscreteStatsTable[GroupByKey]=DiscreteStatsTable[[#This Row],[GroupByKey]]),(DiscreteStatsTable[GroupByKey]=DiscreteStatsTable[[#This Row],[GroupByKey]])*DiscreteStatsTable[Average]))</f>
        <v>0.18745126643182999</v>
      </c>
      <c r="S135" s="5" cm="1">
        <f t="array" ref="S135">MAX(IF((DiscreteStatsTable[GroupByKey]=DiscreteStatsTable[[#This Row],[GroupByKey]]),(DiscreteStatsTable[GroupByKey]=DiscreteStatsTable[[#This Row],[GroupByKey]])*DiscreteStatsTable[Average]))</f>
        <v>0.41527216816366702</v>
      </c>
      <c r="T135" s="5" cm="1">
        <f t="array" ref="T135">MIN(IF((DiscreteStatsTable[GroupByKey]=DiscreteStatsTable[[#This Row],[GroupByKey]]),(DiscreteStatsTable[GroupByKey]=DiscreteStatsTable[[#This Row],[GroupByKey]])*DiscreteStatsTable[Minimum]))</f>
        <v>0</v>
      </c>
      <c r="U135" s="5" cm="1">
        <f t="array" ref="U135">MAX(IF((DiscreteStatsTable[GroupByKey]=DiscreteStatsTable[[#This Row],[GroupByKey]]),(DiscreteStatsTable[GroupByKey]=DiscreteStatsTable[[#This Row],[GroupByKey]])*DiscreteStatsTable[Maximum]))</f>
        <v>20.568253815268498</v>
      </c>
      <c r="V135" s="5" cm="1">
        <f t="array" ref="V135">IFERROR(AVERAGE(IF((DiscreteStatsTable[GroupByKey]=DiscreteStatsTable[[#This Row],[GroupByKey]]),(DiscreteStatsTable[GroupByKey]=DiscreteStatsTable[[#This Row],[GroupByKey]])*DiscreteStatsTable[NumberObservations])),0)</f>
        <v>176.2</v>
      </c>
      <c r="W135" s="5">
        <f>IF((DiscreteStatsTable[[#This Row],[RepsRequested]]&gt;1),DiscreteStatsTable[[#This Row],[HalfWidth]],DiscreteStatsTable[[#This Row],[BatchMeansHalfWidth]])</f>
        <v>6.0166620868806149E-2</v>
      </c>
      <c r="X135" s="5" cm="1">
        <f t="array" ref="X135">COUNT(IF((DiscreteStatsTable[GroupByKey]=DiscreteStatsTable[[#This Row],[GroupByKey]]),(DiscreteStatsTable[GroupByKey]=DiscreteStatsTable[[#This Row],[GroupByKey]])*DiscreteStatsTable[Replication]))</f>
        <v>10</v>
      </c>
      <c r="Y135" s="5">
        <f>IF(DiscreteStatsTable[[#This Row],[RepsRequested]]=DiscreteStatsTable[[#This Row],[RepsWithStatObserved]],1,0)</f>
        <v>1</v>
      </c>
    </row>
    <row r="136" spans="1:25" x14ac:dyDescent="0.4">
      <c r="A136" t="s">
        <v>66</v>
      </c>
      <c r="B136" t="s">
        <v>69</v>
      </c>
      <c r="C136">
        <v>5</v>
      </c>
      <c r="D136" t="s">
        <v>87</v>
      </c>
      <c r="E136" t="s">
        <v>79</v>
      </c>
      <c r="F136" t="s">
        <v>80</v>
      </c>
      <c r="G136">
        <v>0.268284297855996</v>
      </c>
      <c r="H136">
        <v>2E+20</v>
      </c>
      <c r="I136">
        <v>0</v>
      </c>
      <c r="J136">
        <v>13.951901058486801</v>
      </c>
      <c r="K136">
        <v>149</v>
      </c>
      <c r="L136" s="5" t="str">
        <f>DiscreteStatsTable[[#This Row],[ProjectName]]&amp;DiscreteStatsTable[[#This Row],[Name]]&amp;DiscreteStatsTable[[#This Row],[Type]]&amp;DiscreteStatsTable[[#This Row],[Source]]</f>
        <v>Unnamed ProjectM3.QWaiting TimeQueue</v>
      </c>
      <c r="M136" s="5" cm="1">
        <f t="array" ref="M136">MAX(IF((ProjectInfoTable[ProjectName]=DiscreteStatsTable[[#This Row],[ProjectName]]),(ProjectInfoTable[ProjectName]=DiscreteStatsTable[[#This Row],[ProjectName]])*ProjectInfoTable[NumberOfReplications]))</f>
        <v>10</v>
      </c>
      <c r="N136" s="5" cm="1">
        <f t="array" ref="N136">IFERROR(AVERAGE(IF((DiscreteStatsTable[GroupByKey]=DiscreteStatsTable[[#This Row],[GroupByKey]]),(DiscreteStatsTable[GroupByKey]=DiscreteStatsTable[[#This Row],[GroupByKey]])*DiscreteStatsTable[Average])),0)</f>
        <v>0.3107068026011599</v>
      </c>
      <c r="O136" s="5" cm="1">
        <f t="array" ref="O136">IFERROR(_xlfn.STDEV.S(IF((DiscreteStatsTable[GroupByKey]=DiscreteStatsTable[[#This Row],[GroupByKey]]),(DiscreteStatsTable[GroupByKey]=DiscreteStatsTable[[#This Row],[GroupByKey]])*DiscreteStatsTable[Average])),0)</f>
        <v>8.4107136405101632E-2</v>
      </c>
      <c r="P136" s="5" cm="1">
        <f t="array" ref="P136">MAX(IF((ProjectInfoTable[ProjectName]=DiscreteStatsTable[[#This Row],[ProjectName]]),(ProjectInfoTable[ProjectName]=DiscreteStatsTable[[#This Row],[ProjectName]])*ProjectInfoTable[ConfidenceInterval]))</f>
        <v>0.95</v>
      </c>
      <c r="Q136" s="5">
        <f>IF(AND(DiscreteStatsTable[[#This Row],[RepsWithStatObserved]]=1,Y136=0),200000000000000000000,IFERROR(_xlfn.T.INV.2T(1 -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6.0166620868806149E-2</v>
      </c>
      <c r="R136" s="5" cm="1">
        <f t="array" ref="R136">MIN(IF((DiscreteStatsTable[GroupByKey]=DiscreteStatsTable[[#This Row],[GroupByKey]]),(DiscreteStatsTable[GroupByKey]=DiscreteStatsTable[[#This Row],[GroupByKey]])*DiscreteStatsTable[Average]))</f>
        <v>0.18745126643182999</v>
      </c>
      <c r="S136" s="5" cm="1">
        <f t="array" ref="S136">MAX(IF((DiscreteStatsTable[GroupByKey]=DiscreteStatsTable[[#This Row],[GroupByKey]]),(DiscreteStatsTable[GroupByKey]=DiscreteStatsTable[[#This Row],[GroupByKey]])*DiscreteStatsTable[Average]))</f>
        <v>0.41527216816366702</v>
      </c>
      <c r="T136" s="5" cm="1">
        <f t="array" ref="T136">MIN(IF((DiscreteStatsTable[GroupByKey]=DiscreteStatsTable[[#This Row],[GroupByKey]]),(DiscreteStatsTable[GroupByKey]=DiscreteStatsTable[[#This Row],[GroupByKey]])*DiscreteStatsTable[Minimum]))</f>
        <v>0</v>
      </c>
      <c r="U136" s="5" cm="1">
        <f t="array" ref="U136">MAX(IF((DiscreteStatsTable[GroupByKey]=DiscreteStatsTable[[#This Row],[GroupByKey]]),(DiscreteStatsTable[GroupByKey]=DiscreteStatsTable[[#This Row],[GroupByKey]])*DiscreteStatsTable[Maximum]))</f>
        <v>20.568253815268498</v>
      </c>
      <c r="V136" s="5" cm="1">
        <f t="array" ref="V136">IFERROR(AVERAGE(IF((DiscreteStatsTable[GroupByKey]=DiscreteStatsTable[[#This Row],[GroupByKey]]),(DiscreteStatsTable[GroupByKey]=DiscreteStatsTable[[#This Row],[GroupByKey]])*DiscreteStatsTable[NumberObservations])),0)</f>
        <v>176.2</v>
      </c>
      <c r="W136" s="5">
        <f>IF((DiscreteStatsTable[[#This Row],[RepsRequested]]&gt;1),DiscreteStatsTable[[#This Row],[HalfWidth]],DiscreteStatsTable[[#This Row],[BatchMeansHalfWidth]])</f>
        <v>6.0166620868806149E-2</v>
      </c>
      <c r="X136" s="5" cm="1">
        <f t="array" ref="X136">COUNT(IF((DiscreteStatsTable[GroupByKey]=DiscreteStatsTable[[#This Row],[GroupByKey]]),(DiscreteStatsTable[GroupByKey]=DiscreteStatsTable[[#This Row],[GroupByKey]])*DiscreteStatsTable[Replication]))</f>
        <v>10</v>
      </c>
      <c r="Y136" s="5">
        <f>IF(DiscreteStatsTable[[#This Row],[RepsRequested]]=DiscreteStatsTable[[#This Row],[RepsWithStatObserved]],1,0)</f>
        <v>1</v>
      </c>
    </row>
    <row r="137" spans="1:25" x14ac:dyDescent="0.4">
      <c r="A137" t="s">
        <v>66</v>
      </c>
      <c r="B137" t="s">
        <v>69</v>
      </c>
      <c r="C137">
        <v>6</v>
      </c>
      <c r="D137" t="s">
        <v>87</v>
      </c>
      <c r="E137" t="s">
        <v>79</v>
      </c>
      <c r="F137" t="s">
        <v>80</v>
      </c>
      <c r="G137">
        <v>0.18745126643182999</v>
      </c>
      <c r="H137">
        <v>2E+20</v>
      </c>
      <c r="I137">
        <v>0</v>
      </c>
      <c r="J137">
        <v>5.9788008938589901</v>
      </c>
      <c r="K137">
        <v>198</v>
      </c>
      <c r="L137" s="5" t="str">
        <f>DiscreteStatsTable[[#This Row],[ProjectName]]&amp;DiscreteStatsTable[[#This Row],[Name]]&amp;DiscreteStatsTable[[#This Row],[Type]]&amp;DiscreteStatsTable[[#This Row],[Source]]</f>
        <v>Unnamed ProjectM3.QWaiting TimeQueue</v>
      </c>
      <c r="M137" s="5" cm="1">
        <f t="array" ref="M137">MAX(IF((ProjectInfoTable[ProjectName]=DiscreteStatsTable[[#This Row],[ProjectName]]),(ProjectInfoTable[ProjectName]=DiscreteStatsTable[[#This Row],[ProjectName]])*ProjectInfoTable[NumberOfReplications]))</f>
        <v>10</v>
      </c>
      <c r="N137" s="5" cm="1">
        <f t="array" ref="N137">IFERROR(AVERAGE(IF((DiscreteStatsTable[GroupByKey]=DiscreteStatsTable[[#This Row],[GroupByKey]]),(DiscreteStatsTable[GroupByKey]=DiscreteStatsTable[[#This Row],[GroupByKey]])*DiscreteStatsTable[Average])),0)</f>
        <v>0.3107068026011599</v>
      </c>
      <c r="O137" s="5" cm="1">
        <f t="array" ref="O137">IFERROR(_xlfn.STDEV.S(IF((DiscreteStatsTable[GroupByKey]=DiscreteStatsTable[[#This Row],[GroupByKey]]),(DiscreteStatsTable[GroupByKey]=DiscreteStatsTable[[#This Row],[GroupByKey]])*DiscreteStatsTable[Average])),0)</f>
        <v>8.4107136405101632E-2</v>
      </c>
      <c r="P137" s="5" cm="1">
        <f t="array" ref="P137">MAX(IF((ProjectInfoTable[ProjectName]=DiscreteStatsTable[[#This Row],[ProjectName]]),(ProjectInfoTable[ProjectName]=DiscreteStatsTable[[#This Row],[ProjectName]])*ProjectInfoTable[ConfidenceInterval]))</f>
        <v>0.95</v>
      </c>
      <c r="Q137" s="5">
        <f>IF(AND(DiscreteStatsTable[[#This Row],[RepsWithStatObserved]]=1,Y137=0),200000000000000000000,IFERROR(_xlfn.T.INV.2T(1 -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6.0166620868806149E-2</v>
      </c>
      <c r="R137" s="5" cm="1">
        <f t="array" ref="R137">MIN(IF((DiscreteStatsTable[GroupByKey]=DiscreteStatsTable[[#This Row],[GroupByKey]]),(DiscreteStatsTable[GroupByKey]=DiscreteStatsTable[[#This Row],[GroupByKey]])*DiscreteStatsTable[Average]))</f>
        <v>0.18745126643182999</v>
      </c>
      <c r="S137" s="5" cm="1">
        <f t="array" ref="S137">MAX(IF((DiscreteStatsTable[GroupByKey]=DiscreteStatsTable[[#This Row],[GroupByKey]]),(DiscreteStatsTable[GroupByKey]=DiscreteStatsTable[[#This Row],[GroupByKey]])*DiscreteStatsTable[Average]))</f>
        <v>0.41527216816366702</v>
      </c>
      <c r="T137" s="5" cm="1">
        <f t="array" ref="T137">MIN(IF((DiscreteStatsTable[GroupByKey]=DiscreteStatsTable[[#This Row],[GroupByKey]]),(DiscreteStatsTable[GroupByKey]=DiscreteStatsTable[[#This Row],[GroupByKey]])*DiscreteStatsTable[Minimum]))</f>
        <v>0</v>
      </c>
      <c r="U137" s="5" cm="1">
        <f t="array" ref="U137">MAX(IF((DiscreteStatsTable[GroupByKey]=DiscreteStatsTable[[#This Row],[GroupByKey]]),(DiscreteStatsTable[GroupByKey]=DiscreteStatsTable[[#This Row],[GroupByKey]])*DiscreteStatsTable[Maximum]))</f>
        <v>20.568253815268498</v>
      </c>
      <c r="V137" s="5" cm="1">
        <f t="array" ref="V137">IFERROR(AVERAGE(IF((DiscreteStatsTable[GroupByKey]=DiscreteStatsTable[[#This Row],[GroupByKey]]),(DiscreteStatsTable[GroupByKey]=DiscreteStatsTable[[#This Row],[GroupByKey]])*DiscreteStatsTable[NumberObservations])),0)</f>
        <v>176.2</v>
      </c>
      <c r="W137" s="5">
        <f>IF((DiscreteStatsTable[[#This Row],[RepsRequested]]&gt;1),DiscreteStatsTable[[#This Row],[HalfWidth]],DiscreteStatsTable[[#This Row],[BatchMeansHalfWidth]])</f>
        <v>6.0166620868806149E-2</v>
      </c>
      <c r="X137" s="5" cm="1">
        <f t="array" ref="X137">COUNT(IF((DiscreteStatsTable[GroupByKey]=DiscreteStatsTable[[#This Row],[GroupByKey]]),(DiscreteStatsTable[GroupByKey]=DiscreteStatsTable[[#This Row],[GroupByKey]])*DiscreteStatsTable[Replication]))</f>
        <v>10</v>
      </c>
      <c r="Y137" s="5">
        <f>IF(DiscreteStatsTable[[#This Row],[RepsRequested]]=DiscreteStatsTable[[#This Row],[RepsWithStatObserved]],1,0)</f>
        <v>1</v>
      </c>
    </row>
    <row r="138" spans="1:25" x14ac:dyDescent="0.4">
      <c r="A138" t="s">
        <v>66</v>
      </c>
      <c r="B138" t="s">
        <v>69</v>
      </c>
      <c r="C138">
        <v>7</v>
      </c>
      <c r="D138" t="s">
        <v>87</v>
      </c>
      <c r="E138" t="s">
        <v>79</v>
      </c>
      <c r="F138" t="s">
        <v>80</v>
      </c>
      <c r="G138">
        <v>0.38515552547774201</v>
      </c>
      <c r="H138">
        <v>2E+20</v>
      </c>
      <c r="I138">
        <v>0</v>
      </c>
      <c r="J138">
        <v>20.568253815268498</v>
      </c>
      <c r="K138">
        <v>163</v>
      </c>
      <c r="L138" s="5" t="str">
        <f>DiscreteStatsTable[[#This Row],[ProjectName]]&amp;DiscreteStatsTable[[#This Row],[Name]]&amp;DiscreteStatsTable[[#This Row],[Type]]&amp;DiscreteStatsTable[[#This Row],[Source]]</f>
        <v>Unnamed ProjectM3.QWaiting TimeQueue</v>
      </c>
      <c r="M138" s="5" cm="1">
        <f t="array" ref="M138">MAX(IF((ProjectInfoTable[ProjectName]=DiscreteStatsTable[[#This Row],[ProjectName]]),(ProjectInfoTable[ProjectName]=DiscreteStatsTable[[#This Row],[ProjectName]])*ProjectInfoTable[NumberOfReplications]))</f>
        <v>10</v>
      </c>
      <c r="N138" s="5" cm="1">
        <f t="array" ref="N138">IFERROR(AVERAGE(IF((DiscreteStatsTable[GroupByKey]=DiscreteStatsTable[[#This Row],[GroupByKey]]),(DiscreteStatsTable[GroupByKey]=DiscreteStatsTable[[#This Row],[GroupByKey]])*DiscreteStatsTable[Average])),0)</f>
        <v>0.3107068026011599</v>
      </c>
      <c r="O138" s="5" cm="1">
        <f t="array" ref="O138">IFERROR(_xlfn.STDEV.S(IF((DiscreteStatsTable[GroupByKey]=DiscreteStatsTable[[#This Row],[GroupByKey]]),(DiscreteStatsTable[GroupByKey]=DiscreteStatsTable[[#This Row],[GroupByKey]])*DiscreteStatsTable[Average])),0)</f>
        <v>8.4107136405101632E-2</v>
      </c>
      <c r="P138" s="5" cm="1">
        <f t="array" ref="P138">MAX(IF((ProjectInfoTable[ProjectName]=DiscreteStatsTable[[#This Row],[ProjectName]]),(ProjectInfoTable[ProjectName]=DiscreteStatsTable[[#This Row],[ProjectName]])*ProjectInfoTable[ConfidenceInterval]))</f>
        <v>0.95</v>
      </c>
      <c r="Q138" s="5">
        <f>IF(AND(DiscreteStatsTable[[#This Row],[RepsWithStatObserved]]=1,Y138=0),200000000000000000000,IFERROR(_xlfn.T.INV.2T(1 -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6.0166620868806149E-2</v>
      </c>
      <c r="R138" s="5" cm="1">
        <f t="array" ref="R138">MIN(IF((DiscreteStatsTable[GroupByKey]=DiscreteStatsTable[[#This Row],[GroupByKey]]),(DiscreteStatsTable[GroupByKey]=DiscreteStatsTable[[#This Row],[GroupByKey]])*DiscreteStatsTable[Average]))</f>
        <v>0.18745126643182999</v>
      </c>
      <c r="S138" s="5" cm="1">
        <f t="array" ref="S138">MAX(IF((DiscreteStatsTable[GroupByKey]=DiscreteStatsTable[[#This Row],[GroupByKey]]),(DiscreteStatsTable[GroupByKey]=DiscreteStatsTable[[#This Row],[GroupByKey]])*DiscreteStatsTable[Average]))</f>
        <v>0.41527216816366702</v>
      </c>
      <c r="T138" s="5" cm="1">
        <f t="array" ref="T138">MIN(IF((DiscreteStatsTable[GroupByKey]=DiscreteStatsTable[[#This Row],[GroupByKey]]),(DiscreteStatsTable[GroupByKey]=DiscreteStatsTable[[#This Row],[GroupByKey]])*DiscreteStatsTable[Minimum]))</f>
        <v>0</v>
      </c>
      <c r="U138" s="5" cm="1">
        <f t="array" ref="U138">MAX(IF((DiscreteStatsTable[GroupByKey]=DiscreteStatsTable[[#This Row],[GroupByKey]]),(DiscreteStatsTable[GroupByKey]=DiscreteStatsTable[[#This Row],[GroupByKey]])*DiscreteStatsTable[Maximum]))</f>
        <v>20.568253815268498</v>
      </c>
      <c r="V138" s="5" cm="1">
        <f t="array" ref="V138">IFERROR(AVERAGE(IF((DiscreteStatsTable[GroupByKey]=DiscreteStatsTable[[#This Row],[GroupByKey]]),(DiscreteStatsTable[GroupByKey]=DiscreteStatsTable[[#This Row],[GroupByKey]])*DiscreteStatsTable[NumberObservations])),0)</f>
        <v>176.2</v>
      </c>
      <c r="W138" s="5">
        <f>IF((DiscreteStatsTable[[#This Row],[RepsRequested]]&gt;1),DiscreteStatsTable[[#This Row],[HalfWidth]],DiscreteStatsTable[[#This Row],[BatchMeansHalfWidth]])</f>
        <v>6.0166620868806149E-2</v>
      </c>
      <c r="X138" s="5" cm="1">
        <f t="array" ref="X138">COUNT(IF((DiscreteStatsTable[GroupByKey]=DiscreteStatsTable[[#This Row],[GroupByKey]]),(DiscreteStatsTable[GroupByKey]=DiscreteStatsTable[[#This Row],[GroupByKey]])*DiscreteStatsTable[Replication]))</f>
        <v>10</v>
      </c>
      <c r="Y138" s="5">
        <f>IF(DiscreteStatsTable[[#This Row],[RepsRequested]]=DiscreteStatsTable[[#This Row],[RepsWithStatObserved]],1,0)</f>
        <v>1</v>
      </c>
    </row>
    <row r="139" spans="1:25" x14ac:dyDescent="0.4">
      <c r="A139" t="s">
        <v>66</v>
      </c>
      <c r="B139" t="s">
        <v>69</v>
      </c>
      <c r="C139">
        <v>8</v>
      </c>
      <c r="D139" t="s">
        <v>87</v>
      </c>
      <c r="E139" t="s">
        <v>79</v>
      </c>
      <c r="F139" t="s">
        <v>80</v>
      </c>
      <c r="G139">
        <v>0.38842028807151502</v>
      </c>
      <c r="H139">
        <v>2E+20</v>
      </c>
      <c r="I139">
        <v>0</v>
      </c>
      <c r="J139">
        <v>11.032409888090699</v>
      </c>
      <c r="K139">
        <v>181</v>
      </c>
      <c r="L139" s="5" t="str">
        <f>DiscreteStatsTable[[#This Row],[ProjectName]]&amp;DiscreteStatsTable[[#This Row],[Name]]&amp;DiscreteStatsTable[[#This Row],[Type]]&amp;DiscreteStatsTable[[#This Row],[Source]]</f>
        <v>Unnamed ProjectM3.QWaiting TimeQueue</v>
      </c>
      <c r="M139" s="5" cm="1">
        <f t="array" ref="M139">MAX(IF((ProjectInfoTable[ProjectName]=DiscreteStatsTable[[#This Row],[ProjectName]]),(ProjectInfoTable[ProjectName]=DiscreteStatsTable[[#This Row],[ProjectName]])*ProjectInfoTable[NumberOfReplications]))</f>
        <v>10</v>
      </c>
      <c r="N139" s="5" cm="1">
        <f t="array" ref="N139">IFERROR(AVERAGE(IF((DiscreteStatsTable[GroupByKey]=DiscreteStatsTable[[#This Row],[GroupByKey]]),(DiscreteStatsTable[GroupByKey]=DiscreteStatsTable[[#This Row],[GroupByKey]])*DiscreteStatsTable[Average])),0)</f>
        <v>0.3107068026011599</v>
      </c>
      <c r="O139" s="5" cm="1">
        <f t="array" ref="O139">IFERROR(_xlfn.STDEV.S(IF((DiscreteStatsTable[GroupByKey]=DiscreteStatsTable[[#This Row],[GroupByKey]]),(DiscreteStatsTable[GroupByKey]=DiscreteStatsTable[[#This Row],[GroupByKey]])*DiscreteStatsTable[Average])),0)</f>
        <v>8.4107136405101632E-2</v>
      </c>
      <c r="P139" s="5" cm="1">
        <f t="array" ref="P139">MAX(IF((ProjectInfoTable[ProjectName]=DiscreteStatsTable[[#This Row],[ProjectName]]),(ProjectInfoTable[ProjectName]=DiscreteStatsTable[[#This Row],[ProjectName]])*ProjectInfoTable[ConfidenceInterval]))</f>
        <v>0.95</v>
      </c>
      <c r="Q139" s="5">
        <f>IF(AND(DiscreteStatsTable[[#This Row],[RepsWithStatObserved]]=1,Y139=0),200000000000000000000,IFERROR(_xlfn.T.INV.2T(1 -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6.0166620868806149E-2</v>
      </c>
      <c r="R139" s="5" cm="1">
        <f t="array" ref="R139">MIN(IF((DiscreteStatsTable[GroupByKey]=DiscreteStatsTable[[#This Row],[GroupByKey]]),(DiscreteStatsTable[GroupByKey]=DiscreteStatsTable[[#This Row],[GroupByKey]])*DiscreteStatsTable[Average]))</f>
        <v>0.18745126643182999</v>
      </c>
      <c r="S139" s="5" cm="1">
        <f t="array" ref="S139">MAX(IF((DiscreteStatsTable[GroupByKey]=DiscreteStatsTable[[#This Row],[GroupByKey]]),(DiscreteStatsTable[GroupByKey]=DiscreteStatsTable[[#This Row],[GroupByKey]])*DiscreteStatsTable[Average]))</f>
        <v>0.41527216816366702</v>
      </c>
      <c r="T139" s="5" cm="1">
        <f t="array" ref="T139">MIN(IF((DiscreteStatsTable[GroupByKey]=DiscreteStatsTable[[#This Row],[GroupByKey]]),(DiscreteStatsTable[GroupByKey]=DiscreteStatsTable[[#This Row],[GroupByKey]])*DiscreteStatsTable[Minimum]))</f>
        <v>0</v>
      </c>
      <c r="U139" s="5" cm="1">
        <f t="array" ref="U139">MAX(IF((DiscreteStatsTable[GroupByKey]=DiscreteStatsTable[[#This Row],[GroupByKey]]),(DiscreteStatsTable[GroupByKey]=DiscreteStatsTable[[#This Row],[GroupByKey]])*DiscreteStatsTable[Maximum]))</f>
        <v>20.568253815268498</v>
      </c>
      <c r="V139" s="5" cm="1">
        <f t="array" ref="V139">IFERROR(AVERAGE(IF((DiscreteStatsTable[GroupByKey]=DiscreteStatsTable[[#This Row],[GroupByKey]]),(DiscreteStatsTable[GroupByKey]=DiscreteStatsTable[[#This Row],[GroupByKey]])*DiscreteStatsTable[NumberObservations])),0)</f>
        <v>176.2</v>
      </c>
      <c r="W139" s="5">
        <f>IF((DiscreteStatsTable[[#This Row],[RepsRequested]]&gt;1),DiscreteStatsTable[[#This Row],[HalfWidth]],DiscreteStatsTable[[#This Row],[BatchMeansHalfWidth]])</f>
        <v>6.0166620868806149E-2</v>
      </c>
      <c r="X139" s="5" cm="1">
        <f t="array" ref="X139">COUNT(IF((DiscreteStatsTable[GroupByKey]=DiscreteStatsTable[[#This Row],[GroupByKey]]),(DiscreteStatsTable[GroupByKey]=DiscreteStatsTable[[#This Row],[GroupByKey]])*DiscreteStatsTable[Replication]))</f>
        <v>10</v>
      </c>
      <c r="Y139" s="5">
        <f>IF(DiscreteStatsTable[[#This Row],[RepsRequested]]=DiscreteStatsTable[[#This Row],[RepsWithStatObserved]],1,0)</f>
        <v>1</v>
      </c>
    </row>
    <row r="140" spans="1:25" x14ac:dyDescent="0.4">
      <c r="A140" t="s">
        <v>66</v>
      </c>
      <c r="B140" t="s">
        <v>69</v>
      </c>
      <c r="C140">
        <v>9</v>
      </c>
      <c r="D140" t="s">
        <v>87</v>
      </c>
      <c r="E140" t="s">
        <v>79</v>
      </c>
      <c r="F140" t="s">
        <v>80</v>
      </c>
      <c r="G140">
        <v>0.21928315948815399</v>
      </c>
      <c r="H140">
        <v>2E+20</v>
      </c>
      <c r="I140">
        <v>0</v>
      </c>
      <c r="J140">
        <v>5.3070846532044698</v>
      </c>
      <c r="K140">
        <v>183</v>
      </c>
      <c r="L140" s="5" t="str">
        <f>DiscreteStatsTable[[#This Row],[ProjectName]]&amp;DiscreteStatsTable[[#This Row],[Name]]&amp;DiscreteStatsTable[[#This Row],[Type]]&amp;DiscreteStatsTable[[#This Row],[Source]]</f>
        <v>Unnamed ProjectM3.QWaiting TimeQueue</v>
      </c>
      <c r="M140" s="5" cm="1">
        <f t="array" ref="M140">MAX(IF((ProjectInfoTable[ProjectName]=DiscreteStatsTable[[#This Row],[ProjectName]]),(ProjectInfoTable[ProjectName]=DiscreteStatsTable[[#This Row],[ProjectName]])*ProjectInfoTable[NumberOfReplications]))</f>
        <v>10</v>
      </c>
      <c r="N140" s="5" cm="1">
        <f t="array" ref="N140">IFERROR(AVERAGE(IF((DiscreteStatsTable[GroupByKey]=DiscreteStatsTable[[#This Row],[GroupByKey]]),(DiscreteStatsTable[GroupByKey]=DiscreteStatsTable[[#This Row],[GroupByKey]])*DiscreteStatsTable[Average])),0)</f>
        <v>0.3107068026011599</v>
      </c>
      <c r="O140" s="5" cm="1">
        <f t="array" ref="O140">IFERROR(_xlfn.STDEV.S(IF((DiscreteStatsTable[GroupByKey]=DiscreteStatsTable[[#This Row],[GroupByKey]]),(DiscreteStatsTable[GroupByKey]=DiscreteStatsTable[[#This Row],[GroupByKey]])*DiscreteStatsTable[Average])),0)</f>
        <v>8.4107136405101632E-2</v>
      </c>
      <c r="P140" s="5" cm="1">
        <f t="array" ref="P140">MAX(IF((ProjectInfoTable[ProjectName]=DiscreteStatsTable[[#This Row],[ProjectName]]),(ProjectInfoTable[ProjectName]=DiscreteStatsTable[[#This Row],[ProjectName]])*ProjectInfoTable[ConfidenceInterval]))</f>
        <v>0.95</v>
      </c>
      <c r="Q140" s="5">
        <f>IF(AND(DiscreteStatsTable[[#This Row],[RepsWithStatObserved]]=1,Y140=0),200000000000000000000,IFERROR(_xlfn.T.INV.2T(1 -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6.0166620868806149E-2</v>
      </c>
      <c r="R140" s="5" cm="1">
        <f t="array" ref="R140">MIN(IF((DiscreteStatsTable[GroupByKey]=DiscreteStatsTable[[#This Row],[GroupByKey]]),(DiscreteStatsTable[GroupByKey]=DiscreteStatsTable[[#This Row],[GroupByKey]])*DiscreteStatsTable[Average]))</f>
        <v>0.18745126643182999</v>
      </c>
      <c r="S140" s="5" cm="1">
        <f t="array" ref="S140">MAX(IF((DiscreteStatsTable[GroupByKey]=DiscreteStatsTable[[#This Row],[GroupByKey]]),(DiscreteStatsTable[GroupByKey]=DiscreteStatsTable[[#This Row],[GroupByKey]])*DiscreteStatsTable[Average]))</f>
        <v>0.41527216816366702</v>
      </c>
      <c r="T140" s="5" cm="1">
        <f t="array" ref="T140">MIN(IF((DiscreteStatsTable[GroupByKey]=DiscreteStatsTable[[#This Row],[GroupByKey]]),(DiscreteStatsTable[GroupByKey]=DiscreteStatsTable[[#This Row],[GroupByKey]])*DiscreteStatsTable[Minimum]))</f>
        <v>0</v>
      </c>
      <c r="U140" s="5" cm="1">
        <f t="array" ref="U140">MAX(IF((DiscreteStatsTable[GroupByKey]=DiscreteStatsTable[[#This Row],[GroupByKey]]),(DiscreteStatsTable[GroupByKey]=DiscreteStatsTable[[#This Row],[GroupByKey]])*DiscreteStatsTable[Maximum]))</f>
        <v>20.568253815268498</v>
      </c>
      <c r="V140" s="5" cm="1">
        <f t="array" ref="V140">IFERROR(AVERAGE(IF((DiscreteStatsTable[GroupByKey]=DiscreteStatsTable[[#This Row],[GroupByKey]]),(DiscreteStatsTable[GroupByKey]=DiscreteStatsTable[[#This Row],[GroupByKey]])*DiscreteStatsTable[NumberObservations])),0)</f>
        <v>176.2</v>
      </c>
      <c r="W140" s="5">
        <f>IF((DiscreteStatsTable[[#This Row],[RepsRequested]]&gt;1),DiscreteStatsTable[[#This Row],[HalfWidth]],DiscreteStatsTable[[#This Row],[BatchMeansHalfWidth]])</f>
        <v>6.0166620868806149E-2</v>
      </c>
      <c r="X140" s="5" cm="1">
        <f t="array" ref="X140">COUNT(IF((DiscreteStatsTable[GroupByKey]=DiscreteStatsTable[[#This Row],[GroupByKey]]),(DiscreteStatsTable[GroupByKey]=DiscreteStatsTable[[#This Row],[GroupByKey]])*DiscreteStatsTable[Replication]))</f>
        <v>10</v>
      </c>
      <c r="Y140" s="5">
        <f>IF(DiscreteStatsTable[[#This Row],[RepsRequested]]=DiscreteStatsTable[[#This Row],[RepsWithStatObserved]],1,0)</f>
        <v>1</v>
      </c>
    </row>
    <row r="141" spans="1:25" x14ac:dyDescent="0.4">
      <c r="A141" t="s">
        <v>66</v>
      </c>
      <c r="B141" t="s">
        <v>69</v>
      </c>
      <c r="C141">
        <v>10</v>
      </c>
      <c r="D141" t="s">
        <v>87</v>
      </c>
      <c r="E141" t="s">
        <v>79</v>
      </c>
      <c r="F141" t="s">
        <v>80</v>
      </c>
      <c r="G141">
        <v>0.41527216816366702</v>
      </c>
      <c r="H141">
        <v>2E+20</v>
      </c>
      <c r="I141">
        <v>0</v>
      </c>
      <c r="J141">
        <v>12.038648914971199</v>
      </c>
      <c r="K141">
        <v>164</v>
      </c>
      <c r="L141" s="5" t="str">
        <f>DiscreteStatsTable[[#This Row],[ProjectName]]&amp;DiscreteStatsTable[[#This Row],[Name]]&amp;DiscreteStatsTable[[#This Row],[Type]]&amp;DiscreteStatsTable[[#This Row],[Source]]</f>
        <v>Unnamed ProjectM3.QWaiting TimeQueue</v>
      </c>
      <c r="M141" s="5" cm="1">
        <f t="array" ref="M141">MAX(IF((ProjectInfoTable[ProjectName]=DiscreteStatsTable[[#This Row],[ProjectName]]),(ProjectInfoTable[ProjectName]=DiscreteStatsTable[[#This Row],[ProjectName]])*ProjectInfoTable[NumberOfReplications]))</f>
        <v>10</v>
      </c>
      <c r="N141" s="5" cm="1">
        <f t="array" ref="N141">IFERROR(AVERAGE(IF((DiscreteStatsTable[GroupByKey]=DiscreteStatsTable[[#This Row],[GroupByKey]]),(DiscreteStatsTable[GroupByKey]=DiscreteStatsTable[[#This Row],[GroupByKey]])*DiscreteStatsTable[Average])),0)</f>
        <v>0.3107068026011599</v>
      </c>
      <c r="O141" s="5" cm="1">
        <f t="array" ref="O141">IFERROR(_xlfn.STDEV.S(IF((DiscreteStatsTable[GroupByKey]=DiscreteStatsTable[[#This Row],[GroupByKey]]),(DiscreteStatsTable[GroupByKey]=DiscreteStatsTable[[#This Row],[GroupByKey]])*DiscreteStatsTable[Average])),0)</f>
        <v>8.4107136405101632E-2</v>
      </c>
      <c r="P141" s="5" cm="1">
        <f t="array" ref="P141">MAX(IF((ProjectInfoTable[ProjectName]=DiscreteStatsTable[[#This Row],[ProjectName]]),(ProjectInfoTable[ProjectName]=DiscreteStatsTable[[#This Row],[ProjectName]])*ProjectInfoTable[ConfidenceInterval]))</f>
        <v>0.95</v>
      </c>
      <c r="Q141" s="5">
        <f>IF(AND(DiscreteStatsTable[[#This Row],[RepsWithStatObserved]]=1,Y141=0),200000000000000000000,IFERROR(_xlfn.T.INV.2T(1 -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6.0166620868806149E-2</v>
      </c>
      <c r="R141" s="5" cm="1">
        <f t="array" ref="R141">MIN(IF((DiscreteStatsTable[GroupByKey]=DiscreteStatsTable[[#This Row],[GroupByKey]]),(DiscreteStatsTable[GroupByKey]=DiscreteStatsTable[[#This Row],[GroupByKey]])*DiscreteStatsTable[Average]))</f>
        <v>0.18745126643182999</v>
      </c>
      <c r="S141" s="5" cm="1">
        <f t="array" ref="S141">MAX(IF((DiscreteStatsTable[GroupByKey]=DiscreteStatsTable[[#This Row],[GroupByKey]]),(DiscreteStatsTable[GroupByKey]=DiscreteStatsTable[[#This Row],[GroupByKey]])*DiscreteStatsTable[Average]))</f>
        <v>0.41527216816366702</v>
      </c>
      <c r="T141" s="5" cm="1">
        <f t="array" ref="T141">MIN(IF((DiscreteStatsTable[GroupByKey]=DiscreteStatsTable[[#This Row],[GroupByKey]]),(DiscreteStatsTable[GroupByKey]=DiscreteStatsTable[[#This Row],[GroupByKey]])*DiscreteStatsTable[Minimum]))</f>
        <v>0</v>
      </c>
      <c r="U141" s="5" cm="1">
        <f t="array" ref="U141">MAX(IF((DiscreteStatsTable[GroupByKey]=DiscreteStatsTable[[#This Row],[GroupByKey]]),(DiscreteStatsTable[GroupByKey]=DiscreteStatsTable[[#This Row],[GroupByKey]])*DiscreteStatsTable[Maximum]))</f>
        <v>20.568253815268498</v>
      </c>
      <c r="V141" s="5" cm="1">
        <f t="array" ref="V141">IFERROR(AVERAGE(IF((DiscreteStatsTable[GroupByKey]=DiscreteStatsTable[[#This Row],[GroupByKey]]),(DiscreteStatsTable[GroupByKey]=DiscreteStatsTable[[#This Row],[GroupByKey]])*DiscreteStatsTable[NumberObservations])),0)</f>
        <v>176.2</v>
      </c>
      <c r="W141" s="5">
        <f>IF((DiscreteStatsTable[[#This Row],[RepsRequested]]&gt;1),DiscreteStatsTable[[#This Row],[HalfWidth]],DiscreteStatsTable[[#This Row],[BatchMeansHalfWidth]])</f>
        <v>6.0166620868806149E-2</v>
      </c>
      <c r="X141" s="5" cm="1">
        <f t="array" ref="X141">COUNT(IF((DiscreteStatsTable[GroupByKey]=DiscreteStatsTable[[#This Row],[GroupByKey]]),(DiscreteStatsTable[GroupByKey]=DiscreteStatsTable[[#This Row],[GroupByKey]])*DiscreteStatsTable[Replication]))</f>
        <v>10</v>
      </c>
      <c r="Y141" s="5">
        <f>IF(DiscreteStatsTable[[#This Row],[RepsRequested]]=DiscreteStatsTable[[#This Row],[RepsWithStatObserved]],1,0)</f>
        <v>1</v>
      </c>
    </row>
    <row r="142" spans="1:25" x14ac:dyDescent="0.4">
      <c r="A142" t="s">
        <v>66</v>
      </c>
      <c r="B142" t="s">
        <v>69</v>
      </c>
      <c r="C142">
        <v>1</v>
      </c>
      <c r="D142" t="s">
        <v>88</v>
      </c>
      <c r="E142" t="s">
        <v>79</v>
      </c>
      <c r="F142" t="s">
        <v>80</v>
      </c>
      <c r="G142">
        <v>12.230765272460999</v>
      </c>
      <c r="H142">
        <v>2E+20</v>
      </c>
      <c r="I142">
        <v>0</v>
      </c>
      <c r="J142">
        <v>42.190664167411803</v>
      </c>
      <c r="K142">
        <v>162</v>
      </c>
      <c r="L142" s="5" t="str">
        <f>DiscreteStatsTable[[#This Row],[ProjectName]]&amp;DiscreteStatsTable[[#This Row],[Name]]&amp;DiscreteStatsTable[[#This Row],[Type]]&amp;DiscreteStatsTable[[#This Row],[Source]]</f>
        <v>Unnamed ProjectM4.QWaiting TimeQueue</v>
      </c>
      <c r="M142" s="5" cm="1">
        <f t="array" ref="M142">MAX(IF((ProjectInfoTable[ProjectName]=DiscreteStatsTable[[#This Row],[ProjectName]]),(ProjectInfoTable[ProjectName]=DiscreteStatsTable[[#This Row],[ProjectName]])*ProjectInfoTable[NumberOfReplications]))</f>
        <v>10</v>
      </c>
      <c r="N142" s="5" cm="1">
        <f t="array" ref="N142">IFERROR(AVERAGE(IF((DiscreteStatsTable[GroupByKey]=DiscreteStatsTable[[#This Row],[GroupByKey]]),(DiscreteStatsTable[GroupByKey]=DiscreteStatsTable[[#This Row],[GroupByKey]])*DiscreteStatsTable[Average])),0)</f>
        <v>11.937035891377143</v>
      </c>
      <c r="O142" s="5" cm="1">
        <f t="array" ref="O142">IFERROR(_xlfn.STDEV.S(IF((DiscreteStatsTable[GroupByKey]=DiscreteStatsTable[[#This Row],[GroupByKey]]),(DiscreteStatsTable[GroupByKey]=DiscreteStatsTable[[#This Row],[GroupByKey]])*DiscreteStatsTable[Average])),0)</f>
        <v>2.4321570302020485</v>
      </c>
      <c r="P142" s="5" cm="1">
        <f t="array" ref="P142">MAX(IF((ProjectInfoTable[ProjectName]=DiscreteStatsTable[[#This Row],[ProjectName]]),(ProjectInfoTable[ProjectName]=DiscreteStatsTable[[#This Row],[ProjectName]])*ProjectInfoTable[ConfidenceInterval]))</f>
        <v>0.95</v>
      </c>
      <c r="Q142" s="5">
        <f>IF(AND(DiscreteStatsTable[[#This Row],[RepsWithStatObserved]]=1,Y142=0),200000000000000000000,IFERROR(_xlfn.T.INV.2T(1 -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1.7398603279601377</v>
      </c>
      <c r="R142" s="5" cm="1">
        <f t="array" ref="R142">MIN(IF((DiscreteStatsTable[GroupByKey]=DiscreteStatsTable[[#This Row],[GroupByKey]]),(DiscreteStatsTable[GroupByKey]=DiscreteStatsTable[[#This Row],[GroupByKey]])*DiscreteStatsTable[Average]))</f>
        <v>9.0500003375588793</v>
      </c>
      <c r="S142" s="5" cm="1">
        <f t="array" ref="S142">MAX(IF((DiscreteStatsTable[GroupByKey]=DiscreteStatsTable[[#This Row],[GroupByKey]]),(DiscreteStatsTable[GroupByKey]=DiscreteStatsTable[[#This Row],[GroupByKey]])*DiscreteStatsTable[Average]))</f>
        <v>17.158211561399899</v>
      </c>
      <c r="T142" s="5" cm="1">
        <f t="array" ref="T142">MIN(IF((DiscreteStatsTable[GroupByKey]=DiscreteStatsTable[[#This Row],[GroupByKey]]),(DiscreteStatsTable[GroupByKey]=DiscreteStatsTable[[#This Row],[GroupByKey]])*DiscreteStatsTable[Minimum]))</f>
        <v>0</v>
      </c>
      <c r="U142" s="5" cm="1">
        <f t="array" ref="U142">MAX(IF((DiscreteStatsTable[GroupByKey]=DiscreteStatsTable[[#This Row],[GroupByKey]]),(DiscreteStatsTable[GroupByKey]=DiscreteStatsTable[[#This Row],[GroupByKey]])*DiscreteStatsTable[Maximum]))</f>
        <v>87.314133231163396</v>
      </c>
      <c r="V142" s="5" cm="1">
        <f t="array" ref="V142">IFERROR(AVERAGE(IF((DiscreteStatsTable[GroupByKey]=DiscreteStatsTable[[#This Row],[GroupByKey]]),(DiscreteStatsTable[GroupByKey]=DiscreteStatsTable[[#This Row],[GroupByKey]])*DiscreteStatsTable[NumberObservations])),0)</f>
        <v>165.9</v>
      </c>
      <c r="W142" s="5">
        <f>IF((DiscreteStatsTable[[#This Row],[RepsRequested]]&gt;1),DiscreteStatsTable[[#This Row],[HalfWidth]],DiscreteStatsTable[[#This Row],[BatchMeansHalfWidth]])</f>
        <v>1.7398603279601377</v>
      </c>
      <c r="X142" s="5" cm="1">
        <f t="array" ref="X142">COUNT(IF((DiscreteStatsTable[GroupByKey]=DiscreteStatsTable[[#This Row],[GroupByKey]]),(DiscreteStatsTable[GroupByKey]=DiscreteStatsTable[[#This Row],[GroupByKey]])*DiscreteStatsTable[Replication]))</f>
        <v>10</v>
      </c>
      <c r="Y142" s="5">
        <f>IF(DiscreteStatsTable[[#This Row],[RepsRequested]]=DiscreteStatsTable[[#This Row],[RepsWithStatObserved]],1,0)</f>
        <v>1</v>
      </c>
    </row>
    <row r="143" spans="1:25" x14ac:dyDescent="0.4">
      <c r="A143" t="s">
        <v>66</v>
      </c>
      <c r="B143" t="s">
        <v>69</v>
      </c>
      <c r="C143">
        <v>2</v>
      </c>
      <c r="D143" t="s">
        <v>88</v>
      </c>
      <c r="E143" t="s">
        <v>79</v>
      </c>
      <c r="F143" t="s">
        <v>80</v>
      </c>
      <c r="G143">
        <v>10.528131497269101</v>
      </c>
      <c r="H143">
        <v>2E+20</v>
      </c>
      <c r="I143">
        <v>0</v>
      </c>
      <c r="J143">
        <v>46.675809678170502</v>
      </c>
      <c r="K143">
        <v>182</v>
      </c>
      <c r="L143" s="5" t="str">
        <f>DiscreteStatsTable[[#This Row],[ProjectName]]&amp;DiscreteStatsTable[[#This Row],[Name]]&amp;DiscreteStatsTable[[#This Row],[Type]]&amp;DiscreteStatsTable[[#This Row],[Source]]</f>
        <v>Unnamed ProjectM4.QWaiting TimeQueue</v>
      </c>
      <c r="M143" s="5" cm="1">
        <f t="array" ref="M143">MAX(IF((ProjectInfoTable[ProjectName]=DiscreteStatsTable[[#This Row],[ProjectName]]),(ProjectInfoTable[ProjectName]=DiscreteStatsTable[[#This Row],[ProjectName]])*ProjectInfoTable[NumberOfReplications]))</f>
        <v>10</v>
      </c>
      <c r="N143" s="5" cm="1">
        <f t="array" ref="N143">IFERROR(AVERAGE(IF((DiscreteStatsTable[GroupByKey]=DiscreteStatsTable[[#This Row],[GroupByKey]]),(DiscreteStatsTable[GroupByKey]=DiscreteStatsTable[[#This Row],[GroupByKey]])*DiscreteStatsTable[Average])),0)</f>
        <v>11.937035891377143</v>
      </c>
      <c r="O143" s="5" cm="1">
        <f t="array" ref="O143">IFERROR(_xlfn.STDEV.S(IF((DiscreteStatsTable[GroupByKey]=DiscreteStatsTable[[#This Row],[GroupByKey]]),(DiscreteStatsTable[GroupByKey]=DiscreteStatsTable[[#This Row],[GroupByKey]])*DiscreteStatsTable[Average])),0)</f>
        <v>2.4321570302020485</v>
      </c>
      <c r="P143" s="5" cm="1">
        <f t="array" ref="P143">MAX(IF((ProjectInfoTable[ProjectName]=DiscreteStatsTable[[#This Row],[ProjectName]]),(ProjectInfoTable[ProjectName]=DiscreteStatsTable[[#This Row],[ProjectName]])*ProjectInfoTable[ConfidenceInterval]))</f>
        <v>0.95</v>
      </c>
      <c r="Q143" s="5">
        <f>IF(AND(DiscreteStatsTable[[#This Row],[RepsWithStatObserved]]=1,Y143=0),200000000000000000000,IFERROR(_xlfn.T.INV.2T(1 -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1.7398603279601377</v>
      </c>
      <c r="R143" s="5" cm="1">
        <f t="array" ref="R143">MIN(IF((DiscreteStatsTable[GroupByKey]=DiscreteStatsTable[[#This Row],[GroupByKey]]),(DiscreteStatsTable[GroupByKey]=DiscreteStatsTable[[#This Row],[GroupByKey]])*DiscreteStatsTable[Average]))</f>
        <v>9.0500003375588793</v>
      </c>
      <c r="S143" s="5" cm="1">
        <f t="array" ref="S143">MAX(IF((DiscreteStatsTable[GroupByKey]=DiscreteStatsTable[[#This Row],[GroupByKey]]),(DiscreteStatsTable[GroupByKey]=DiscreteStatsTable[[#This Row],[GroupByKey]])*DiscreteStatsTable[Average]))</f>
        <v>17.158211561399899</v>
      </c>
      <c r="T143" s="5" cm="1">
        <f t="array" ref="T143">MIN(IF((DiscreteStatsTable[GroupByKey]=DiscreteStatsTable[[#This Row],[GroupByKey]]),(DiscreteStatsTable[GroupByKey]=DiscreteStatsTable[[#This Row],[GroupByKey]])*DiscreteStatsTable[Minimum]))</f>
        <v>0</v>
      </c>
      <c r="U143" s="5" cm="1">
        <f t="array" ref="U143">MAX(IF((DiscreteStatsTable[GroupByKey]=DiscreteStatsTable[[#This Row],[GroupByKey]]),(DiscreteStatsTable[GroupByKey]=DiscreteStatsTable[[#This Row],[GroupByKey]])*DiscreteStatsTable[Maximum]))</f>
        <v>87.314133231163396</v>
      </c>
      <c r="V143" s="5" cm="1">
        <f t="array" ref="V143">IFERROR(AVERAGE(IF((DiscreteStatsTable[GroupByKey]=DiscreteStatsTable[[#This Row],[GroupByKey]]),(DiscreteStatsTable[GroupByKey]=DiscreteStatsTable[[#This Row],[GroupByKey]])*DiscreteStatsTable[NumberObservations])),0)</f>
        <v>165.9</v>
      </c>
      <c r="W143" s="5">
        <f>IF((DiscreteStatsTable[[#This Row],[RepsRequested]]&gt;1),DiscreteStatsTable[[#This Row],[HalfWidth]],DiscreteStatsTable[[#This Row],[BatchMeansHalfWidth]])</f>
        <v>1.7398603279601377</v>
      </c>
      <c r="X143" s="5" cm="1">
        <f t="array" ref="X143">COUNT(IF((DiscreteStatsTable[GroupByKey]=DiscreteStatsTable[[#This Row],[GroupByKey]]),(DiscreteStatsTable[GroupByKey]=DiscreteStatsTable[[#This Row],[GroupByKey]])*DiscreteStatsTable[Replication]))</f>
        <v>10</v>
      </c>
      <c r="Y143" s="5">
        <f>IF(DiscreteStatsTable[[#This Row],[RepsRequested]]=DiscreteStatsTable[[#This Row],[RepsWithStatObserved]],1,0)</f>
        <v>1</v>
      </c>
    </row>
    <row r="144" spans="1:25" x14ac:dyDescent="0.4">
      <c r="A144" t="s">
        <v>66</v>
      </c>
      <c r="B144" t="s">
        <v>69</v>
      </c>
      <c r="C144">
        <v>3</v>
      </c>
      <c r="D144" t="s">
        <v>88</v>
      </c>
      <c r="E144" t="s">
        <v>79</v>
      </c>
      <c r="F144" t="s">
        <v>80</v>
      </c>
      <c r="G144">
        <v>17.158211561399899</v>
      </c>
      <c r="H144">
        <v>2E+20</v>
      </c>
      <c r="I144">
        <v>0</v>
      </c>
      <c r="J144">
        <v>58.971244940513799</v>
      </c>
      <c r="K144">
        <v>177</v>
      </c>
      <c r="L144" s="5" t="str">
        <f>DiscreteStatsTable[[#This Row],[ProjectName]]&amp;DiscreteStatsTable[[#This Row],[Name]]&amp;DiscreteStatsTable[[#This Row],[Type]]&amp;DiscreteStatsTable[[#This Row],[Source]]</f>
        <v>Unnamed ProjectM4.QWaiting TimeQueue</v>
      </c>
      <c r="M144" s="5" cm="1">
        <f t="array" ref="M144">MAX(IF((ProjectInfoTable[ProjectName]=DiscreteStatsTable[[#This Row],[ProjectName]]),(ProjectInfoTable[ProjectName]=DiscreteStatsTable[[#This Row],[ProjectName]])*ProjectInfoTable[NumberOfReplications]))</f>
        <v>10</v>
      </c>
      <c r="N144" s="5" cm="1">
        <f t="array" ref="N144">IFERROR(AVERAGE(IF((DiscreteStatsTable[GroupByKey]=DiscreteStatsTable[[#This Row],[GroupByKey]]),(DiscreteStatsTable[GroupByKey]=DiscreteStatsTable[[#This Row],[GroupByKey]])*DiscreteStatsTable[Average])),0)</f>
        <v>11.937035891377143</v>
      </c>
      <c r="O144" s="5" cm="1">
        <f t="array" ref="O144">IFERROR(_xlfn.STDEV.S(IF((DiscreteStatsTable[GroupByKey]=DiscreteStatsTable[[#This Row],[GroupByKey]]),(DiscreteStatsTable[GroupByKey]=DiscreteStatsTable[[#This Row],[GroupByKey]])*DiscreteStatsTable[Average])),0)</f>
        <v>2.4321570302020485</v>
      </c>
      <c r="P144" s="5" cm="1">
        <f t="array" ref="P144">MAX(IF((ProjectInfoTable[ProjectName]=DiscreteStatsTable[[#This Row],[ProjectName]]),(ProjectInfoTable[ProjectName]=DiscreteStatsTable[[#This Row],[ProjectName]])*ProjectInfoTable[ConfidenceInterval]))</f>
        <v>0.95</v>
      </c>
      <c r="Q144" s="5">
        <f>IF(AND(DiscreteStatsTable[[#This Row],[RepsWithStatObserved]]=1,Y144=0),200000000000000000000,IFERROR(_xlfn.T.INV.2T(1 -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1.7398603279601377</v>
      </c>
      <c r="R144" s="5" cm="1">
        <f t="array" ref="R144">MIN(IF((DiscreteStatsTable[GroupByKey]=DiscreteStatsTable[[#This Row],[GroupByKey]]),(DiscreteStatsTable[GroupByKey]=DiscreteStatsTable[[#This Row],[GroupByKey]])*DiscreteStatsTable[Average]))</f>
        <v>9.0500003375588793</v>
      </c>
      <c r="S144" s="5" cm="1">
        <f t="array" ref="S144">MAX(IF((DiscreteStatsTable[GroupByKey]=DiscreteStatsTable[[#This Row],[GroupByKey]]),(DiscreteStatsTable[GroupByKey]=DiscreteStatsTable[[#This Row],[GroupByKey]])*DiscreteStatsTable[Average]))</f>
        <v>17.158211561399899</v>
      </c>
      <c r="T144" s="5" cm="1">
        <f t="array" ref="T144">MIN(IF((DiscreteStatsTable[GroupByKey]=DiscreteStatsTable[[#This Row],[GroupByKey]]),(DiscreteStatsTable[GroupByKey]=DiscreteStatsTable[[#This Row],[GroupByKey]])*DiscreteStatsTable[Minimum]))</f>
        <v>0</v>
      </c>
      <c r="U144" s="5" cm="1">
        <f t="array" ref="U144">MAX(IF((DiscreteStatsTable[GroupByKey]=DiscreteStatsTable[[#This Row],[GroupByKey]]),(DiscreteStatsTable[GroupByKey]=DiscreteStatsTable[[#This Row],[GroupByKey]])*DiscreteStatsTable[Maximum]))</f>
        <v>87.314133231163396</v>
      </c>
      <c r="V144" s="5" cm="1">
        <f t="array" ref="V144">IFERROR(AVERAGE(IF((DiscreteStatsTable[GroupByKey]=DiscreteStatsTable[[#This Row],[GroupByKey]]),(DiscreteStatsTable[GroupByKey]=DiscreteStatsTable[[#This Row],[GroupByKey]])*DiscreteStatsTable[NumberObservations])),0)</f>
        <v>165.9</v>
      </c>
      <c r="W144" s="5">
        <f>IF((DiscreteStatsTable[[#This Row],[RepsRequested]]&gt;1),DiscreteStatsTable[[#This Row],[HalfWidth]],DiscreteStatsTable[[#This Row],[BatchMeansHalfWidth]])</f>
        <v>1.7398603279601377</v>
      </c>
      <c r="X144" s="5" cm="1">
        <f t="array" ref="X144">COUNT(IF((DiscreteStatsTable[GroupByKey]=DiscreteStatsTable[[#This Row],[GroupByKey]]),(DiscreteStatsTable[GroupByKey]=DiscreteStatsTable[[#This Row],[GroupByKey]])*DiscreteStatsTable[Replication]))</f>
        <v>10</v>
      </c>
      <c r="Y144" s="5">
        <f>IF(DiscreteStatsTable[[#This Row],[RepsRequested]]=DiscreteStatsTable[[#This Row],[RepsWithStatObserved]],1,0)</f>
        <v>1</v>
      </c>
    </row>
    <row r="145" spans="1:25" x14ac:dyDescent="0.4">
      <c r="A145" t="s">
        <v>66</v>
      </c>
      <c r="B145" t="s">
        <v>69</v>
      </c>
      <c r="C145">
        <v>4</v>
      </c>
      <c r="D145" t="s">
        <v>88</v>
      </c>
      <c r="E145" t="s">
        <v>79</v>
      </c>
      <c r="F145" t="s">
        <v>80</v>
      </c>
      <c r="G145">
        <v>10.8810951977235</v>
      </c>
      <c r="H145">
        <v>2E+20</v>
      </c>
      <c r="I145">
        <v>0</v>
      </c>
      <c r="J145">
        <v>61.845023057709298</v>
      </c>
      <c r="K145">
        <v>178</v>
      </c>
      <c r="L145" s="5" t="str">
        <f>DiscreteStatsTable[[#This Row],[ProjectName]]&amp;DiscreteStatsTable[[#This Row],[Name]]&amp;DiscreteStatsTable[[#This Row],[Type]]&amp;DiscreteStatsTable[[#This Row],[Source]]</f>
        <v>Unnamed ProjectM4.QWaiting TimeQueue</v>
      </c>
      <c r="M145" s="5" cm="1">
        <f t="array" ref="M145">MAX(IF((ProjectInfoTable[ProjectName]=DiscreteStatsTable[[#This Row],[ProjectName]]),(ProjectInfoTable[ProjectName]=DiscreteStatsTable[[#This Row],[ProjectName]])*ProjectInfoTable[NumberOfReplications]))</f>
        <v>10</v>
      </c>
      <c r="N145" s="5" cm="1">
        <f t="array" ref="N145">IFERROR(AVERAGE(IF((DiscreteStatsTable[GroupByKey]=DiscreteStatsTable[[#This Row],[GroupByKey]]),(DiscreteStatsTable[GroupByKey]=DiscreteStatsTable[[#This Row],[GroupByKey]])*DiscreteStatsTable[Average])),0)</f>
        <v>11.937035891377143</v>
      </c>
      <c r="O145" s="5" cm="1">
        <f t="array" ref="O145">IFERROR(_xlfn.STDEV.S(IF((DiscreteStatsTable[GroupByKey]=DiscreteStatsTable[[#This Row],[GroupByKey]]),(DiscreteStatsTable[GroupByKey]=DiscreteStatsTable[[#This Row],[GroupByKey]])*DiscreteStatsTable[Average])),0)</f>
        <v>2.4321570302020485</v>
      </c>
      <c r="P145" s="5" cm="1">
        <f t="array" ref="P145">MAX(IF((ProjectInfoTable[ProjectName]=DiscreteStatsTable[[#This Row],[ProjectName]]),(ProjectInfoTable[ProjectName]=DiscreteStatsTable[[#This Row],[ProjectName]])*ProjectInfoTable[ConfidenceInterval]))</f>
        <v>0.95</v>
      </c>
      <c r="Q145" s="5">
        <f>IF(AND(DiscreteStatsTable[[#This Row],[RepsWithStatObserved]]=1,Y145=0),200000000000000000000,IFERROR(_xlfn.T.INV.2T(1 -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1.7398603279601377</v>
      </c>
      <c r="R145" s="5" cm="1">
        <f t="array" ref="R145">MIN(IF((DiscreteStatsTable[GroupByKey]=DiscreteStatsTable[[#This Row],[GroupByKey]]),(DiscreteStatsTable[GroupByKey]=DiscreteStatsTable[[#This Row],[GroupByKey]])*DiscreteStatsTable[Average]))</f>
        <v>9.0500003375588793</v>
      </c>
      <c r="S145" s="5" cm="1">
        <f t="array" ref="S145">MAX(IF((DiscreteStatsTable[GroupByKey]=DiscreteStatsTable[[#This Row],[GroupByKey]]),(DiscreteStatsTable[GroupByKey]=DiscreteStatsTable[[#This Row],[GroupByKey]])*DiscreteStatsTable[Average]))</f>
        <v>17.158211561399899</v>
      </c>
      <c r="T145" s="5" cm="1">
        <f t="array" ref="T145">MIN(IF((DiscreteStatsTable[GroupByKey]=DiscreteStatsTable[[#This Row],[GroupByKey]]),(DiscreteStatsTable[GroupByKey]=DiscreteStatsTable[[#This Row],[GroupByKey]])*DiscreteStatsTable[Minimum]))</f>
        <v>0</v>
      </c>
      <c r="U145" s="5" cm="1">
        <f t="array" ref="U145">MAX(IF((DiscreteStatsTable[GroupByKey]=DiscreteStatsTable[[#This Row],[GroupByKey]]),(DiscreteStatsTable[GroupByKey]=DiscreteStatsTable[[#This Row],[GroupByKey]])*DiscreteStatsTable[Maximum]))</f>
        <v>87.314133231163396</v>
      </c>
      <c r="V145" s="5" cm="1">
        <f t="array" ref="V145">IFERROR(AVERAGE(IF((DiscreteStatsTable[GroupByKey]=DiscreteStatsTable[[#This Row],[GroupByKey]]),(DiscreteStatsTable[GroupByKey]=DiscreteStatsTable[[#This Row],[GroupByKey]])*DiscreteStatsTable[NumberObservations])),0)</f>
        <v>165.9</v>
      </c>
      <c r="W145" s="5">
        <f>IF((DiscreteStatsTable[[#This Row],[RepsRequested]]&gt;1),DiscreteStatsTable[[#This Row],[HalfWidth]],DiscreteStatsTable[[#This Row],[BatchMeansHalfWidth]])</f>
        <v>1.7398603279601377</v>
      </c>
      <c r="X145" s="5" cm="1">
        <f t="array" ref="X145">COUNT(IF((DiscreteStatsTable[GroupByKey]=DiscreteStatsTable[[#This Row],[GroupByKey]]),(DiscreteStatsTable[GroupByKey]=DiscreteStatsTable[[#This Row],[GroupByKey]])*DiscreteStatsTable[Replication]))</f>
        <v>10</v>
      </c>
      <c r="Y145" s="5">
        <f>IF(DiscreteStatsTable[[#This Row],[RepsRequested]]=DiscreteStatsTable[[#This Row],[RepsWithStatObserved]],1,0)</f>
        <v>1</v>
      </c>
    </row>
    <row r="146" spans="1:25" x14ac:dyDescent="0.4">
      <c r="A146" t="s">
        <v>66</v>
      </c>
      <c r="B146" t="s">
        <v>69</v>
      </c>
      <c r="C146">
        <v>5</v>
      </c>
      <c r="D146" t="s">
        <v>88</v>
      </c>
      <c r="E146" t="s">
        <v>79</v>
      </c>
      <c r="F146" t="s">
        <v>80</v>
      </c>
      <c r="G146">
        <v>10.448048380062</v>
      </c>
      <c r="H146">
        <v>2E+20</v>
      </c>
      <c r="I146">
        <v>0</v>
      </c>
      <c r="J146">
        <v>56.226303562888504</v>
      </c>
      <c r="K146">
        <v>139</v>
      </c>
      <c r="L146" s="5" t="str">
        <f>DiscreteStatsTable[[#This Row],[ProjectName]]&amp;DiscreteStatsTable[[#This Row],[Name]]&amp;DiscreteStatsTable[[#This Row],[Type]]&amp;DiscreteStatsTable[[#This Row],[Source]]</f>
        <v>Unnamed ProjectM4.QWaiting TimeQueue</v>
      </c>
      <c r="M146" s="5" cm="1">
        <f t="array" ref="M146">MAX(IF((ProjectInfoTable[ProjectName]=DiscreteStatsTable[[#This Row],[ProjectName]]),(ProjectInfoTable[ProjectName]=DiscreteStatsTable[[#This Row],[ProjectName]])*ProjectInfoTable[NumberOfReplications]))</f>
        <v>10</v>
      </c>
      <c r="N146" s="5" cm="1">
        <f t="array" ref="N146">IFERROR(AVERAGE(IF((DiscreteStatsTable[GroupByKey]=DiscreteStatsTable[[#This Row],[GroupByKey]]),(DiscreteStatsTable[GroupByKey]=DiscreteStatsTable[[#This Row],[GroupByKey]])*DiscreteStatsTable[Average])),0)</f>
        <v>11.937035891377143</v>
      </c>
      <c r="O146" s="5" cm="1">
        <f t="array" ref="O146">IFERROR(_xlfn.STDEV.S(IF((DiscreteStatsTable[GroupByKey]=DiscreteStatsTable[[#This Row],[GroupByKey]]),(DiscreteStatsTable[GroupByKey]=DiscreteStatsTable[[#This Row],[GroupByKey]])*DiscreteStatsTable[Average])),0)</f>
        <v>2.4321570302020485</v>
      </c>
      <c r="P146" s="5" cm="1">
        <f t="array" ref="P146">MAX(IF((ProjectInfoTable[ProjectName]=DiscreteStatsTable[[#This Row],[ProjectName]]),(ProjectInfoTable[ProjectName]=DiscreteStatsTable[[#This Row],[ProjectName]])*ProjectInfoTable[ConfidenceInterval]))</f>
        <v>0.95</v>
      </c>
      <c r="Q146" s="5">
        <f>IF(AND(DiscreteStatsTable[[#This Row],[RepsWithStatObserved]]=1,Y146=0),200000000000000000000,IFERROR(_xlfn.T.INV.2T(1 -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1.7398603279601377</v>
      </c>
      <c r="R146" s="5" cm="1">
        <f t="array" ref="R146">MIN(IF((DiscreteStatsTable[GroupByKey]=DiscreteStatsTable[[#This Row],[GroupByKey]]),(DiscreteStatsTable[GroupByKey]=DiscreteStatsTable[[#This Row],[GroupByKey]])*DiscreteStatsTable[Average]))</f>
        <v>9.0500003375588793</v>
      </c>
      <c r="S146" s="5" cm="1">
        <f t="array" ref="S146">MAX(IF((DiscreteStatsTable[GroupByKey]=DiscreteStatsTable[[#This Row],[GroupByKey]]),(DiscreteStatsTable[GroupByKey]=DiscreteStatsTable[[#This Row],[GroupByKey]])*DiscreteStatsTable[Average]))</f>
        <v>17.158211561399899</v>
      </c>
      <c r="T146" s="5" cm="1">
        <f t="array" ref="T146">MIN(IF((DiscreteStatsTable[GroupByKey]=DiscreteStatsTable[[#This Row],[GroupByKey]]),(DiscreteStatsTable[GroupByKey]=DiscreteStatsTable[[#This Row],[GroupByKey]])*DiscreteStatsTable[Minimum]))</f>
        <v>0</v>
      </c>
      <c r="U146" s="5" cm="1">
        <f t="array" ref="U146">MAX(IF((DiscreteStatsTable[GroupByKey]=DiscreteStatsTable[[#This Row],[GroupByKey]]),(DiscreteStatsTable[GroupByKey]=DiscreteStatsTable[[#This Row],[GroupByKey]])*DiscreteStatsTable[Maximum]))</f>
        <v>87.314133231163396</v>
      </c>
      <c r="V146" s="5" cm="1">
        <f t="array" ref="V146">IFERROR(AVERAGE(IF((DiscreteStatsTable[GroupByKey]=DiscreteStatsTable[[#This Row],[GroupByKey]]),(DiscreteStatsTable[GroupByKey]=DiscreteStatsTable[[#This Row],[GroupByKey]])*DiscreteStatsTable[NumberObservations])),0)</f>
        <v>165.9</v>
      </c>
      <c r="W146" s="5">
        <f>IF((DiscreteStatsTable[[#This Row],[RepsRequested]]&gt;1),DiscreteStatsTable[[#This Row],[HalfWidth]],DiscreteStatsTable[[#This Row],[BatchMeansHalfWidth]])</f>
        <v>1.7398603279601377</v>
      </c>
      <c r="X146" s="5" cm="1">
        <f t="array" ref="X146">COUNT(IF((DiscreteStatsTable[GroupByKey]=DiscreteStatsTable[[#This Row],[GroupByKey]]),(DiscreteStatsTable[GroupByKey]=DiscreteStatsTable[[#This Row],[GroupByKey]])*DiscreteStatsTable[Replication]))</f>
        <v>10</v>
      </c>
      <c r="Y146" s="5">
        <f>IF(DiscreteStatsTable[[#This Row],[RepsRequested]]=DiscreteStatsTable[[#This Row],[RepsWithStatObserved]],1,0)</f>
        <v>1</v>
      </c>
    </row>
    <row r="147" spans="1:25" x14ac:dyDescent="0.4">
      <c r="A147" t="s">
        <v>66</v>
      </c>
      <c r="B147" t="s">
        <v>69</v>
      </c>
      <c r="C147">
        <v>6</v>
      </c>
      <c r="D147" t="s">
        <v>88</v>
      </c>
      <c r="E147" t="s">
        <v>79</v>
      </c>
      <c r="F147" t="s">
        <v>80</v>
      </c>
      <c r="G147">
        <v>13.804327334027001</v>
      </c>
      <c r="H147">
        <v>2E+20</v>
      </c>
      <c r="I147">
        <v>0</v>
      </c>
      <c r="J147">
        <v>87.314133231163396</v>
      </c>
      <c r="K147">
        <v>169</v>
      </c>
      <c r="L147" s="5" t="str">
        <f>DiscreteStatsTable[[#This Row],[ProjectName]]&amp;DiscreteStatsTable[[#This Row],[Name]]&amp;DiscreteStatsTable[[#This Row],[Type]]&amp;DiscreteStatsTable[[#This Row],[Source]]</f>
        <v>Unnamed ProjectM4.QWaiting TimeQueue</v>
      </c>
      <c r="M147" s="5" cm="1">
        <f t="array" ref="M147">MAX(IF((ProjectInfoTable[ProjectName]=DiscreteStatsTable[[#This Row],[ProjectName]]),(ProjectInfoTable[ProjectName]=DiscreteStatsTable[[#This Row],[ProjectName]])*ProjectInfoTable[NumberOfReplications]))</f>
        <v>10</v>
      </c>
      <c r="N147" s="5" cm="1">
        <f t="array" ref="N147">IFERROR(AVERAGE(IF((DiscreteStatsTable[GroupByKey]=DiscreteStatsTable[[#This Row],[GroupByKey]]),(DiscreteStatsTable[GroupByKey]=DiscreteStatsTable[[#This Row],[GroupByKey]])*DiscreteStatsTable[Average])),0)</f>
        <v>11.937035891377143</v>
      </c>
      <c r="O147" s="5" cm="1">
        <f t="array" ref="O147">IFERROR(_xlfn.STDEV.S(IF((DiscreteStatsTable[GroupByKey]=DiscreteStatsTable[[#This Row],[GroupByKey]]),(DiscreteStatsTable[GroupByKey]=DiscreteStatsTable[[#This Row],[GroupByKey]])*DiscreteStatsTable[Average])),0)</f>
        <v>2.4321570302020485</v>
      </c>
      <c r="P147" s="5" cm="1">
        <f t="array" ref="P147">MAX(IF((ProjectInfoTable[ProjectName]=DiscreteStatsTable[[#This Row],[ProjectName]]),(ProjectInfoTable[ProjectName]=DiscreteStatsTable[[#This Row],[ProjectName]])*ProjectInfoTable[ConfidenceInterval]))</f>
        <v>0.95</v>
      </c>
      <c r="Q147" s="5">
        <f>IF(AND(DiscreteStatsTable[[#This Row],[RepsWithStatObserved]]=1,Y147=0),200000000000000000000,IFERROR(_xlfn.T.INV.2T(1 -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1.7398603279601377</v>
      </c>
      <c r="R147" s="5" cm="1">
        <f t="array" ref="R147">MIN(IF((DiscreteStatsTable[GroupByKey]=DiscreteStatsTable[[#This Row],[GroupByKey]]),(DiscreteStatsTable[GroupByKey]=DiscreteStatsTable[[#This Row],[GroupByKey]])*DiscreteStatsTable[Average]))</f>
        <v>9.0500003375588793</v>
      </c>
      <c r="S147" s="5" cm="1">
        <f t="array" ref="S147">MAX(IF((DiscreteStatsTable[GroupByKey]=DiscreteStatsTable[[#This Row],[GroupByKey]]),(DiscreteStatsTable[GroupByKey]=DiscreteStatsTable[[#This Row],[GroupByKey]])*DiscreteStatsTable[Average]))</f>
        <v>17.158211561399899</v>
      </c>
      <c r="T147" s="5" cm="1">
        <f t="array" ref="T147">MIN(IF((DiscreteStatsTable[GroupByKey]=DiscreteStatsTable[[#This Row],[GroupByKey]]),(DiscreteStatsTable[GroupByKey]=DiscreteStatsTable[[#This Row],[GroupByKey]])*DiscreteStatsTable[Minimum]))</f>
        <v>0</v>
      </c>
      <c r="U147" s="5" cm="1">
        <f t="array" ref="U147">MAX(IF((DiscreteStatsTable[GroupByKey]=DiscreteStatsTable[[#This Row],[GroupByKey]]),(DiscreteStatsTable[GroupByKey]=DiscreteStatsTable[[#This Row],[GroupByKey]])*DiscreteStatsTable[Maximum]))</f>
        <v>87.314133231163396</v>
      </c>
      <c r="V147" s="5" cm="1">
        <f t="array" ref="V147">IFERROR(AVERAGE(IF((DiscreteStatsTable[GroupByKey]=DiscreteStatsTable[[#This Row],[GroupByKey]]),(DiscreteStatsTable[GroupByKey]=DiscreteStatsTable[[#This Row],[GroupByKey]])*DiscreteStatsTable[NumberObservations])),0)</f>
        <v>165.9</v>
      </c>
      <c r="W147" s="5">
        <f>IF((DiscreteStatsTable[[#This Row],[RepsRequested]]&gt;1),DiscreteStatsTable[[#This Row],[HalfWidth]],DiscreteStatsTable[[#This Row],[BatchMeansHalfWidth]])</f>
        <v>1.7398603279601377</v>
      </c>
      <c r="X147" s="5" cm="1">
        <f t="array" ref="X147">COUNT(IF((DiscreteStatsTable[GroupByKey]=DiscreteStatsTable[[#This Row],[GroupByKey]]),(DiscreteStatsTable[GroupByKey]=DiscreteStatsTable[[#This Row],[GroupByKey]])*DiscreteStatsTable[Replication]))</f>
        <v>10</v>
      </c>
      <c r="Y147" s="5">
        <f>IF(DiscreteStatsTable[[#This Row],[RepsRequested]]=DiscreteStatsTable[[#This Row],[RepsWithStatObserved]],1,0)</f>
        <v>1</v>
      </c>
    </row>
    <row r="148" spans="1:25" x14ac:dyDescent="0.4">
      <c r="A148" t="s">
        <v>66</v>
      </c>
      <c r="B148" t="s">
        <v>69</v>
      </c>
      <c r="C148">
        <v>7</v>
      </c>
      <c r="D148" t="s">
        <v>88</v>
      </c>
      <c r="E148" t="s">
        <v>79</v>
      </c>
      <c r="F148" t="s">
        <v>80</v>
      </c>
      <c r="G148">
        <v>11.757545395251499</v>
      </c>
      <c r="H148">
        <v>2E+20</v>
      </c>
      <c r="I148">
        <v>0</v>
      </c>
      <c r="J148">
        <v>72.208704416001893</v>
      </c>
      <c r="K148">
        <v>147</v>
      </c>
      <c r="L148" s="5" t="str">
        <f>DiscreteStatsTable[[#This Row],[ProjectName]]&amp;DiscreteStatsTable[[#This Row],[Name]]&amp;DiscreteStatsTable[[#This Row],[Type]]&amp;DiscreteStatsTable[[#This Row],[Source]]</f>
        <v>Unnamed ProjectM4.QWaiting TimeQueue</v>
      </c>
      <c r="M148" s="5" cm="1">
        <f t="array" ref="M148">MAX(IF((ProjectInfoTable[ProjectName]=DiscreteStatsTable[[#This Row],[ProjectName]]),(ProjectInfoTable[ProjectName]=DiscreteStatsTable[[#This Row],[ProjectName]])*ProjectInfoTable[NumberOfReplications]))</f>
        <v>10</v>
      </c>
      <c r="N148" s="5" cm="1">
        <f t="array" ref="N148">IFERROR(AVERAGE(IF((DiscreteStatsTable[GroupByKey]=DiscreteStatsTable[[#This Row],[GroupByKey]]),(DiscreteStatsTable[GroupByKey]=DiscreteStatsTable[[#This Row],[GroupByKey]])*DiscreteStatsTable[Average])),0)</f>
        <v>11.937035891377143</v>
      </c>
      <c r="O148" s="5" cm="1">
        <f t="array" ref="O148">IFERROR(_xlfn.STDEV.S(IF((DiscreteStatsTable[GroupByKey]=DiscreteStatsTable[[#This Row],[GroupByKey]]),(DiscreteStatsTable[GroupByKey]=DiscreteStatsTable[[#This Row],[GroupByKey]])*DiscreteStatsTable[Average])),0)</f>
        <v>2.4321570302020485</v>
      </c>
      <c r="P148" s="5" cm="1">
        <f t="array" ref="P148">MAX(IF((ProjectInfoTable[ProjectName]=DiscreteStatsTable[[#This Row],[ProjectName]]),(ProjectInfoTable[ProjectName]=DiscreteStatsTable[[#This Row],[ProjectName]])*ProjectInfoTable[ConfidenceInterval]))</f>
        <v>0.95</v>
      </c>
      <c r="Q148" s="5">
        <f>IF(AND(DiscreteStatsTable[[#This Row],[RepsWithStatObserved]]=1,Y148=0),200000000000000000000,IFERROR(_xlfn.T.INV.2T(1 -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1.7398603279601377</v>
      </c>
      <c r="R148" s="5" cm="1">
        <f t="array" ref="R148">MIN(IF((DiscreteStatsTable[GroupByKey]=DiscreteStatsTable[[#This Row],[GroupByKey]]),(DiscreteStatsTable[GroupByKey]=DiscreteStatsTable[[#This Row],[GroupByKey]])*DiscreteStatsTable[Average]))</f>
        <v>9.0500003375588793</v>
      </c>
      <c r="S148" s="5" cm="1">
        <f t="array" ref="S148">MAX(IF((DiscreteStatsTable[GroupByKey]=DiscreteStatsTable[[#This Row],[GroupByKey]]),(DiscreteStatsTable[GroupByKey]=DiscreteStatsTable[[#This Row],[GroupByKey]])*DiscreteStatsTable[Average]))</f>
        <v>17.158211561399899</v>
      </c>
      <c r="T148" s="5" cm="1">
        <f t="array" ref="T148">MIN(IF((DiscreteStatsTable[GroupByKey]=DiscreteStatsTable[[#This Row],[GroupByKey]]),(DiscreteStatsTable[GroupByKey]=DiscreteStatsTable[[#This Row],[GroupByKey]])*DiscreteStatsTable[Minimum]))</f>
        <v>0</v>
      </c>
      <c r="U148" s="5" cm="1">
        <f t="array" ref="U148">MAX(IF((DiscreteStatsTable[GroupByKey]=DiscreteStatsTable[[#This Row],[GroupByKey]]),(DiscreteStatsTable[GroupByKey]=DiscreteStatsTable[[#This Row],[GroupByKey]])*DiscreteStatsTable[Maximum]))</f>
        <v>87.314133231163396</v>
      </c>
      <c r="V148" s="5" cm="1">
        <f t="array" ref="V148">IFERROR(AVERAGE(IF((DiscreteStatsTable[GroupByKey]=DiscreteStatsTable[[#This Row],[GroupByKey]]),(DiscreteStatsTable[GroupByKey]=DiscreteStatsTable[[#This Row],[GroupByKey]])*DiscreteStatsTable[NumberObservations])),0)</f>
        <v>165.9</v>
      </c>
      <c r="W148" s="5">
        <f>IF((DiscreteStatsTable[[#This Row],[RepsRequested]]&gt;1),DiscreteStatsTable[[#This Row],[HalfWidth]],DiscreteStatsTable[[#This Row],[BatchMeansHalfWidth]])</f>
        <v>1.7398603279601377</v>
      </c>
      <c r="X148" s="5" cm="1">
        <f t="array" ref="X148">COUNT(IF((DiscreteStatsTable[GroupByKey]=DiscreteStatsTable[[#This Row],[GroupByKey]]),(DiscreteStatsTable[GroupByKey]=DiscreteStatsTable[[#This Row],[GroupByKey]])*DiscreteStatsTable[Replication]))</f>
        <v>10</v>
      </c>
      <c r="Y148" s="5">
        <f>IF(DiscreteStatsTable[[#This Row],[RepsRequested]]=DiscreteStatsTable[[#This Row],[RepsWithStatObserved]],1,0)</f>
        <v>1</v>
      </c>
    </row>
    <row r="149" spans="1:25" x14ac:dyDescent="0.4">
      <c r="A149" t="s">
        <v>66</v>
      </c>
      <c r="B149" t="s">
        <v>69</v>
      </c>
      <c r="C149">
        <v>8</v>
      </c>
      <c r="D149" t="s">
        <v>88</v>
      </c>
      <c r="E149" t="s">
        <v>79</v>
      </c>
      <c r="F149" t="s">
        <v>80</v>
      </c>
      <c r="G149">
        <v>9.67585254730065</v>
      </c>
      <c r="H149">
        <v>2E+20</v>
      </c>
      <c r="I149">
        <v>0</v>
      </c>
      <c r="J149">
        <v>62.235059636843999</v>
      </c>
      <c r="K149">
        <v>174</v>
      </c>
      <c r="L149" s="5" t="str">
        <f>DiscreteStatsTable[[#This Row],[ProjectName]]&amp;DiscreteStatsTable[[#This Row],[Name]]&amp;DiscreteStatsTable[[#This Row],[Type]]&amp;DiscreteStatsTable[[#This Row],[Source]]</f>
        <v>Unnamed ProjectM4.QWaiting TimeQueue</v>
      </c>
      <c r="M149" s="5" cm="1">
        <f t="array" ref="M149">MAX(IF((ProjectInfoTable[ProjectName]=DiscreteStatsTable[[#This Row],[ProjectName]]),(ProjectInfoTable[ProjectName]=DiscreteStatsTable[[#This Row],[ProjectName]])*ProjectInfoTable[NumberOfReplications]))</f>
        <v>10</v>
      </c>
      <c r="N149" s="5" cm="1">
        <f t="array" ref="N149">IFERROR(AVERAGE(IF((DiscreteStatsTable[GroupByKey]=DiscreteStatsTable[[#This Row],[GroupByKey]]),(DiscreteStatsTable[GroupByKey]=DiscreteStatsTable[[#This Row],[GroupByKey]])*DiscreteStatsTable[Average])),0)</f>
        <v>11.937035891377143</v>
      </c>
      <c r="O149" s="5" cm="1">
        <f t="array" ref="O149">IFERROR(_xlfn.STDEV.S(IF((DiscreteStatsTable[GroupByKey]=DiscreteStatsTable[[#This Row],[GroupByKey]]),(DiscreteStatsTable[GroupByKey]=DiscreteStatsTable[[#This Row],[GroupByKey]])*DiscreteStatsTable[Average])),0)</f>
        <v>2.4321570302020485</v>
      </c>
      <c r="P149" s="5" cm="1">
        <f t="array" ref="P149">MAX(IF((ProjectInfoTable[ProjectName]=DiscreteStatsTable[[#This Row],[ProjectName]]),(ProjectInfoTable[ProjectName]=DiscreteStatsTable[[#This Row],[ProjectName]])*ProjectInfoTable[ConfidenceInterval]))</f>
        <v>0.95</v>
      </c>
      <c r="Q149" s="5">
        <f>IF(AND(DiscreteStatsTable[[#This Row],[RepsWithStatObserved]]=1,Y149=0),200000000000000000000,IFERROR(_xlfn.T.INV.2T(1 -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1.7398603279601377</v>
      </c>
      <c r="R149" s="5" cm="1">
        <f t="array" ref="R149">MIN(IF((DiscreteStatsTable[GroupByKey]=DiscreteStatsTable[[#This Row],[GroupByKey]]),(DiscreteStatsTable[GroupByKey]=DiscreteStatsTable[[#This Row],[GroupByKey]])*DiscreteStatsTable[Average]))</f>
        <v>9.0500003375588793</v>
      </c>
      <c r="S149" s="5" cm="1">
        <f t="array" ref="S149">MAX(IF((DiscreteStatsTable[GroupByKey]=DiscreteStatsTable[[#This Row],[GroupByKey]]),(DiscreteStatsTable[GroupByKey]=DiscreteStatsTable[[#This Row],[GroupByKey]])*DiscreteStatsTable[Average]))</f>
        <v>17.158211561399899</v>
      </c>
      <c r="T149" s="5" cm="1">
        <f t="array" ref="T149">MIN(IF((DiscreteStatsTable[GroupByKey]=DiscreteStatsTable[[#This Row],[GroupByKey]]),(DiscreteStatsTable[GroupByKey]=DiscreteStatsTable[[#This Row],[GroupByKey]])*DiscreteStatsTable[Minimum]))</f>
        <v>0</v>
      </c>
      <c r="U149" s="5" cm="1">
        <f t="array" ref="U149">MAX(IF((DiscreteStatsTable[GroupByKey]=DiscreteStatsTable[[#This Row],[GroupByKey]]),(DiscreteStatsTable[GroupByKey]=DiscreteStatsTable[[#This Row],[GroupByKey]])*DiscreteStatsTable[Maximum]))</f>
        <v>87.314133231163396</v>
      </c>
      <c r="V149" s="5" cm="1">
        <f t="array" ref="V149">IFERROR(AVERAGE(IF((DiscreteStatsTable[GroupByKey]=DiscreteStatsTable[[#This Row],[GroupByKey]]),(DiscreteStatsTable[GroupByKey]=DiscreteStatsTable[[#This Row],[GroupByKey]])*DiscreteStatsTable[NumberObservations])),0)</f>
        <v>165.9</v>
      </c>
      <c r="W149" s="5">
        <f>IF((DiscreteStatsTable[[#This Row],[RepsRequested]]&gt;1),DiscreteStatsTable[[#This Row],[HalfWidth]],DiscreteStatsTable[[#This Row],[BatchMeansHalfWidth]])</f>
        <v>1.7398603279601377</v>
      </c>
      <c r="X149" s="5" cm="1">
        <f t="array" ref="X149">COUNT(IF((DiscreteStatsTable[GroupByKey]=DiscreteStatsTable[[#This Row],[GroupByKey]]),(DiscreteStatsTable[GroupByKey]=DiscreteStatsTable[[#This Row],[GroupByKey]])*DiscreteStatsTable[Replication]))</f>
        <v>10</v>
      </c>
      <c r="Y149" s="5">
        <f>IF(DiscreteStatsTable[[#This Row],[RepsRequested]]=DiscreteStatsTable[[#This Row],[RepsWithStatObserved]],1,0)</f>
        <v>1</v>
      </c>
    </row>
    <row r="150" spans="1:25" x14ac:dyDescent="0.4">
      <c r="A150" t="s">
        <v>66</v>
      </c>
      <c r="B150" t="s">
        <v>69</v>
      </c>
      <c r="C150">
        <v>9</v>
      </c>
      <c r="D150" t="s">
        <v>88</v>
      </c>
      <c r="E150" t="s">
        <v>79</v>
      </c>
      <c r="F150" t="s">
        <v>80</v>
      </c>
      <c r="G150">
        <v>13.8363813907179</v>
      </c>
      <c r="H150">
        <v>2E+20</v>
      </c>
      <c r="I150">
        <v>0</v>
      </c>
      <c r="J150">
        <v>67.888873693571895</v>
      </c>
      <c r="K150">
        <v>168</v>
      </c>
      <c r="L150" s="5" t="str">
        <f>DiscreteStatsTable[[#This Row],[ProjectName]]&amp;DiscreteStatsTable[[#This Row],[Name]]&amp;DiscreteStatsTable[[#This Row],[Type]]&amp;DiscreteStatsTable[[#This Row],[Source]]</f>
        <v>Unnamed ProjectM4.QWaiting TimeQueue</v>
      </c>
      <c r="M150" s="5" cm="1">
        <f t="array" ref="M150">MAX(IF((ProjectInfoTable[ProjectName]=DiscreteStatsTable[[#This Row],[ProjectName]]),(ProjectInfoTable[ProjectName]=DiscreteStatsTable[[#This Row],[ProjectName]])*ProjectInfoTable[NumberOfReplications]))</f>
        <v>10</v>
      </c>
      <c r="N150" s="5" cm="1">
        <f t="array" ref="N150">IFERROR(AVERAGE(IF((DiscreteStatsTable[GroupByKey]=DiscreteStatsTable[[#This Row],[GroupByKey]]),(DiscreteStatsTable[GroupByKey]=DiscreteStatsTable[[#This Row],[GroupByKey]])*DiscreteStatsTable[Average])),0)</f>
        <v>11.937035891377143</v>
      </c>
      <c r="O150" s="5" cm="1">
        <f t="array" ref="O150">IFERROR(_xlfn.STDEV.S(IF((DiscreteStatsTable[GroupByKey]=DiscreteStatsTable[[#This Row],[GroupByKey]]),(DiscreteStatsTable[GroupByKey]=DiscreteStatsTable[[#This Row],[GroupByKey]])*DiscreteStatsTable[Average])),0)</f>
        <v>2.4321570302020485</v>
      </c>
      <c r="P150" s="5" cm="1">
        <f t="array" ref="P150">MAX(IF((ProjectInfoTable[ProjectName]=DiscreteStatsTable[[#This Row],[ProjectName]]),(ProjectInfoTable[ProjectName]=DiscreteStatsTable[[#This Row],[ProjectName]])*ProjectInfoTable[ConfidenceInterval]))</f>
        <v>0.95</v>
      </c>
      <c r="Q150" s="5">
        <f>IF(AND(DiscreteStatsTable[[#This Row],[RepsWithStatObserved]]=1,Y150=0),200000000000000000000,IFERROR(_xlfn.T.INV.2T(1 -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1.7398603279601377</v>
      </c>
      <c r="R150" s="5" cm="1">
        <f t="array" ref="R150">MIN(IF((DiscreteStatsTable[GroupByKey]=DiscreteStatsTable[[#This Row],[GroupByKey]]),(DiscreteStatsTable[GroupByKey]=DiscreteStatsTable[[#This Row],[GroupByKey]])*DiscreteStatsTable[Average]))</f>
        <v>9.0500003375588793</v>
      </c>
      <c r="S150" s="5" cm="1">
        <f t="array" ref="S150">MAX(IF((DiscreteStatsTable[GroupByKey]=DiscreteStatsTable[[#This Row],[GroupByKey]]),(DiscreteStatsTable[GroupByKey]=DiscreteStatsTable[[#This Row],[GroupByKey]])*DiscreteStatsTable[Average]))</f>
        <v>17.158211561399899</v>
      </c>
      <c r="T150" s="5" cm="1">
        <f t="array" ref="T150">MIN(IF((DiscreteStatsTable[GroupByKey]=DiscreteStatsTable[[#This Row],[GroupByKey]]),(DiscreteStatsTable[GroupByKey]=DiscreteStatsTable[[#This Row],[GroupByKey]])*DiscreteStatsTable[Minimum]))</f>
        <v>0</v>
      </c>
      <c r="U150" s="5" cm="1">
        <f t="array" ref="U150">MAX(IF((DiscreteStatsTable[GroupByKey]=DiscreteStatsTable[[#This Row],[GroupByKey]]),(DiscreteStatsTable[GroupByKey]=DiscreteStatsTable[[#This Row],[GroupByKey]])*DiscreteStatsTable[Maximum]))</f>
        <v>87.314133231163396</v>
      </c>
      <c r="V150" s="5" cm="1">
        <f t="array" ref="V150">IFERROR(AVERAGE(IF((DiscreteStatsTable[GroupByKey]=DiscreteStatsTable[[#This Row],[GroupByKey]]),(DiscreteStatsTable[GroupByKey]=DiscreteStatsTable[[#This Row],[GroupByKey]])*DiscreteStatsTable[NumberObservations])),0)</f>
        <v>165.9</v>
      </c>
      <c r="W150" s="5">
        <f>IF((DiscreteStatsTable[[#This Row],[RepsRequested]]&gt;1),DiscreteStatsTable[[#This Row],[HalfWidth]],DiscreteStatsTable[[#This Row],[BatchMeansHalfWidth]])</f>
        <v>1.7398603279601377</v>
      </c>
      <c r="X150" s="5" cm="1">
        <f t="array" ref="X150">COUNT(IF((DiscreteStatsTable[GroupByKey]=DiscreteStatsTable[[#This Row],[GroupByKey]]),(DiscreteStatsTable[GroupByKey]=DiscreteStatsTable[[#This Row],[GroupByKey]])*DiscreteStatsTable[Replication]))</f>
        <v>10</v>
      </c>
      <c r="Y150" s="5">
        <f>IF(DiscreteStatsTable[[#This Row],[RepsRequested]]=DiscreteStatsTable[[#This Row],[RepsWithStatObserved]],1,0)</f>
        <v>1</v>
      </c>
    </row>
    <row r="151" spans="1:25" x14ac:dyDescent="0.4">
      <c r="A151" t="s">
        <v>66</v>
      </c>
      <c r="B151" t="s">
        <v>69</v>
      </c>
      <c r="C151">
        <v>10</v>
      </c>
      <c r="D151" t="s">
        <v>88</v>
      </c>
      <c r="E151" t="s">
        <v>79</v>
      </c>
      <c r="F151" t="s">
        <v>80</v>
      </c>
      <c r="G151">
        <v>9.0500003375588793</v>
      </c>
      <c r="H151">
        <v>2E+20</v>
      </c>
      <c r="I151">
        <v>0</v>
      </c>
      <c r="J151">
        <v>58.093878766092601</v>
      </c>
      <c r="K151">
        <v>163</v>
      </c>
      <c r="L151" s="5" t="str">
        <f>DiscreteStatsTable[[#This Row],[ProjectName]]&amp;DiscreteStatsTable[[#This Row],[Name]]&amp;DiscreteStatsTable[[#This Row],[Type]]&amp;DiscreteStatsTable[[#This Row],[Source]]</f>
        <v>Unnamed ProjectM4.QWaiting TimeQueue</v>
      </c>
      <c r="M151" s="5" cm="1">
        <f t="array" ref="M151">MAX(IF((ProjectInfoTable[ProjectName]=DiscreteStatsTable[[#This Row],[ProjectName]]),(ProjectInfoTable[ProjectName]=DiscreteStatsTable[[#This Row],[ProjectName]])*ProjectInfoTable[NumberOfReplications]))</f>
        <v>10</v>
      </c>
      <c r="N151" s="5" cm="1">
        <f t="array" ref="N151">IFERROR(AVERAGE(IF((DiscreteStatsTable[GroupByKey]=DiscreteStatsTable[[#This Row],[GroupByKey]]),(DiscreteStatsTable[GroupByKey]=DiscreteStatsTable[[#This Row],[GroupByKey]])*DiscreteStatsTable[Average])),0)</f>
        <v>11.937035891377143</v>
      </c>
      <c r="O151" s="5" cm="1">
        <f t="array" ref="O151">IFERROR(_xlfn.STDEV.S(IF((DiscreteStatsTable[GroupByKey]=DiscreteStatsTable[[#This Row],[GroupByKey]]),(DiscreteStatsTable[GroupByKey]=DiscreteStatsTable[[#This Row],[GroupByKey]])*DiscreteStatsTable[Average])),0)</f>
        <v>2.4321570302020485</v>
      </c>
      <c r="P151" s="5" cm="1">
        <f t="array" ref="P151">MAX(IF((ProjectInfoTable[ProjectName]=DiscreteStatsTable[[#This Row],[ProjectName]]),(ProjectInfoTable[ProjectName]=DiscreteStatsTable[[#This Row],[ProjectName]])*ProjectInfoTable[ConfidenceInterval]))</f>
        <v>0.95</v>
      </c>
      <c r="Q151" s="5">
        <f>IF(AND(DiscreteStatsTable[[#This Row],[RepsWithStatObserved]]=1,Y151=0),200000000000000000000,IFERROR(_xlfn.T.INV.2T(1 -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1.7398603279601377</v>
      </c>
      <c r="R151" s="5" cm="1">
        <f t="array" ref="R151">MIN(IF((DiscreteStatsTable[GroupByKey]=DiscreteStatsTable[[#This Row],[GroupByKey]]),(DiscreteStatsTable[GroupByKey]=DiscreteStatsTable[[#This Row],[GroupByKey]])*DiscreteStatsTable[Average]))</f>
        <v>9.0500003375588793</v>
      </c>
      <c r="S151" s="5" cm="1">
        <f t="array" ref="S151">MAX(IF((DiscreteStatsTable[GroupByKey]=DiscreteStatsTable[[#This Row],[GroupByKey]]),(DiscreteStatsTable[GroupByKey]=DiscreteStatsTable[[#This Row],[GroupByKey]])*DiscreteStatsTable[Average]))</f>
        <v>17.158211561399899</v>
      </c>
      <c r="T151" s="5" cm="1">
        <f t="array" ref="T151">MIN(IF((DiscreteStatsTable[GroupByKey]=DiscreteStatsTable[[#This Row],[GroupByKey]]),(DiscreteStatsTable[GroupByKey]=DiscreteStatsTable[[#This Row],[GroupByKey]])*DiscreteStatsTable[Minimum]))</f>
        <v>0</v>
      </c>
      <c r="U151" s="5" cm="1">
        <f t="array" ref="U151">MAX(IF((DiscreteStatsTable[GroupByKey]=DiscreteStatsTable[[#This Row],[GroupByKey]]),(DiscreteStatsTable[GroupByKey]=DiscreteStatsTable[[#This Row],[GroupByKey]])*DiscreteStatsTable[Maximum]))</f>
        <v>87.314133231163396</v>
      </c>
      <c r="V151" s="5" cm="1">
        <f t="array" ref="V151">IFERROR(AVERAGE(IF((DiscreteStatsTable[GroupByKey]=DiscreteStatsTable[[#This Row],[GroupByKey]]),(DiscreteStatsTable[GroupByKey]=DiscreteStatsTable[[#This Row],[GroupByKey]])*DiscreteStatsTable[NumberObservations])),0)</f>
        <v>165.9</v>
      </c>
      <c r="W151" s="5">
        <f>IF((DiscreteStatsTable[[#This Row],[RepsRequested]]&gt;1),DiscreteStatsTable[[#This Row],[HalfWidth]],DiscreteStatsTable[[#This Row],[BatchMeansHalfWidth]])</f>
        <v>1.7398603279601377</v>
      </c>
      <c r="X151" s="5" cm="1">
        <f t="array" ref="X151">COUNT(IF((DiscreteStatsTable[GroupByKey]=DiscreteStatsTable[[#This Row],[GroupByKey]]),(DiscreteStatsTable[GroupByKey]=DiscreteStatsTable[[#This Row],[GroupByKey]])*DiscreteStatsTable[Replication]))</f>
        <v>10</v>
      </c>
      <c r="Y151" s="5">
        <f>IF(DiscreteStatsTable[[#This Row],[RepsRequested]]=DiscreteStatsTable[[#This Row],[RepsWithStatObserved]],1,0)</f>
        <v>1</v>
      </c>
    </row>
    <row r="152" spans="1:25" x14ac:dyDescent="0.4">
      <c r="A152" t="s">
        <v>66</v>
      </c>
      <c r="B152" t="s">
        <v>69</v>
      </c>
      <c r="C152">
        <v>1</v>
      </c>
      <c r="D152" t="s">
        <v>89</v>
      </c>
      <c r="E152" t="s">
        <v>79</v>
      </c>
      <c r="F152" t="s">
        <v>80</v>
      </c>
      <c r="G152">
        <v>0.419380117380589</v>
      </c>
      <c r="H152">
        <v>2E+20</v>
      </c>
      <c r="I152">
        <v>0</v>
      </c>
      <c r="J152">
        <v>8.8804936268033998</v>
      </c>
      <c r="K152">
        <v>214</v>
      </c>
      <c r="L152" s="5" t="str">
        <f>DiscreteStatsTable[[#This Row],[ProjectName]]&amp;DiscreteStatsTable[[#This Row],[Name]]&amp;DiscreteStatsTable[[#This Row],[Type]]&amp;DiscreteStatsTable[[#This Row],[Source]]</f>
        <v>Unnamed ProjectM5.QWaiting TimeQueue</v>
      </c>
      <c r="M152" s="5" cm="1">
        <f t="array" ref="M152">MAX(IF((ProjectInfoTable[ProjectName]=DiscreteStatsTable[[#This Row],[ProjectName]]),(ProjectInfoTable[ProjectName]=DiscreteStatsTable[[#This Row],[ProjectName]])*ProjectInfoTable[NumberOfReplications]))</f>
        <v>10</v>
      </c>
      <c r="N152" s="5" cm="1">
        <f t="array" ref="N152">IFERROR(AVERAGE(IF((DiscreteStatsTable[GroupByKey]=DiscreteStatsTable[[#This Row],[GroupByKey]]),(DiscreteStatsTable[GroupByKey]=DiscreteStatsTable[[#This Row],[GroupByKey]])*DiscreteStatsTable[Average])),0)</f>
        <v>0.39665689085332995</v>
      </c>
      <c r="O152" s="5" cm="1">
        <f t="array" ref="O152">IFERROR(_xlfn.STDEV.S(IF((DiscreteStatsTable[GroupByKey]=DiscreteStatsTable[[#This Row],[GroupByKey]]),(DiscreteStatsTable[GroupByKey]=DiscreteStatsTable[[#This Row],[GroupByKey]])*DiscreteStatsTable[Average])),0)</f>
        <v>0.21594799211186244</v>
      </c>
      <c r="P152" s="5" cm="1">
        <f t="array" ref="P152">MAX(IF((ProjectInfoTable[ProjectName]=DiscreteStatsTable[[#This Row],[ProjectName]]),(ProjectInfoTable[ProjectName]=DiscreteStatsTable[[#This Row],[ProjectName]])*ProjectInfoTable[ConfidenceInterval]))</f>
        <v>0.95</v>
      </c>
      <c r="Q152" s="5">
        <f>IF(AND(DiscreteStatsTable[[#This Row],[RepsWithStatObserved]]=1,Y152=0),200000000000000000000,IFERROR(_xlfn.T.INV.2T(1 -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0.1544798874877194</v>
      </c>
      <c r="R152" s="5" cm="1">
        <f t="array" ref="R152">MIN(IF((DiscreteStatsTable[GroupByKey]=DiscreteStatsTable[[#This Row],[GroupByKey]]),(DiscreteStatsTable[GroupByKey]=DiscreteStatsTable[[#This Row],[GroupByKey]])*DiscreteStatsTable[Average]))</f>
        <v>0.146064109372333</v>
      </c>
      <c r="S152" s="5" cm="1">
        <f t="array" ref="S152">MAX(IF((DiscreteStatsTable[GroupByKey]=DiscreteStatsTable[[#This Row],[GroupByKey]]),(DiscreteStatsTable[GroupByKey]=DiscreteStatsTable[[#This Row],[GroupByKey]])*DiscreteStatsTable[Average]))</f>
        <v>0.838540460893615</v>
      </c>
      <c r="T152" s="5" cm="1">
        <f t="array" ref="T152">MIN(IF((DiscreteStatsTable[GroupByKey]=DiscreteStatsTable[[#This Row],[GroupByKey]]),(DiscreteStatsTable[GroupByKey]=DiscreteStatsTable[[#This Row],[GroupByKey]])*DiscreteStatsTable[Minimum]))</f>
        <v>0</v>
      </c>
      <c r="U152" s="5" cm="1">
        <f t="array" ref="U152">MAX(IF((DiscreteStatsTable[GroupByKey]=DiscreteStatsTable[[#This Row],[GroupByKey]]),(DiscreteStatsTable[GroupByKey]=DiscreteStatsTable[[#This Row],[GroupByKey]])*DiscreteStatsTable[Maximum]))</f>
        <v>14.049023919221799</v>
      </c>
      <c r="V152" s="5" cm="1">
        <f t="array" ref="V152">IFERROR(AVERAGE(IF((DiscreteStatsTable[GroupByKey]=DiscreteStatsTable[[#This Row],[GroupByKey]]),(DiscreteStatsTable[GroupByKey]=DiscreteStatsTable[[#This Row],[GroupByKey]])*DiscreteStatsTable[NumberObservations])),0)</f>
        <v>220.6</v>
      </c>
      <c r="W152" s="5">
        <f>IF((DiscreteStatsTable[[#This Row],[RepsRequested]]&gt;1),DiscreteStatsTable[[#This Row],[HalfWidth]],DiscreteStatsTable[[#This Row],[BatchMeansHalfWidth]])</f>
        <v>0.1544798874877194</v>
      </c>
      <c r="X152" s="5" cm="1">
        <f t="array" ref="X152">COUNT(IF((DiscreteStatsTable[GroupByKey]=DiscreteStatsTable[[#This Row],[GroupByKey]]),(DiscreteStatsTable[GroupByKey]=DiscreteStatsTable[[#This Row],[GroupByKey]])*DiscreteStatsTable[Replication]))</f>
        <v>10</v>
      </c>
      <c r="Y152" s="5">
        <f>IF(DiscreteStatsTable[[#This Row],[RepsRequested]]=DiscreteStatsTable[[#This Row],[RepsWithStatObserved]],1,0)</f>
        <v>1</v>
      </c>
    </row>
    <row r="153" spans="1:25" x14ac:dyDescent="0.4">
      <c r="A153" t="s">
        <v>66</v>
      </c>
      <c r="B153" t="s">
        <v>69</v>
      </c>
      <c r="C153">
        <v>2</v>
      </c>
      <c r="D153" t="s">
        <v>89</v>
      </c>
      <c r="E153" t="s">
        <v>79</v>
      </c>
      <c r="F153" t="s">
        <v>80</v>
      </c>
      <c r="G153">
        <v>0.21130759348789199</v>
      </c>
      <c r="H153">
        <v>2E+20</v>
      </c>
      <c r="I153">
        <v>0</v>
      </c>
      <c r="J153">
        <v>8.0171696538602593</v>
      </c>
      <c r="K153">
        <v>224</v>
      </c>
      <c r="L153" s="5" t="str">
        <f>DiscreteStatsTable[[#This Row],[ProjectName]]&amp;DiscreteStatsTable[[#This Row],[Name]]&amp;DiscreteStatsTable[[#This Row],[Type]]&amp;DiscreteStatsTable[[#This Row],[Source]]</f>
        <v>Unnamed ProjectM5.QWaiting TimeQueue</v>
      </c>
      <c r="M153" s="5" cm="1">
        <f t="array" ref="M153">MAX(IF((ProjectInfoTable[ProjectName]=DiscreteStatsTable[[#This Row],[ProjectName]]),(ProjectInfoTable[ProjectName]=DiscreteStatsTable[[#This Row],[ProjectName]])*ProjectInfoTable[NumberOfReplications]))</f>
        <v>10</v>
      </c>
      <c r="N153" s="5" cm="1">
        <f t="array" ref="N153">IFERROR(AVERAGE(IF((DiscreteStatsTable[GroupByKey]=DiscreteStatsTable[[#This Row],[GroupByKey]]),(DiscreteStatsTable[GroupByKey]=DiscreteStatsTable[[#This Row],[GroupByKey]])*DiscreteStatsTable[Average])),0)</f>
        <v>0.39665689085332995</v>
      </c>
      <c r="O153" s="5" cm="1">
        <f t="array" ref="O153">IFERROR(_xlfn.STDEV.S(IF((DiscreteStatsTable[GroupByKey]=DiscreteStatsTable[[#This Row],[GroupByKey]]),(DiscreteStatsTable[GroupByKey]=DiscreteStatsTable[[#This Row],[GroupByKey]])*DiscreteStatsTable[Average])),0)</f>
        <v>0.21594799211186244</v>
      </c>
      <c r="P153" s="5" cm="1">
        <f t="array" ref="P153">MAX(IF((ProjectInfoTable[ProjectName]=DiscreteStatsTable[[#This Row],[ProjectName]]),(ProjectInfoTable[ProjectName]=DiscreteStatsTable[[#This Row],[ProjectName]])*ProjectInfoTable[ConfidenceInterval]))</f>
        <v>0.95</v>
      </c>
      <c r="Q153" s="5">
        <f>IF(AND(DiscreteStatsTable[[#This Row],[RepsWithStatObserved]]=1,Y153=0),200000000000000000000,IFERROR(_xlfn.T.INV.2T(1 -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0.1544798874877194</v>
      </c>
      <c r="R153" s="5" cm="1">
        <f t="array" ref="R153">MIN(IF((DiscreteStatsTable[GroupByKey]=DiscreteStatsTable[[#This Row],[GroupByKey]]),(DiscreteStatsTable[GroupByKey]=DiscreteStatsTable[[#This Row],[GroupByKey]])*DiscreteStatsTable[Average]))</f>
        <v>0.146064109372333</v>
      </c>
      <c r="S153" s="5" cm="1">
        <f t="array" ref="S153">MAX(IF((DiscreteStatsTable[GroupByKey]=DiscreteStatsTable[[#This Row],[GroupByKey]]),(DiscreteStatsTable[GroupByKey]=DiscreteStatsTable[[#This Row],[GroupByKey]])*DiscreteStatsTable[Average]))</f>
        <v>0.838540460893615</v>
      </c>
      <c r="T153" s="5" cm="1">
        <f t="array" ref="T153">MIN(IF((DiscreteStatsTable[GroupByKey]=DiscreteStatsTable[[#This Row],[GroupByKey]]),(DiscreteStatsTable[GroupByKey]=DiscreteStatsTable[[#This Row],[GroupByKey]])*DiscreteStatsTable[Minimum]))</f>
        <v>0</v>
      </c>
      <c r="U153" s="5" cm="1">
        <f t="array" ref="U153">MAX(IF((DiscreteStatsTable[GroupByKey]=DiscreteStatsTable[[#This Row],[GroupByKey]]),(DiscreteStatsTable[GroupByKey]=DiscreteStatsTable[[#This Row],[GroupByKey]])*DiscreteStatsTable[Maximum]))</f>
        <v>14.049023919221799</v>
      </c>
      <c r="V153" s="5" cm="1">
        <f t="array" ref="V153">IFERROR(AVERAGE(IF((DiscreteStatsTable[GroupByKey]=DiscreteStatsTable[[#This Row],[GroupByKey]]),(DiscreteStatsTable[GroupByKey]=DiscreteStatsTable[[#This Row],[GroupByKey]])*DiscreteStatsTable[NumberObservations])),0)</f>
        <v>220.6</v>
      </c>
      <c r="W153" s="5">
        <f>IF((DiscreteStatsTable[[#This Row],[RepsRequested]]&gt;1),DiscreteStatsTable[[#This Row],[HalfWidth]],DiscreteStatsTable[[#This Row],[BatchMeansHalfWidth]])</f>
        <v>0.1544798874877194</v>
      </c>
      <c r="X153" s="5" cm="1">
        <f t="array" ref="X153">COUNT(IF((DiscreteStatsTable[GroupByKey]=DiscreteStatsTable[[#This Row],[GroupByKey]]),(DiscreteStatsTable[GroupByKey]=DiscreteStatsTable[[#This Row],[GroupByKey]])*DiscreteStatsTable[Replication]))</f>
        <v>10</v>
      </c>
      <c r="Y153" s="5">
        <f>IF(DiscreteStatsTable[[#This Row],[RepsRequested]]=DiscreteStatsTable[[#This Row],[RepsWithStatObserved]],1,0)</f>
        <v>1</v>
      </c>
    </row>
    <row r="154" spans="1:25" x14ac:dyDescent="0.4">
      <c r="A154" t="s">
        <v>66</v>
      </c>
      <c r="B154" t="s">
        <v>69</v>
      </c>
      <c r="C154">
        <v>3</v>
      </c>
      <c r="D154" t="s">
        <v>89</v>
      </c>
      <c r="E154" t="s">
        <v>79</v>
      </c>
      <c r="F154" t="s">
        <v>80</v>
      </c>
      <c r="G154">
        <v>0.31467699775155</v>
      </c>
      <c r="H154">
        <v>2E+20</v>
      </c>
      <c r="I154">
        <v>0</v>
      </c>
      <c r="J154">
        <v>8.76967288761921</v>
      </c>
      <c r="K154">
        <v>236</v>
      </c>
      <c r="L154" s="5" t="str">
        <f>DiscreteStatsTable[[#This Row],[ProjectName]]&amp;DiscreteStatsTable[[#This Row],[Name]]&amp;DiscreteStatsTable[[#This Row],[Type]]&amp;DiscreteStatsTable[[#This Row],[Source]]</f>
        <v>Unnamed ProjectM5.QWaiting TimeQueue</v>
      </c>
      <c r="M154" s="5" cm="1">
        <f t="array" ref="M154">MAX(IF((ProjectInfoTable[ProjectName]=DiscreteStatsTable[[#This Row],[ProjectName]]),(ProjectInfoTable[ProjectName]=DiscreteStatsTable[[#This Row],[ProjectName]])*ProjectInfoTable[NumberOfReplications]))</f>
        <v>10</v>
      </c>
      <c r="N154" s="5" cm="1">
        <f t="array" ref="N154">IFERROR(AVERAGE(IF((DiscreteStatsTable[GroupByKey]=DiscreteStatsTable[[#This Row],[GroupByKey]]),(DiscreteStatsTable[GroupByKey]=DiscreteStatsTable[[#This Row],[GroupByKey]])*DiscreteStatsTable[Average])),0)</f>
        <v>0.39665689085332995</v>
      </c>
      <c r="O154" s="5" cm="1">
        <f t="array" ref="O154">IFERROR(_xlfn.STDEV.S(IF((DiscreteStatsTable[GroupByKey]=DiscreteStatsTable[[#This Row],[GroupByKey]]),(DiscreteStatsTable[GroupByKey]=DiscreteStatsTable[[#This Row],[GroupByKey]])*DiscreteStatsTable[Average])),0)</f>
        <v>0.21594799211186244</v>
      </c>
      <c r="P154" s="5" cm="1">
        <f t="array" ref="P154">MAX(IF((ProjectInfoTable[ProjectName]=DiscreteStatsTable[[#This Row],[ProjectName]]),(ProjectInfoTable[ProjectName]=DiscreteStatsTable[[#This Row],[ProjectName]])*ProjectInfoTable[ConfidenceInterval]))</f>
        <v>0.95</v>
      </c>
      <c r="Q154" s="5">
        <f>IF(AND(DiscreteStatsTable[[#This Row],[RepsWithStatObserved]]=1,Y154=0),200000000000000000000,IFERROR(_xlfn.T.INV.2T(1 -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0.1544798874877194</v>
      </c>
      <c r="R154" s="5" cm="1">
        <f t="array" ref="R154">MIN(IF((DiscreteStatsTable[GroupByKey]=DiscreteStatsTable[[#This Row],[GroupByKey]]),(DiscreteStatsTable[GroupByKey]=DiscreteStatsTable[[#This Row],[GroupByKey]])*DiscreteStatsTable[Average]))</f>
        <v>0.146064109372333</v>
      </c>
      <c r="S154" s="5" cm="1">
        <f t="array" ref="S154">MAX(IF((DiscreteStatsTable[GroupByKey]=DiscreteStatsTable[[#This Row],[GroupByKey]]),(DiscreteStatsTable[GroupByKey]=DiscreteStatsTable[[#This Row],[GroupByKey]])*DiscreteStatsTable[Average]))</f>
        <v>0.838540460893615</v>
      </c>
      <c r="T154" s="5" cm="1">
        <f t="array" ref="T154">MIN(IF((DiscreteStatsTable[GroupByKey]=DiscreteStatsTable[[#This Row],[GroupByKey]]),(DiscreteStatsTable[GroupByKey]=DiscreteStatsTable[[#This Row],[GroupByKey]])*DiscreteStatsTable[Minimum]))</f>
        <v>0</v>
      </c>
      <c r="U154" s="5" cm="1">
        <f t="array" ref="U154">MAX(IF((DiscreteStatsTable[GroupByKey]=DiscreteStatsTable[[#This Row],[GroupByKey]]),(DiscreteStatsTable[GroupByKey]=DiscreteStatsTable[[#This Row],[GroupByKey]])*DiscreteStatsTable[Maximum]))</f>
        <v>14.049023919221799</v>
      </c>
      <c r="V154" s="5" cm="1">
        <f t="array" ref="V154">IFERROR(AVERAGE(IF((DiscreteStatsTable[GroupByKey]=DiscreteStatsTable[[#This Row],[GroupByKey]]),(DiscreteStatsTable[GroupByKey]=DiscreteStatsTable[[#This Row],[GroupByKey]])*DiscreteStatsTable[NumberObservations])),0)</f>
        <v>220.6</v>
      </c>
      <c r="W154" s="5">
        <f>IF((DiscreteStatsTable[[#This Row],[RepsRequested]]&gt;1),DiscreteStatsTable[[#This Row],[HalfWidth]],DiscreteStatsTable[[#This Row],[BatchMeansHalfWidth]])</f>
        <v>0.1544798874877194</v>
      </c>
      <c r="X154" s="5" cm="1">
        <f t="array" ref="X154">COUNT(IF((DiscreteStatsTable[GroupByKey]=DiscreteStatsTable[[#This Row],[GroupByKey]]),(DiscreteStatsTable[GroupByKey]=DiscreteStatsTable[[#This Row],[GroupByKey]])*DiscreteStatsTable[Replication]))</f>
        <v>10</v>
      </c>
      <c r="Y154" s="5">
        <f>IF(DiscreteStatsTable[[#This Row],[RepsRequested]]=DiscreteStatsTable[[#This Row],[RepsWithStatObserved]],1,0)</f>
        <v>1</v>
      </c>
    </row>
    <row r="155" spans="1:25" x14ac:dyDescent="0.4">
      <c r="A155" t="s">
        <v>66</v>
      </c>
      <c r="B155" t="s">
        <v>69</v>
      </c>
      <c r="C155">
        <v>4</v>
      </c>
      <c r="D155" t="s">
        <v>89</v>
      </c>
      <c r="E155" t="s">
        <v>79</v>
      </c>
      <c r="F155" t="s">
        <v>80</v>
      </c>
      <c r="G155">
        <v>0.62362651290496596</v>
      </c>
      <c r="H155">
        <v>2E+20</v>
      </c>
      <c r="I155">
        <v>0</v>
      </c>
      <c r="J155">
        <v>14.049023919221799</v>
      </c>
      <c r="K155">
        <v>238</v>
      </c>
      <c r="L155" s="5" t="str">
        <f>DiscreteStatsTable[[#This Row],[ProjectName]]&amp;DiscreteStatsTable[[#This Row],[Name]]&amp;DiscreteStatsTable[[#This Row],[Type]]&amp;DiscreteStatsTable[[#This Row],[Source]]</f>
        <v>Unnamed ProjectM5.QWaiting TimeQueue</v>
      </c>
      <c r="M155" s="5" cm="1">
        <f t="array" ref="M155">MAX(IF((ProjectInfoTable[ProjectName]=DiscreteStatsTable[[#This Row],[ProjectName]]),(ProjectInfoTable[ProjectName]=DiscreteStatsTable[[#This Row],[ProjectName]])*ProjectInfoTable[NumberOfReplications]))</f>
        <v>10</v>
      </c>
      <c r="N155" s="5" cm="1">
        <f t="array" ref="N155">IFERROR(AVERAGE(IF((DiscreteStatsTable[GroupByKey]=DiscreteStatsTable[[#This Row],[GroupByKey]]),(DiscreteStatsTable[GroupByKey]=DiscreteStatsTable[[#This Row],[GroupByKey]])*DiscreteStatsTable[Average])),0)</f>
        <v>0.39665689085332995</v>
      </c>
      <c r="O155" s="5" cm="1">
        <f t="array" ref="O155">IFERROR(_xlfn.STDEV.S(IF((DiscreteStatsTable[GroupByKey]=DiscreteStatsTable[[#This Row],[GroupByKey]]),(DiscreteStatsTable[GroupByKey]=DiscreteStatsTable[[#This Row],[GroupByKey]])*DiscreteStatsTable[Average])),0)</f>
        <v>0.21594799211186244</v>
      </c>
      <c r="P155" s="5" cm="1">
        <f t="array" ref="P155">MAX(IF((ProjectInfoTable[ProjectName]=DiscreteStatsTable[[#This Row],[ProjectName]]),(ProjectInfoTable[ProjectName]=DiscreteStatsTable[[#This Row],[ProjectName]])*ProjectInfoTable[ConfidenceInterval]))</f>
        <v>0.95</v>
      </c>
      <c r="Q155" s="5">
        <f>IF(AND(DiscreteStatsTable[[#This Row],[RepsWithStatObserved]]=1,Y155=0),200000000000000000000,IFERROR(_xlfn.T.INV.2T(1 -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0.1544798874877194</v>
      </c>
      <c r="R155" s="5" cm="1">
        <f t="array" ref="R155">MIN(IF((DiscreteStatsTable[GroupByKey]=DiscreteStatsTable[[#This Row],[GroupByKey]]),(DiscreteStatsTable[GroupByKey]=DiscreteStatsTable[[#This Row],[GroupByKey]])*DiscreteStatsTable[Average]))</f>
        <v>0.146064109372333</v>
      </c>
      <c r="S155" s="5" cm="1">
        <f t="array" ref="S155">MAX(IF((DiscreteStatsTable[GroupByKey]=DiscreteStatsTable[[#This Row],[GroupByKey]]),(DiscreteStatsTable[GroupByKey]=DiscreteStatsTable[[#This Row],[GroupByKey]])*DiscreteStatsTable[Average]))</f>
        <v>0.838540460893615</v>
      </c>
      <c r="T155" s="5" cm="1">
        <f t="array" ref="T155">MIN(IF((DiscreteStatsTable[GroupByKey]=DiscreteStatsTable[[#This Row],[GroupByKey]]),(DiscreteStatsTable[GroupByKey]=DiscreteStatsTable[[#This Row],[GroupByKey]])*DiscreteStatsTable[Minimum]))</f>
        <v>0</v>
      </c>
      <c r="U155" s="5" cm="1">
        <f t="array" ref="U155">MAX(IF((DiscreteStatsTable[GroupByKey]=DiscreteStatsTable[[#This Row],[GroupByKey]]),(DiscreteStatsTable[GroupByKey]=DiscreteStatsTable[[#This Row],[GroupByKey]])*DiscreteStatsTable[Maximum]))</f>
        <v>14.049023919221799</v>
      </c>
      <c r="V155" s="5" cm="1">
        <f t="array" ref="V155">IFERROR(AVERAGE(IF((DiscreteStatsTable[GroupByKey]=DiscreteStatsTable[[#This Row],[GroupByKey]]),(DiscreteStatsTable[GroupByKey]=DiscreteStatsTable[[#This Row],[GroupByKey]])*DiscreteStatsTable[NumberObservations])),0)</f>
        <v>220.6</v>
      </c>
      <c r="W155" s="5">
        <f>IF((DiscreteStatsTable[[#This Row],[RepsRequested]]&gt;1),DiscreteStatsTable[[#This Row],[HalfWidth]],DiscreteStatsTable[[#This Row],[BatchMeansHalfWidth]])</f>
        <v>0.1544798874877194</v>
      </c>
      <c r="X155" s="5" cm="1">
        <f t="array" ref="X155">COUNT(IF((DiscreteStatsTable[GroupByKey]=DiscreteStatsTable[[#This Row],[GroupByKey]]),(DiscreteStatsTable[GroupByKey]=DiscreteStatsTable[[#This Row],[GroupByKey]])*DiscreteStatsTable[Replication]))</f>
        <v>10</v>
      </c>
      <c r="Y155" s="5">
        <f>IF(DiscreteStatsTable[[#This Row],[RepsRequested]]=DiscreteStatsTable[[#This Row],[RepsWithStatObserved]],1,0)</f>
        <v>1</v>
      </c>
    </row>
    <row r="156" spans="1:25" x14ac:dyDescent="0.4">
      <c r="A156" t="s">
        <v>66</v>
      </c>
      <c r="B156" t="s">
        <v>69</v>
      </c>
      <c r="C156">
        <v>5</v>
      </c>
      <c r="D156" t="s">
        <v>89</v>
      </c>
      <c r="E156" t="s">
        <v>79</v>
      </c>
      <c r="F156" t="s">
        <v>80</v>
      </c>
      <c r="G156">
        <v>0.52127103429143695</v>
      </c>
      <c r="H156">
        <v>2E+20</v>
      </c>
      <c r="I156">
        <v>0</v>
      </c>
      <c r="J156">
        <v>12.779912104772601</v>
      </c>
      <c r="K156">
        <v>191</v>
      </c>
      <c r="L156" s="5" t="str">
        <f>DiscreteStatsTable[[#This Row],[ProjectName]]&amp;DiscreteStatsTable[[#This Row],[Name]]&amp;DiscreteStatsTable[[#This Row],[Type]]&amp;DiscreteStatsTable[[#This Row],[Source]]</f>
        <v>Unnamed ProjectM5.QWaiting TimeQueue</v>
      </c>
      <c r="M156" s="5" cm="1">
        <f t="array" ref="M156">MAX(IF((ProjectInfoTable[ProjectName]=DiscreteStatsTable[[#This Row],[ProjectName]]),(ProjectInfoTable[ProjectName]=DiscreteStatsTable[[#This Row],[ProjectName]])*ProjectInfoTable[NumberOfReplications]))</f>
        <v>10</v>
      </c>
      <c r="N156" s="5" cm="1">
        <f t="array" ref="N156">IFERROR(AVERAGE(IF((DiscreteStatsTable[GroupByKey]=DiscreteStatsTable[[#This Row],[GroupByKey]]),(DiscreteStatsTable[GroupByKey]=DiscreteStatsTable[[#This Row],[GroupByKey]])*DiscreteStatsTable[Average])),0)</f>
        <v>0.39665689085332995</v>
      </c>
      <c r="O156" s="5" cm="1">
        <f t="array" ref="O156">IFERROR(_xlfn.STDEV.S(IF((DiscreteStatsTable[GroupByKey]=DiscreteStatsTable[[#This Row],[GroupByKey]]),(DiscreteStatsTable[GroupByKey]=DiscreteStatsTable[[#This Row],[GroupByKey]])*DiscreteStatsTable[Average])),0)</f>
        <v>0.21594799211186244</v>
      </c>
      <c r="P156" s="5" cm="1">
        <f t="array" ref="P156">MAX(IF((ProjectInfoTable[ProjectName]=DiscreteStatsTable[[#This Row],[ProjectName]]),(ProjectInfoTable[ProjectName]=DiscreteStatsTable[[#This Row],[ProjectName]])*ProjectInfoTable[ConfidenceInterval]))</f>
        <v>0.95</v>
      </c>
      <c r="Q156" s="5">
        <f>IF(AND(DiscreteStatsTable[[#This Row],[RepsWithStatObserved]]=1,Y156=0),200000000000000000000,IFERROR(_xlfn.T.INV.2T(1 -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0.1544798874877194</v>
      </c>
      <c r="R156" s="5" cm="1">
        <f t="array" ref="R156">MIN(IF((DiscreteStatsTable[GroupByKey]=DiscreteStatsTable[[#This Row],[GroupByKey]]),(DiscreteStatsTable[GroupByKey]=DiscreteStatsTable[[#This Row],[GroupByKey]])*DiscreteStatsTable[Average]))</f>
        <v>0.146064109372333</v>
      </c>
      <c r="S156" s="5" cm="1">
        <f t="array" ref="S156">MAX(IF((DiscreteStatsTable[GroupByKey]=DiscreteStatsTable[[#This Row],[GroupByKey]]),(DiscreteStatsTable[GroupByKey]=DiscreteStatsTable[[#This Row],[GroupByKey]])*DiscreteStatsTable[Average]))</f>
        <v>0.838540460893615</v>
      </c>
      <c r="T156" s="5" cm="1">
        <f t="array" ref="T156">MIN(IF((DiscreteStatsTable[GroupByKey]=DiscreteStatsTable[[#This Row],[GroupByKey]]),(DiscreteStatsTable[GroupByKey]=DiscreteStatsTable[[#This Row],[GroupByKey]])*DiscreteStatsTable[Minimum]))</f>
        <v>0</v>
      </c>
      <c r="U156" s="5" cm="1">
        <f t="array" ref="U156">MAX(IF((DiscreteStatsTable[GroupByKey]=DiscreteStatsTable[[#This Row],[GroupByKey]]),(DiscreteStatsTable[GroupByKey]=DiscreteStatsTable[[#This Row],[GroupByKey]])*DiscreteStatsTable[Maximum]))</f>
        <v>14.049023919221799</v>
      </c>
      <c r="V156" s="5" cm="1">
        <f t="array" ref="V156">IFERROR(AVERAGE(IF((DiscreteStatsTable[GroupByKey]=DiscreteStatsTable[[#This Row],[GroupByKey]]),(DiscreteStatsTable[GroupByKey]=DiscreteStatsTable[[#This Row],[GroupByKey]])*DiscreteStatsTable[NumberObservations])),0)</f>
        <v>220.6</v>
      </c>
      <c r="W156" s="5">
        <f>IF((DiscreteStatsTable[[#This Row],[RepsRequested]]&gt;1),DiscreteStatsTable[[#This Row],[HalfWidth]],DiscreteStatsTable[[#This Row],[BatchMeansHalfWidth]])</f>
        <v>0.1544798874877194</v>
      </c>
      <c r="X156" s="5" cm="1">
        <f t="array" ref="X156">COUNT(IF((DiscreteStatsTable[GroupByKey]=DiscreteStatsTable[[#This Row],[GroupByKey]]),(DiscreteStatsTable[GroupByKey]=DiscreteStatsTable[[#This Row],[GroupByKey]])*DiscreteStatsTable[Replication]))</f>
        <v>10</v>
      </c>
      <c r="Y156" s="5">
        <f>IF(DiscreteStatsTable[[#This Row],[RepsRequested]]=DiscreteStatsTable[[#This Row],[RepsWithStatObserved]],1,0)</f>
        <v>1</v>
      </c>
    </row>
    <row r="157" spans="1:25" x14ac:dyDescent="0.4">
      <c r="A157" t="s">
        <v>66</v>
      </c>
      <c r="B157" t="s">
        <v>69</v>
      </c>
      <c r="C157">
        <v>6</v>
      </c>
      <c r="D157" t="s">
        <v>89</v>
      </c>
      <c r="E157" t="s">
        <v>79</v>
      </c>
      <c r="F157" t="s">
        <v>80</v>
      </c>
      <c r="G157">
        <v>0.146064109372333</v>
      </c>
      <c r="H157">
        <v>2E+20</v>
      </c>
      <c r="I157">
        <v>0</v>
      </c>
      <c r="J157">
        <v>6.1246058290521397</v>
      </c>
      <c r="K157">
        <v>235</v>
      </c>
      <c r="L157" s="5" t="str">
        <f>DiscreteStatsTable[[#This Row],[ProjectName]]&amp;DiscreteStatsTable[[#This Row],[Name]]&amp;DiscreteStatsTable[[#This Row],[Type]]&amp;DiscreteStatsTable[[#This Row],[Source]]</f>
        <v>Unnamed ProjectM5.QWaiting TimeQueue</v>
      </c>
      <c r="M157" s="5" cm="1">
        <f t="array" ref="M157">MAX(IF((ProjectInfoTable[ProjectName]=DiscreteStatsTable[[#This Row],[ProjectName]]),(ProjectInfoTable[ProjectName]=DiscreteStatsTable[[#This Row],[ProjectName]])*ProjectInfoTable[NumberOfReplications]))</f>
        <v>10</v>
      </c>
      <c r="N157" s="5" cm="1">
        <f t="array" ref="N157">IFERROR(AVERAGE(IF((DiscreteStatsTable[GroupByKey]=DiscreteStatsTable[[#This Row],[GroupByKey]]),(DiscreteStatsTable[GroupByKey]=DiscreteStatsTable[[#This Row],[GroupByKey]])*DiscreteStatsTable[Average])),0)</f>
        <v>0.39665689085332995</v>
      </c>
      <c r="O157" s="5" cm="1">
        <f t="array" ref="O157">IFERROR(_xlfn.STDEV.S(IF((DiscreteStatsTable[GroupByKey]=DiscreteStatsTable[[#This Row],[GroupByKey]]),(DiscreteStatsTable[GroupByKey]=DiscreteStatsTable[[#This Row],[GroupByKey]])*DiscreteStatsTable[Average])),0)</f>
        <v>0.21594799211186244</v>
      </c>
      <c r="P157" s="5" cm="1">
        <f t="array" ref="P157">MAX(IF((ProjectInfoTable[ProjectName]=DiscreteStatsTable[[#This Row],[ProjectName]]),(ProjectInfoTable[ProjectName]=DiscreteStatsTable[[#This Row],[ProjectName]])*ProjectInfoTable[ConfidenceInterval]))</f>
        <v>0.95</v>
      </c>
      <c r="Q157" s="5">
        <f>IF(AND(DiscreteStatsTable[[#This Row],[RepsWithStatObserved]]=1,Y157=0),200000000000000000000,IFERROR(_xlfn.T.INV.2T(1 -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0.1544798874877194</v>
      </c>
      <c r="R157" s="5" cm="1">
        <f t="array" ref="R157">MIN(IF((DiscreteStatsTable[GroupByKey]=DiscreteStatsTable[[#This Row],[GroupByKey]]),(DiscreteStatsTable[GroupByKey]=DiscreteStatsTable[[#This Row],[GroupByKey]])*DiscreteStatsTable[Average]))</f>
        <v>0.146064109372333</v>
      </c>
      <c r="S157" s="5" cm="1">
        <f t="array" ref="S157">MAX(IF((DiscreteStatsTable[GroupByKey]=DiscreteStatsTable[[#This Row],[GroupByKey]]),(DiscreteStatsTable[GroupByKey]=DiscreteStatsTable[[#This Row],[GroupByKey]])*DiscreteStatsTable[Average]))</f>
        <v>0.838540460893615</v>
      </c>
      <c r="T157" s="5" cm="1">
        <f t="array" ref="T157">MIN(IF((DiscreteStatsTable[GroupByKey]=DiscreteStatsTable[[#This Row],[GroupByKey]]),(DiscreteStatsTable[GroupByKey]=DiscreteStatsTable[[#This Row],[GroupByKey]])*DiscreteStatsTable[Minimum]))</f>
        <v>0</v>
      </c>
      <c r="U157" s="5" cm="1">
        <f t="array" ref="U157">MAX(IF((DiscreteStatsTable[GroupByKey]=DiscreteStatsTable[[#This Row],[GroupByKey]]),(DiscreteStatsTable[GroupByKey]=DiscreteStatsTable[[#This Row],[GroupByKey]])*DiscreteStatsTable[Maximum]))</f>
        <v>14.049023919221799</v>
      </c>
      <c r="V157" s="5" cm="1">
        <f t="array" ref="V157">IFERROR(AVERAGE(IF((DiscreteStatsTable[GroupByKey]=DiscreteStatsTable[[#This Row],[GroupByKey]]),(DiscreteStatsTable[GroupByKey]=DiscreteStatsTable[[#This Row],[GroupByKey]])*DiscreteStatsTable[NumberObservations])),0)</f>
        <v>220.6</v>
      </c>
      <c r="W157" s="5">
        <f>IF((DiscreteStatsTable[[#This Row],[RepsRequested]]&gt;1),DiscreteStatsTable[[#This Row],[HalfWidth]],DiscreteStatsTable[[#This Row],[BatchMeansHalfWidth]])</f>
        <v>0.1544798874877194</v>
      </c>
      <c r="X157" s="5" cm="1">
        <f t="array" ref="X157">COUNT(IF((DiscreteStatsTable[GroupByKey]=DiscreteStatsTable[[#This Row],[GroupByKey]]),(DiscreteStatsTable[GroupByKey]=DiscreteStatsTable[[#This Row],[GroupByKey]])*DiscreteStatsTable[Replication]))</f>
        <v>10</v>
      </c>
      <c r="Y157" s="5">
        <f>IF(DiscreteStatsTable[[#This Row],[RepsRequested]]=DiscreteStatsTable[[#This Row],[RepsWithStatObserved]],1,0)</f>
        <v>1</v>
      </c>
    </row>
    <row r="158" spans="1:25" x14ac:dyDescent="0.4">
      <c r="A158" t="s">
        <v>66</v>
      </c>
      <c r="B158" t="s">
        <v>69</v>
      </c>
      <c r="C158">
        <v>7</v>
      </c>
      <c r="D158" t="s">
        <v>89</v>
      </c>
      <c r="E158" t="s">
        <v>79</v>
      </c>
      <c r="F158" t="s">
        <v>80</v>
      </c>
      <c r="G158">
        <v>0.41667314141894501</v>
      </c>
      <c r="H158">
        <v>2E+20</v>
      </c>
      <c r="I158">
        <v>0</v>
      </c>
      <c r="J158">
        <v>8.7517026626762799</v>
      </c>
      <c r="K158">
        <v>203</v>
      </c>
      <c r="L158" s="5" t="str">
        <f>DiscreteStatsTable[[#This Row],[ProjectName]]&amp;DiscreteStatsTable[[#This Row],[Name]]&amp;DiscreteStatsTable[[#This Row],[Type]]&amp;DiscreteStatsTable[[#This Row],[Source]]</f>
        <v>Unnamed ProjectM5.QWaiting TimeQueue</v>
      </c>
      <c r="M158" s="5" cm="1">
        <f t="array" ref="M158">MAX(IF((ProjectInfoTable[ProjectName]=DiscreteStatsTable[[#This Row],[ProjectName]]),(ProjectInfoTable[ProjectName]=DiscreteStatsTable[[#This Row],[ProjectName]])*ProjectInfoTable[NumberOfReplications]))</f>
        <v>10</v>
      </c>
      <c r="N158" s="5" cm="1">
        <f t="array" ref="N158">IFERROR(AVERAGE(IF((DiscreteStatsTable[GroupByKey]=DiscreteStatsTable[[#This Row],[GroupByKey]]),(DiscreteStatsTable[GroupByKey]=DiscreteStatsTable[[#This Row],[GroupByKey]])*DiscreteStatsTable[Average])),0)</f>
        <v>0.39665689085332995</v>
      </c>
      <c r="O158" s="5" cm="1">
        <f t="array" ref="O158">IFERROR(_xlfn.STDEV.S(IF((DiscreteStatsTable[GroupByKey]=DiscreteStatsTable[[#This Row],[GroupByKey]]),(DiscreteStatsTable[GroupByKey]=DiscreteStatsTable[[#This Row],[GroupByKey]])*DiscreteStatsTable[Average])),0)</f>
        <v>0.21594799211186244</v>
      </c>
      <c r="P158" s="5" cm="1">
        <f t="array" ref="P158">MAX(IF((ProjectInfoTable[ProjectName]=DiscreteStatsTable[[#This Row],[ProjectName]]),(ProjectInfoTable[ProjectName]=DiscreteStatsTable[[#This Row],[ProjectName]])*ProjectInfoTable[ConfidenceInterval]))</f>
        <v>0.95</v>
      </c>
      <c r="Q158" s="5">
        <f>IF(AND(DiscreteStatsTable[[#This Row],[RepsWithStatObserved]]=1,Y158=0),200000000000000000000,IFERROR(_xlfn.T.INV.2T(1 -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0.1544798874877194</v>
      </c>
      <c r="R158" s="5" cm="1">
        <f t="array" ref="R158">MIN(IF((DiscreteStatsTable[GroupByKey]=DiscreteStatsTable[[#This Row],[GroupByKey]]),(DiscreteStatsTable[GroupByKey]=DiscreteStatsTable[[#This Row],[GroupByKey]])*DiscreteStatsTable[Average]))</f>
        <v>0.146064109372333</v>
      </c>
      <c r="S158" s="5" cm="1">
        <f t="array" ref="S158">MAX(IF((DiscreteStatsTable[GroupByKey]=DiscreteStatsTable[[#This Row],[GroupByKey]]),(DiscreteStatsTable[GroupByKey]=DiscreteStatsTable[[#This Row],[GroupByKey]])*DiscreteStatsTable[Average]))</f>
        <v>0.838540460893615</v>
      </c>
      <c r="T158" s="5" cm="1">
        <f t="array" ref="T158">MIN(IF((DiscreteStatsTable[GroupByKey]=DiscreteStatsTable[[#This Row],[GroupByKey]]),(DiscreteStatsTable[GroupByKey]=DiscreteStatsTable[[#This Row],[GroupByKey]])*DiscreteStatsTable[Minimum]))</f>
        <v>0</v>
      </c>
      <c r="U158" s="5" cm="1">
        <f t="array" ref="U158">MAX(IF((DiscreteStatsTable[GroupByKey]=DiscreteStatsTable[[#This Row],[GroupByKey]]),(DiscreteStatsTable[GroupByKey]=DiscreteStatsTable[[#This Row],[GroupByKey]])*DiscreteStatsTable[Maximum]))</f>
        <v>14.049023919221799</v>
      </c>
      <c r="V158" s="5" cm="1">
        <f t="array" ref="V158">IFERROR(AVERAGE(IF((DiscreteStatsTable[GroupByKey]=DiscreteStatsTable[[#This Row],[GroupByKey]]),(DiscreteStatsTable[GroupByKey]=DiscreteStatsTable[[#This Row],[GroupByKey]])*DiscreteStatsTable[NumberObservations])),0)</f>
        <v>220.6</v>
      </c>
      <c r="W158" s="5">
        <f>IF((DiscreteStatsTable[[#This Row],[RepsRequested]]&gt;1),DiscreteStatsTable[[#This Row],[HalfWidth]],DiscreteStatsTable[[#This Row],[BatchMeansHalfWidth]])</f>
        <v>0.1544798874877194</v>
      </c>
      <c r="X158" s="5" cm="1">
        <f t="array" ref="X158">COUNT(IF((DiscreteStatsTable[GroupByKey]=DiscreteStatsTable[[#This Row],[GroupByKey]]),(DiscreteStatsTable[GroupByKey]=DiscreteStatsTable[[#This Row],[GroupByKey]])*DiscreteStatsTable[Replication]))</f>
        <v>10</v>
      </c>
      <c r="Y158" s="5">
        <f>IF(DiscreteStatsTable[[#This Row],[RepsRequested]]=DiscreteStatsTable[[#This Row],[RepsWithStatObserved]],1,0)</f>
        <v>1</v>
      </c>
    </row>
    <row r="159" spans="1:25" x14ac:dyDescent="0.4">
      <c r="A159" t="s">
        <v>66</v>
      </c>
      <c r="B159" t="s">
        <v>69</v>
      </c>
      <c r="C159">
        <v>8</v>
      </c>
      <c r="D159" t="s">
        <v>89</v>
      </c>
      <c r="E159" t="s">
        <v>79</v>
      </c>
      <c r="F159" t="s">
        <v>80</v>
      </c>
      <c r="G159">
        <v>0.838540460893615</v>
      </c>
      <c r="H159">
        <v>2E+20</v>
      </c>
      <c r="I159">
        <v>0</v>
      </c>
      <c r="J159">
        <v>9.9866348012235999</v>
      </c>
      <c r="K159">
        <v>232</v>
      </c>
      <c r="L159" s="5" t="str">
        <f>DiscreteStatsTable[[#This Row],[ProjectName]]&amp;DiscreteStatsTable[[#This Row],[Name]]&amp;DiscreteStatsTable[[#This Row],[Type]]&amp;DiscreteStatsTable[[#This Row],[Source]]</f>
        <v>Unnamed ProjectM5.QWaiting TimeQueue</v>
      </c>
      <c r="M159" s="5" cm="1">
        <f t="array" ref="M159">MAX(IF((ProjectInfoTable[ProjectName]=DiscreteStatsTable[[#This Row],[ProjectName]]),(ProjectInfoTable[ProjectName]=DiscreteStatsTable[[#This Row],[ProjectName]])*ProjectInfoTable[NumberOfReplications]))</f>
        <v>10</v>
      </c>
      <c r="N159" s="5" cm="1">
        <f t="array" ref="N159">IFERROR(AVERAGE(IF((DiscreteStatsTable[GroupByKey]=DiscreteStatsTable[[#This Row],[GroupByKey]]),(DiscreteStatsTable[GroupByKey]=DiscreteStatsTable[[#This Row],[GroupByKey]])*DiscreteStatsTable[Average])),0)</f>
        <v>0.39665689085332995</v>
      </c>
      <c r="O159" s="5" cm="1">
        <f t="array" ref="O159">IFERROR(_xlfn.STDEV.S(IF((DiscreteStatsTable[GroupByKey]=DiscreteStatsTable[[#This Row],[GroupByKey]]),(DiscreteStatsTable[GroupByKey]=DiscreteStatsTable[[#This Row],[GroupByKey]])*DiscreteStatsTable[Average])),0)</f>
        <v>0.21594799211186244</v>
      </c>
      <c r="P159" s="5" cm="1">
        <f t="array" ref="P159">MAX(IF((ProjectInfoTable[ProjectName]=DiscreteStatsTable[[#This Row],[ProjectName]]),(ProjectInfoTable[ProjectName]=DiscreteStatsTable[[#This Row],[ProjectName]])*ProjectInfoTable[ConfidenceInterval]))</f>
        <v>0.95</v>
      </c>
      <c r="Q159" s="5">
        <f>IF(AND(DiscreteStatsTable[[#This Row],[RepsWithStatObserved]]=1,Y159=0),200000000000000000000,IFERROR(_xlfn.T.INV.2T(1 -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0.1544798874877194</v>
      </c>
      <c r="R159" s="5" cm="1">
        <f t="array" ref="R159">MIN(IF((DiscreteStatsTable[GroupByKey]=DiscreteStatsTable[[#This Row],[GroupByKey]]),(DiscreteStatsTable[GroupByKey]=DiscreteStatsTable[[#This Row],[GroupByKey]])*DiscreteStatsTable[Average]))</f>
        <v>0.146064109372333</v>
      </c>
      <c r="S159" s="5" cm="1">
        <f t="array" ref="S159">MAX(IF((DiscreteStatsTable[GroupByKey]=DiscreteStatsTable[[#This Row],[GroupByKey]]),(DiscreteStatsTable[GroupByKey]=DiscreteStatsTable[[#This Row],[GroupByKey]])*DiscreteStatsTable[Average]))</f>
        <v>0.838540460893615</v>
      </c>
      <c r="T159" s="5" cm="1">
        <f t="array" ref="T159">MIN(IF((DiscreteStatsTable[GroupByKey]=DiscreteStatsTable[[#This Row],[GroupByKey]]),(DiscreteStatsTable[GroupByKey]=DiscreteStatsTable[[#This Row],[GroupByKey]])*DiscreteStatsTable[Minimum]))</f>
        <v>0</v>
      </c>
      <c r="U159" s="5" cm="1">
        <f t="array" ref="U159">MAX(IF((DiscreteStatsTable[GroupByKey]=DiscreteStatsTable[[#This Row],[GroupByKey]]),(DiscreteStatsTable[GroupByKey]=DiscreteStatsTable[[#This Row],[GroupByKey]])*DiscreteStatsTable[Maximum]))</f>
        <v>14.049023919221799</v>
      </c>
      <c r="V159" s="5" cm="1">
        <f t="array" ref="V159">IFERROR(AVERAGE(IF((DiscreteStatsTable[GroupByKey]=DiscreteStatsTable[[#This Row],[GroupByKey]]),(DiscreteStatsTable[GroupByKey]=DiscreteStatsTable[[#This Row],[GroupByKey]])*DiscreteStatsTable[NumberObservations])),0)</f>
        <v>220.6</v>
      </c>
      <c r="W159" s="5">
        <f>IF((DiscreteStatsTable[[#This Row],[RepsRequested]]&gt;1),DiscreteStatsTable[[#This Row],[HalfWidth]],DiscreteStatsTable[[#This Row],[BatchMeansHalfWidth]])</f>
        <v>0.1544798874877194</v>
      </c>
      <c r="X159" s="5" cm="1">
        <f t="array" ref="X159">COUNT(IF((DiscreteStatsTable[GroupByKey]=DiscreteStatsTable[[#This Row],[GroupByKey]]),(DiscreteStatsTable[GroupByKey]=DiscreteStatsTable[[#This Row],[GroupByKey]])*DiscreteStatsTable[Replication]))</f>
        <v>10</v>
      </c>
      <c r="Y159" s="5">
        <f>IF(DiscreteStatsTable[[#This Row],[RepsRequested]]=DiscreteStatsTable[[#This Row],[RepsWithStatObserved]],1,0)</f>
        <v>1</v>
      </c>
    </row>
    <row r="160" spans="1:25" x14ac:dyDescent="0.4">
      <c r="A160" t="s">
        <v>66</v>
      </c>
      <c r="B160" t="s">
        <v>69</v>
      </c>
      <c r="C160">
        <v>9</v>
      </c>
      <c r="D160" t="s">
        <v>89</v>
      </c>
      <c r="E160" t="s">
        <v>79</v>
      </c>
      <c r="F160" t="s">
        <v>80</v>
      </c>
      <c r="G160">
        <v>0.26878276015811498</v>
      </c>
      <c r="H160">
        <v>2E+20</v>
      </c>
      <c r="I160">
        <v>0</v>
      </c>
      <c r="J160">
        <v>10.2656368335136</v>
      </c>
      <c r="K160">
        <v>223</v>
      </c>
      <c r="L160" s="5" t="str">
        <f>DiscreteStatsTable[[#This Row],[ProjectName]]&amp;DiscreteStatsTable[[#This Row],[Name]]&amp;DiscreteStatsTable[[#This Row],[Type]]&amp;DiscreteStatsTable[[#This Row],[Source]]</f>
        <v>Unnamed ProjectM5.QWaiting TimeQueue</v>
      </c>
      <c r="M160" s="5" cm="1">
        <f t="array" ref="M160">MAX(IF((ProjectInfoTable[ProjectName]=DiscreteStatsTable[[#This Row],[ProjectName]]),(ProjectInfoTable[ProjectName]=DiscreteStatsTable[[#This Row],[ProjectName]])*ProjectInfoTable[NumberOfReplications]))</f>
        <v>10</v>
      </c>
      <c r="N160" s="5" cm="1">
        <f t="array" ref="N160">IFERROR(AVERAGE(IF((DiscreteStatsTable[GroupByKey]=DiscreteStatsTable[[#This Row],[GroupByKey]]),(DiscreteStatsTable[GroupByKey]=DiscreteStatsTable[[#This Row],[GroupByKey]])*DiscreteStatsTable[Average])),0)</f>
        <v>0.39665689085332995</v>
      </c>
      <c r="O160" s="5" cm="1">
        <f t="array" ref="O160">IFERROR(_xlfn.STDEV.S(IF((DiscreteStatsTable[GroupByKey]=DiscreteStatsTable[[#This Row],[GroupByKey]]),(DiscreteStatsTable[GroupByKey]=DiscreteStatsTable[[#This Row],[GroupByKey]])*DiscreteStatsTable[Average])),0)</f>
        <v>0.21594799211186244</v>
      </c>
      <c r="P160" s="5" cm="1">
        <f t="array" ref="P160">MAX(IF((ProjectInfoTable[ProjectName]=DiscreteStatsTable[[#This Row],[ProjectName]]),(ProjectInfoTable[ProjectName]=DiscreteStatsTable[[#This Row],[ProjectName]])*ProjectInfoTable[ConfidenceInterval]))</f>
        <v>0.95</v>
      </c>
      <c r="Q160" s="5">
        <f>IF(AND(DiscreteStatsTable[[#This Row],[RepsWithStatObserved]]=1,Y160=0),200000000000000000000,IFERROR(_xlfn.T.INV.2T(1 -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0.1544798874877194</v>
      </c>
      <c r="R160" s="5" cm="1">
        <f t="array" ref="R160">MIN(IF((DiscreteStatsTable[GroupByKey]=DiscreteStatsTable[[#This Row],[GroupByKey]]),(DiscreteStatsTable[GroupByKey]=DiscreteStatsTable[[#This Row],[GroupByKey]])*DiscreteStatsTable[Average]))</f>
        <v>0.146064109372333</v>
      </c>
      <c r="S160" s="5" cm="1">
        <f t="array" ref="S160">MAX(IF((DiscreteStatsTable[GroupByKey]=DiscreteStatsTable[[#This Row],[GroupByKey]]),(DiscreteStatsTable[GroupByKey]=DiscreteStatsTable[[#This Row],[GroupByKey]])*DiscreteStatsTable[Average]))</f>
        <v>0.838540460893615</v>
      </c>
      <c r="T160" s="5" cm="1">
        <f t="array" ref="T160">MIN(IF((DiscreteStatsTable[GroupByKey]=DiscreteStatsTable[[#This Row],[GroupByKey]]),(DiscreteStatsTable[GroupByKey]=DiscreteStatsTable[[#This Row],[GroupByKey]])*DiscreteStatsTable[Minimum]))</f>
        <v>0</v>
      </c>
      <c r="U160" s="5" cm="1">
        <f t="array" ref="U160">MAX(IF((DiscreteStatsTable[GroupByKey]=DiscreteStatsTable[[#This Row],[GroupByKey]]),(DiscreteStatsTable[GroupByKey]=DiscreteStatsTable[[#This Row],[GroupByKey]])*DiscreteStatsTable[Maximum]))</f>
        <v>14.049023919221799</v>
      </c>
      <c r="V160" s="5" cm="1">
        <f t="array" ref="V160">IFERROR(AVERAGE(IF((DiscreteStatsTable[GroupByKey]=DiscreteStatsTable[[#This Row],[GroupByKey]]),(DiscreteStatsTable[GroupByKey]=DiscreteStatsTable[[#This Row],[GroupByKey]])*DiscreteStatsTable[NumberObservations])),0)</f>
        <v>220.6</v>
      </c>
      <c r="W160" s="5">
        <f>IF((DiscreteStatsTable[[#This Row],[RepsRequested]]&gt;1),DiscreteStatsTable[[#This Row],[HalfWidth]],DiscreteStatsTable[[#This Row],[BatchMeansHalfWidth]])</f>
        <v>0.1544798874877194</v>
      </c>
      <c r="X160" s="5" cm="1">
        <f t="array" ref="X160">COUNT(IF((DiscreteStatsTable[GroupByKey]=DiscreteStatsTable[[#This Row],[GroupByKey]]),(DiscreteStatsTable[GroupByKey]=DiscreteStatsTable[[#This Row],[GroupByKey]])*DiscreteStatsTable[Replication]))</f>
        <v>10</v>
      </c>
      <c r="Y160" s="5">
        <f>IF(DiscreteStatsTable[[#This Row],[RepsRequested]]=DiscreteStatsTable[[#This Row],[RepsWithStatObserved]],1,0)</f>
        <v>1</v>
      </c>
    </row>
    <row r="161" spans="1:25" x14ac:dyDescent="0.4">
      <c r="A161" t="s">
        <v>66</v>
      </c>
      <c r="B161" t="s">
        <v>69</v>
      </c>
      <c r="C161">
        <v>10</v>
      </c>
      <c r="D161" t="s">
        <v>89</v>
      </c>
      <c r="E161" t="s">
        <v>79</v>
      </c>
      <c r="F161" t="s">
        <v>80</v>
      </c>
      <c r="G161">
        <v>0.20624618087385799</v>
      </c>
      <c r="H161">
        <v>2E+20</v>
      </c>
      <c r="I161">
        <v>0</v>
      </c>
      <c r="J161">
        <v>5.6727114731664896</v>
      </c>
      <c r="K161">
        <v>210</v>
      </c>
      <c r="L161" s="5" t="str">
        <f>DiscreteStatsTable[[#This Row],[ProjectName]]&amp;DiscreteStatsTable[[#This Row],[Name]]&amp;DiscreteStatsTable[[#This Row],[Type]]&amp;DiscreteStatsTable[[#This Row],[Source]]</f>
        <v>Unnamed ProjectM5.QWaiting TimeQueue</v>
      </c>
      <c r="M161" s="5" cm="1">
        <f t="array" ref="M161">MAX(IF((ProjectInfoTable[ProjectName]=DiscreteStatsTable[[#This Row],[ProjectName]]),(ProjectInfoTable[ProjectName]=DiscreteStatsTable[[#This Row],[ProjectName]])*ProjectInfoTable[NumberOfReplications]))</f>
        <v>10</v>
      </c>
      <c r="N161" s="5" cm="1">
        <f t="array" ref="N161">IFERROR(AVERAGE(IF((DiscreteStatsTable[GroupByKey]=DiscreteStatsTable[[#This Row],[GroupByKey]]),(DiscreteStatsTable[GroupByKey]=DiscreteStatsTable[[#This Row],[GroupByKey]])*DiscreteStatsTable[Average])),0)</f>
        <v>0.39665689085332995</v>
      </c>
      <c r="O161" s="5" cm="1">
        <f t="array" ref="O161">IFERROR(_xlfn.STDEV.S(IF((DiscreteStatsTable[GroupByKey]=DiscreteStatsTable[[#This Row],[GroupByKey]]),(DiscreteStatsTable[GroupByKey]=DiscreteStatsTable[[#This Row],[GroupByKey]])*DiscreteStatsTable[Average])),0)</f>
        <v>0.21594799211186244</v>
      </c>
      <c r="P161" s="5" cm="1">
        <f t="array" ref="P161">MAX(IF((ProjectInfoTable[ProjectName]=DiscreteStatsTable[[#This Row],[ProjectName]]),(ProjectInfoTable[ProjectName]=DiscreteStatsTable[[#This Row],[ProjectName]])*ProjectInfoTable[ConfidenceInterval]))</f>
        <v>0.95</v>
      </c>
      <c r="Q161" s="5">
        <f>IF(AND(DiscreteStatsTable[[#This Row],[RepsWithStatObserved]]=1,Y161=0),200000000000000000000,IFERROR(_xlfn.T.INV.2T(1 -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0.1544798874877194</v>
      </c>
      <c r="R161" s="5" cm="1">
        <f t="array" ref="R161">MIN(IF((DiscreteStatsTable[GroupByKey]=DiscreteStatsTable[[#This Row],[GroupByKey]]),(DiscreteStatsTable[GroupByKey]=DiscreteStatsTable[[#This Row],[GroupByKey]])*DiscreteStatsTable[Average]))</f>
        <v>0.146064109372333</v>
      </c>
      <c r="S161" s="5" cm="1">
        <f t="array" ref="S161">MAX(IF((DiscreteStatsTable[GroupByKey]=DiscreteStatsTable[[#This Row],[GroupByKey]]),(DiscreteStatsTable[GroupByKey]=DiscreteStatsTable[[#This Row],[GroupByKey]])*DiscreteStatsTable[Average]))</f>
        <v>0.838540460893615</v>
      </c>
      <c r="T161" s="5" cm="1">
        <f t="array" ref="T161">MIN(IF((DiscreteStatsTable[GroupByKey]=DiscreteStatsTable[[#This Row],[GroupByKey]]),(DiscreteStatsTable[GroupByKey]=DiscreteStatsTable[[#This Row],[GroupByKey]])*DiscreteStatsTable[Minimum]))</f>
        <v>0</v>
      </c>
      <c r="U161" s="5" cm="1">
        <f t="array" ref="U161">MAX(IF((DiscreteStatsTable[GroupByKey]=DiscreteStatsTable[[#This Row],[GroupByKey]]),(DiscreteStatsTable[GroupByKey]=DiscreteStatsTable[[#This Row],[GroupByKey]])*DiscreteStatsTable[Maximum]))</f>
        <v>14.049023919221799</v>
      </c>
      <c r="V161" s="5" cm="1">
        <f t="array" ref="V161">IFERROR(AVERAGE(IF((DiscreteStatsTable[GroupByKey]=DiscreteStatsTable[[#This Row],[GroupByKey]]),(DiscreteStatsTable[GroupByKey]=DiscreteStatsTable[[#This Row],[GroupByKey]])*DiscreteStatsTable[NumberObservations])),0)</f>
        <v>220.6</v>
      </c>
      <c r="W161" s="5">
        <f>IF((DiscreteStatsTable[[#This Row],[RepsRequested]]&gt;1),DiscreteStatsTable[[#This Row],[HalfWidth]],DiscreteStatsTable[[#This Row],[BatchMeansHalfWidth]])</f>
        <v>0.1544798874877194</v>
      </c>
      <c r="X161" s="5" cm="1">
        <f t="array" ref="X161">COUNT(IF((DiscreteStatsTable[GroupByKey]=DiscreteStatsTable[[#This Row],[GroupByKey]]),(DiscreteStatsTable[GroupByKey]=DiscreteStatsTable[[#This Row],[GroupByKey]])*DiscreteStatsTable[Replication]))</f>
        <v>10</v>
      </c>
      <c r="Y161" s="5">
        <f>IF(DiscreteStatsTable[[#This Row],[RepsRequested]]=DiscreteStatsTable[[#This Row],[RepsWithStatObserved]],1,0)</f>
        <v>1</v>
      </c>
    </row>
    <row r="162" spans="1:25" x14ac:dyDescent="0.4">
      <c r="A162" t="s">
        <v>66</v>
      </c>
      <c r="B162" t="s">
        <v>69</v>
      </c>
      <c r="C162">
        <v>1</v>
      </c>
      <c r="D162" t="s">
        <v>90</v>
      </c>
      <c r="E162" t="s">
        <v>91</v>
      </c>
      <c r="F162" t="s">
        <v>92</v>
      </c>
      <c r="G162">
        <v>46.280995926639001</v>
      </c>
      <c r="H162">
        <v>2E+20</v>
      </c>
      <c r="I162">
        <v>14.443621455104299</v>
      </c>
      <c r="J162">
        <v>109.036713448811</v>
      </c>
      <c r="K162">
        <v>143</v>
      </c>
      <c r="L162" s="5" t="str">
        <f>DiscreteStatsTable[[#This Row],[ProjectName]]&amp;DiscreteStatsTable[[#This Row],[Name]]&amp;DiscreteStatsTable[[#This Row],[Type]]&amp;DiscreteStatsTable[[#This Row],[Source]]</f>
        <v>Unnamed ProjectTally 1IntervalUser Specified</v>
      </c>
      <c r="M162" s="5" cm="1">
        <f t="array" ref="M162">MAX(IF((ProjectInfoTable[ProjectName]=DiscreteStatsTable[[#This Row],[ProjectName]]),(ProjectInfoTable[ProjectName]=DiscreteStatsTable[[#This Row],[ProjectName]])*ProjectInfoTable[NumberOfReplications]))</f>
        <v>10</v>
      </c>
      <c r="N162" s="5" cm="1">
        <f t="array" ref="N162">IFERROR(AVERAGE(IF((DiscreteStatsTable[GroupByKey]=DiscreteStatsTable[[#This Row],[GroupByKey]]),(DiscreteStatsTable[GroupByKey]=DiscreteStatsTable[[#This Row],[GroupByKey]])*DiscreteStatsTable[Average])),0)</f>
        <v>50.857776733664473</v>
      </c>
      <c r="O162" s="5" cm="1">
        <f t="array" ref="O162">IFERROR(_xlfn.STDEV.S(IF((DiscreteStatsTable[GroupByKey]=DiscreteStatsTable[[#This Row],[GroupByKey]]),(DiscreteStatsTable[GroupByKey]=DiscreteStatsTable[[#This Row],[GroupByKey]])*DiscreteStatsTable[Average])),0)</f>
        <v>5.8895653869330848</v>
      </c>
      <c r="P162" s="5" cm="1">
        <f t="array" ref="P162">MAX(IF((ProjectInfoTable[ProjectName]=DiscreteStatsTable[[#This Row],[ProjectName]]),(ProjectInfoTable[ProjectName]=DiscreteStatsTable[[#This Row],[ProjectName]])*ProjectInfoTable[ConfidenceInterval]))</f>
        <v>0.95</v>
      </c>
      <c r="Q162" s="5">
        <f>IF(AND(DiscreteStatsTable[[#This Row],[RepsWithStatObserved]]=1,Y162=0),200000000000000000000,IFERROR(_xlfn.T.INV.2T(1 -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4.2131412727083717</v>
      </c>
      <c r="R162" s="5" cm="1">
        <f t="array" ref="R162">MIN(IF((DiscreteStatsTable[GroupByKey]=DiscreteStatsTable[[#This Row],[GroupByKey]]),(DiscreteStatsTable[GroupByKey]=DiscreteStatsTable[[#This Row],[GroupByKey]])*DiscreteStatsTable[Average]))</f>
        <v>43.777301708810903</v>
      </c>
      <c r="S162" s="5" cm="1">
        <f t="array" ref="S162">MAX(IF((DiscreteStatsTable[GroupByKey]=DiscreteStatsTable[[#This Row],[GroupByKey]]),(DiscreteStatsTable[GroupByKey]=DiscreteStatsTable[[#This Row],[GroupByKey]])*DiscreteStatsTable[Average]))</f>
        <v>62.233185761312299</v>
      </c>
      <c r="T162" s="5" cm="1">
        <f t="array" ref="T162">MIN(IF((DiscreteStatsTable[GroupByKey]=DiscreteStatsTable[[#This Row],[GroupByKey]]),(DiscreteStatsTable[GroupByKey]=DiscreteStatsTable[[#This Row],[GroupByKey]])*DiscreteStatsTable[Minimum]))</f>
        <v>13.298568495813001</v>
      </c>
      <c r="U162" s="5" cm="1">
        <f t="array" ref="U162">MAX(IF((DiscreteStatsTable[GroupByKey]=DiscreteStatsTable[[#This Row],[GroupByKey]]),(DiscreteStatsTable[GroupByKey]=DiscreteStatsTable[[#This Row],[GroupByKey]])*DiscreteStatsTable[Maximum]))</f>
        <v>244.587504005581</v>
      </c>
      <c r="V162" s="5" cm="1">
        <f t="array" ref="V162">IFERROR(AVERAGE(IF((DiscreteStatsTable[GroupByKey]=DiscreteStatsTable[[#This Row],[GroupByKey]]),(DiscreteStatsTable[GroupByKey]=DiscreteStatsTable[[#This Row],[GroupByKey]])*DiscreteStatsTable[NumberObservations])),0)</f>
        <v>156.19999999999999</v>
      </c>
      <c r="W162" s="5">
        <f>IF((DiscreteStatsTable[[#This Row],[RepsRequested]]&gt;1),DiscreteStatsTable[[#This Row],[HalfWidth]],DiscreteStatsTable[[#This Row],[BatchMeansHalfWidth]])</f>
        <v>4.2131412727083717</v>
      </c>
      <c r="X162" s="5" cm="1">
        <f t="array" ref="X162">COUNT(IF((DiscreteStatsTable[GroupByKey]=DiscreteStatsTable[[#This Row],[GroupByKey]]),(DiscreteStatsTable[GroupByKey]=DiscreteStatsTable[[#This Row],[GroupByKey]])*DiscreteStatsTable[Replication]))</f>
        <v>10</v>
      </c>
      <c r="Y162" s="5">
        <f>IF(DiscreteStatsTable[[#This Row],[RepsRequested]]=DiscreteStatsTable[[#This Row],[RepsWithStatObserved]],1,0)</f>
        <v>1</v>
      </c>
    </row>
    <row r="163" spans="1:25" x14ac:dyDescent="0.4">
      <c r="A163" t="s">
        <v>66</v>
      </c>
      <c r="B163" t="s">
        <v>69</v>
      </c>
      <c r="C163">
        <v>2</v>
      </c>
      <c r="D163" t="s">
        <v>90</v>
      </c>
      <c r="E163" t="s">
        <v>91</v>
      </c>
      <c r="F163" t="s">
        <v>92</v>
      </c>
      <c r="G163">
        <v>48.333068578703497</v>
      </c>
      <c r="H163">
        <v>2E+20</v>
      </c>
      <c r="I163">
        <v>16.052333432383602</v>
      </c>
      <c r="J163">
        <v>184.30394755754401</v>
      </c>
      <c r="K163">
        <v>156</v>
      </c>
      <c r="L163" s="5" t="str">
        <f>DiscreteStatsTable[[#This Row],[ProjectName]]&amp;DiscreteStatsTable[[#This Row],[Name]]&amp;DiscreteStatsTable[[#This Row],[Type]]&amp;DiscreteStatsTable[[#This Row],[Source]]</f>
        <v>Unnamed ProjectTally 1IntervalUser Specified</v>
      </c>
      <c r="M163" s="5" cm="1">
        <f t="array" ref="M163">MAX(IF((ProjectInfoTable[ProjectName]=DiscreteStatsTable[[#This Row],[ProjectName]]),(ProjectInfoTable[ProjectName]=DiscreteStatsTable[[#This Row],[ProjectName]])*ProjectInfoTable[NumberOfReplications]))</f>
        <v>10</v>
      </c>
      <c r="N163" s="5" cm="1">
        <f t="array" ref="N163">IFERROR(AVERAGE(IF((DiscreteStatsTable[GroupByKey]=DiscreteStatsTable[[#This Row],[GroupByKey]]),(DiscreteStatsTable[GroupByKey]=DiscreteStatsTable[[#This Row],[GroupByKey]])*DiscreteStatsTable[Average])),0)</f>
        <v>50.857776733664473</v>
      </c>
      <c r="O163" s="5" cm="1">
        <f t="array" ref="O163">IFERROR(_xlfn.STDEV.S(IF((DiscreteStatsTable[GroupByKey]=DiscreteStatsTable[[#This Row],[GroupByKey]]),(DiscreteStatsTable[GroupByKey]=DiscreteStatsTable[[#This Row],[GroupByKey]])*DiscreteStatsTable[Average])),0)</f>
        <v>5.8895653869330848</v>
      </c>
      <c r="P163" s="5" cm="1">
        <f t="array" ref="P163">MAX(IF((ProjectInfoTable[ProjectName]=DiscreteStatsTable[[#This Row],[ProjectName]]),(ProjectInfoTable[ProjectName]=DiscreteStatsTable[[#This Row],[ProjectName]])*ProjectInfoTable[ConfidenceInterval]))</f>
        <v>0.95</v>
      </c>
      <c r="Q163" s="5">
        <f>IF(AND(DiscreteStatsTable[[#This Row],[RepsWithStatObserved]]=1,Y163=0),200000000000000000000,IFERROR(_xlfn.T.INV.2T(1 -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4.2131412727083717</v>
      </c>
      <c r="R163" s="5" cm="1">
        <f t="array" ref="R163">MIN(IF((DiscreteStatsTable[GroupByKey]=DiscreteStatsTable[[#This Row],[GroupByKey]]),(DiscreteStatsTable[GroupByKey]=DiscreteStatsTable[[#This Row],[GroupByKey]])*DiscreteStatsTable[Average]))</f>
        <v>43.777301708810903</v>
      </c>
      <c r="S163" s="5" cm="1">
        <f t="array" ref="S163">MAX(IF((DiscreteStatsTable[GroupByKey]=DiscreteStatsTable[[#This Row],[GroupByKey]]),(DiscreteStatsTable[GroupByKey]=DiscreteStatsTable[[#This Row],[GroupByKey]])*DiscreteStatsTable[Average]))</f>
        <v>62.233185761312299</v>
      </c>
      <c r="T163" s="5" cm="1">
        <f t="array" ref="T163">MIN(IF((DiscreteStatsTable[GroupByKey]=DiscreteStatsTable[[#This Row],[GroupByKey]]),(DiscreteStatsTable[GroupByKey]=DiscreteStatsTable[[#This Row],[GroupByKey]])*DiscreteStatsTable[Minimum]))</f>
        <v>13.298568495813001</v>
      </c>
      <c r="U163" s="5" cm="1">
        <f t="array" ref="U163">MAX(IF((DiscreteStatsTable[GroupByKey]=DiscreteStatsTable[[#This Row],[GroupByKey]]),(DiscreteStatsTable[GroupByKey]=DiscreteStatsTable[[#This Row],[GroupByKey]])*DiscreteStatsTable[Maximum]))</f>
        <v>244.587504005581</v>
      </c>
      <c r="V163" s="5" cm="1">
        <f t="array" ref="V163">IFERROR(AVERAGE(IF((DiscreteStatsTable[GroupByKey]=DiscreteStatsTable[[#This Row],[GroupByKey]]),(DiscreteStatsTable[GroupByKey]=DiscreteStatsTable[[#This Row],[GroupByKey]])*DiscreteStatsTable[NumberObservations])),0)</f>
        <v>156.19999999999999</v>
      </c>
      <c r="W163" s="5">
        <f>IF((DiscreteStatsTable[[#This Row],[RepsRequested]]&gt;1),DiscreteStatsTable[[#This Row],[HalfWidth]],DiscreteStatsTable[[#This Row],[BatchMeansHalfWidth]])</f>
        <v>4.2131412727083717</v>
      </c>
      <c r="X163" s="5" cm="1">
        <f t="array" ref="X163">COUNT(IF((DiscreteStatsTable[GroupByKey]=DiscreteStatsTable[[#This Row],[GroupByKey]]),(DiscreteStatsTable[GroupByKey]=DiscreteStatsTable[[#This Row],[GroupByKey]])*DiscreteStatsTable[Replication]))</f>
        <v>10</v>
      </c>
      <c r="Y163" s="5">
        <f>IF(DiscreteStatsTable[[#This Row],[RepsRequested]]=DiscreteStatsTable[[#This Row],[RepsWithStatObserved]],1,0)</f>
        <v>1</v>
      </c>
    </row>
    <row r="164" spans="1:25" x14ac:dyDescent="0.4">
      <c r="A164" t="s">
        <v>66</v>
      </c>
      <c r="B164" t="s">
        <v>69</v>
      </c>
      <c r="C164">
        <v>3</v>
      </c>
      <c r="D164" t="s">
        <v>90</v>
      </c>
      <c r="E164" t="s">
        <v>91</v>
      </c>
      <c r="F164" t="s">
        <v>92</v>
      </c>
      <c r="G164">
        <v>62.233185761312299</v>
      </c>
      <c r="H164">
        <v>2E+20</v>
      </c>
      <c r="I164">
        <v>14.7096057128285</v>
      </c>
      <c r="J164">
        <v>244.587504005581</v>
      </c>
      <c r="K164">
        <v>162</v>
      </c>
      <c r="L164" s="5" t="str">
        <f>DiscreteStatsTable[[#This Row],[ProjectName]]&amp;DiscreteStatsTable[[#This Row],[Name]]&amp;DiscreteStatsTable[[#This Row],[Type]]&amp;DiscreteStatsTable[[#This Row],[Source]]</f>
        <v>Unnamed ProjectTally 1IntervalUser Specified</v>
      </c>
      <c r="M164" s="5" cm="1">
        <f t="array" ref="M164">MAX(IF((ProjectInfoTable[ProjectName]=DiscreteStatsTable[[#This Row],[ProjectName]]),(ProjectInfoTable[ProjectName]=DiscreteStatsTable[[#This Row],[ProjectName]])*ProjectInfoTable[NumberOfReplications]))</f>
        <v>10</v>
      </c>
      <c r="N164" s="5" cm="1">
        <f t="array" ref="N164">IFERROR(AVERAGE(IF((DiscreteStatsTable[GroupByKey]=DiscreteStatsTable[[#This Row],[GroupByKey]]),(DiscreteStatsTable[GroupByKey]=DiscreteStatsTable[[#This Row],[GroupByKey]])*DiscreteStatsTable[Average])),0)</f>
        <v>50.857776733664473</v>
      </c>
      <c r="O164" s="5" cm="1">
        <f t="array" ref="O164">IFERROR(_xlfn.STDEV.S(IF((DiscreteStatsTable[GroupByKey]=DiscreteStatsTable[[#This Row],[GroupByKey]]),(DiscreteStatsTable[GroupByKey]=DiscreteStatsTable[[#This Row],[GroupByKey]])*DiscreteStatsTable[Average])),0)</f>
        <v>5.8895653869330848</v>
      </c>
      <c r="P164" s="5" cm="1">
        <f t="array" ref="P164">MAX(IF((ProjectInfoTable[ProjectName]=DiscreteStatsTable[[#This Row],[ProjectName]]),(ProjectInfoTable[ProjectName]=DiscreteStatsTable[[#This Row],[ProjectName]])*ProjectInfoTable[ConfidenceInterval]))</f>
        <v>0.95</v>
      </c>
      <c r="Q164" s="5">
        <f>IF(AND(DiscreteStatsTable[[#This Row],[RepsWithStatObserved]]=1,Y164=0),200000000000000000000,IFERROR(_xlfn.T.INV.2T(1 -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4.2131412727083717</v>
      </c>
      <c r="R164" s="5" cm="1">
        <f t="array" ref="R164">MIN(IF((DiscreteStatsTable[GroupByKey]=DiscreteStatsTable[[#This Row],[GroupByKey]]),(DiscreteStatsTable[GroupByKey]=DiscreteStatsTable[[#This Row],[GroupByKey]])*DiscreteStatsTable[Average]))</f>
        <v>43.777301708810903</v>
      </c>
      <c r="S164" s="5" cm="1">
        <f t="array" ref="S164">MAX(IF((DiscreteStatsTable[GroupByKey]=DiscreteStatsTable[[#This Row],[GroupByKey]]),(DiscreteStatsTable[GroupByKey]=DiscreteStatsTable[[#This Row],[GroupByKey]])*DiscreteStatsTable[Average]))</f>
        <v>62.233185761312299</v>
      </c>
      <c r="T164" s="5" cm="1">
        <f t="array" ref="T164">MIN(IF((DiscreteStatsTable[GroupByKey]=DiscreteStatsTable[[#This Row],[GroupByKey]]),(DiscreteStatsTable[GroupByKey]=DiscreteStatsTable[[#This Row],[GroupByKey]])*DiscreteStatsTable[Minimum]))</f>
        <v>13.298568495813001</v>
      </c>
      <c r="U164" s="5" cm="1">
        <f t="array" ref="U164">MAX(IF((DiscreteStatsTable[GroupByKey]=DiscreteStatsTable[[#This Row],[GroupByKey]]),(DiscreteStatsTable[GroupByKey]=DiscreteStatsTable[[#This Row],[GroupByKey]])*DiscreteStatsTable[Maximum]))</f>
        <v>244.587504005581</v>
      </c>
      <c r="V164" s="5" cm="1">
        <f t="array" ref="V164">IFERROR(AVERAGE(IF((DiscreteStatsTable[GroupByKey]=DiscreteStatsTable[[#This Row],[GroupByKey]]),(DiscreteStatsTable[GroupByKey]=DiscreteStatsTable[[#This Row],[GroupByKey]])*DiscreteStatsTable[NumberObservations])),0)</f>
        <v>156.19999999999999</v>
      </c>
      <c r="W164" s="5">
        <f>IF((DiscreteStatsTable[[#This Row],[RepsRequested]]&gt;1),DiscreteStatsTable[[#This Row],[HalfWidth]],DiscreteStatsTable[[#This Row],[BatchMeansHalfWidth]])</f>
        <v>4.2131412727083717</v>
      </c>
      <c r="X164" s="5" cm="1">
        <f t="array" ref="X164">COUNT(IF((DiscreteStatsTable[GroupByKey]=DiscreteStatsTable[[#This Row],[GroupByKey]]),(DiscreteStatsTable[GroupByKey]=DiscreteStatsTable[[#This Row],[GroupByKey]])*DiscreteStatsTable[Replication]))</f>
        <v>10</v>
      </c>
      <c r="Y164" s="5">
        <f>IF(DiscreteStatsTable[[#This Row],[RepsRequested]]=DiscreteStatsTable[[#This Row],[RepsWithStatObserved]],1,0)</f>
        <v>1</v>
      </c>
    </row>
    <row r="165" spans="1:25" x14ac:dyDescent="0.4">
      <c r="A165" t="s">
        <v>66</v>
      </c>
      <c r="B165" t="s">
        <v>69</v>
      </c>
      <c r="C165">
        <v>4</v>
      </c>
      <c r="D165" t="s">
        <v>90</v>
      </c>
      <c r="E165" t="s">
        <v>91</v>
      </c>
      <c r="F165" t="s">
        <v>92</v>
      </c>
      <c r="G165">
        <v>55.346602286898602</v>
      </c>
      <c r="H165">
        <v>2E+20</v>
      </c>
      <c r="I165">
        <v>13.298568495813001</v>
      </c>
      <c r="J165">
        <v>153.357693254547</v>
      </c>
      <c r="K165">
        <v>171</v>
      </c>
      <c r="L165" s="5" t="str">
        <f>DiscreteStatsTable[[#This Row],[ProjectName]]&amp;DiscreteStatsTable[[#This Row],[Name]]&amp;DiscreteStatsTable[[#This Row],[Type]]&amp;DiscreteStatsTable[[#This Row],[Source]]</f>
        <v>Unnamed ProjectTally 1IntervalUser Specified</v>
      </c>
      <c r="M165" s="5" cm="1">
        <f t="array" ref="M165">MAX(IF((ProjectInfoTable[ProjectName]=DiscreteStatsTable[[#This Row],[ProjectName]]),(ProjectInfoTable[ProjectName]=DiscreteStatsTable[[#This Row],[ProjectName]])*ProjectInfoTable[NumberOfReplications]))</f>
        <v>10</v>
      </c>
      <c r="N165" s="5" cm="1">
        <f t="array" ref="N165">IFERROR(AVERAGE(IF((DiscreteStatsTable[GroupByKey]=DiscreteStatsTable[[#This Row],[GroupByKey]]),(DiscreteStatsTable[GroupByKey]=DiscreteStatsTable[[#This Row],[GroupByKey]])*DiscreteStatsTable[Average])),0)</f>
        <v>50.857776733664473</v>
      </c>
      <c r="O165" s="5" cm="1">
        <f t="array" ref="O165">IFERROR(_xlfn.STDEV.S(IF((DiscreteStatsTable[GroupByKey]=DiscreteStatsTable[[#This Row],[GroupByKey]]),(DiscreteStatsTable[GroupByKey]=DiscreteStatsTable[[#This Row],[GroupByKey]])*DiscreteStatsTable[Average])),0)</f>
        <v>5.8895653869330848</v>
      </c>
      <c r="P165" s="5" cm="1">
        <f t="array" ref="P165">MAX(IF((ProjectInfoTable[ProjectName]=DiscreteStatsTable[[#This Row],[ProjectName]]),(ProjectInfoTable[ProjectName]=DiscreteStatsTable[[#This Row],[ProjectName]])*ProjectInfoTable[ConfidenceInterval]))</f>
        <v>0.95</v>
      </c>
      <c r="Q165" s="5">
        <f>IF(AND(DiscreteStatsTable[[#This Row],[RepsWithStatObserved]]=1,Y165=0),200000000000000000000,IFERROR(_xlfn.T.INV.2T(1 -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4.2131412727083717</v>
      </c>
      <c r="R165" s="5" cm="1">
        <f t="array" ref="R165">MIN(IF((DiscreteStatsTable[GroupByKey]=DiscreteStatsTable[[#This Row],[GroupByKey]]),(DiscreteStatsTable[GroupByKey]=DiscreteStatsTable[[#This Row],[GroupByKey]])*DiscreteStatsTable[Average]))</f>
        <v>43.777301708810903</v>
      </c>
      <c r="S165" s="5" cm="1">
        <f t="array" ref="S165">MAX(IF((DiscreteStatsTable[GroupByKey]=DiscreteStatsTable[[#This Row],[GroupByKey]]),(DiscreteStatsTable[GroupByKey]=DiscreteStatsTable[[#This Row],[GroupByKey]])*DiscreteStatsTable[Average]))</f>
        <v>62.233185761312299</v>
      </c>
      <c r="T165" s="5" cm="1">
        <f t="array" ref="T165">MIN(IF((DiscreteStatsTable[GroupByKey]=DiscreteStatsTable[[#This Row],[GroupByKey]]),(DiscreteStatsTable[GroupByKey]=DiscreteStatsTable[[#This Row],[GroupByKey]])*DiscreteStatsTable[Minimum]))</f>
        <v>13.298568495813001</v>
      </c>
      <c r="U165" s="5" cm="1">
        <f t="array" ref="U165">MAX(IF((DiscreteStatsTable[GroupByKey]=DiscreteStatsTable[[#This Row],[GroupByKey]]),(DiscreteStatsTable[GroupByKey]=DiscreteStatsTable[[#This Row],[GroupByKey]])*DiscreteStatsTable[Maximum]))</f>
        <v>244.587504005581</v>
      </c>
      <c r="V165" s="5" cm="1">
        <f t="array" ref="V165">IFERROR(AVERAGE(IF((DiscreteStatsTable[GroupByKey]=DiscreteStatsTable[[#This Row],[GroupByKey]]),(DiscreteStatsTable[GroupByKey]=DiscreteStatsTable[[#This Row],[GroupByKey]])*DiscreteStatsTable[NumberObservations])),0)</f>
        <v>156.19999999999999</v>
      </c>
      <c r="W165" s="5">
        <f>IF((DiscreteStatsTable[[#This Row],[RepsRequested]]&gt;1),DiscreteStatsTable[[#This Row],[HalfWidth]],DiscreteStatsTable[[#This Row],[BatchMeansHalfWidth]])</f>
        <v>4.2131412727083717</v>
      </c>
      <c r="X165" s="5" cm="1">
        <f t="array" ref="X165">COUNT(IF((DiscreteStatsTable[GroupByKey]=DiscreteStatsTable[[#This Row],[GroupByKey]]),(DiscreteStatsTable[GroupByKey]=DiscreteStatsTable[[#This Row],[GroupByKey]])*DiscreteStatsTable[Replication]))</f>
        <v>10</v>
      </c>
      <c r="Y165" s="5">
        <f>IF(DiscreteStatsTable[[#This Row],[RepsRequested]]=DiscreteStatsTable[[#This Row],[RepsWithStatObserved]],1,0)</f>
        <v>1</v>
      </c>
    </row>
    <row r="166" spans="1:25" x14ac:dyDescent="0.4">
      <c r="A166" t="s">
        <v>66</v>
      </c>
      <c r="B166" t="s">
        <v>69</v>
      </c>
      <c r="C166">
        <v>5</v>
      </c>
      <c r="D166" t="s">
        <v>90</v>
      </c>
      <c r="E166" t="s">
        <v>91</v>
      </c>
      <c r="F166" t="s">
        <v>92</v>
      </c>
      <c r="G166">
        <v>43.777301708810903</v>
      </c>
      <c r="H166">
        <v>2E+20</v>
      </c>
      <c r="I166">
        <v>14.4766449974704</v>
      </c>
      <c r="J166">
        <v>104.82721760919701</v>
      </c>
      <c r="K166">
        <v>142</v>
      </c>
      <c r="L166" s="5" t="str">
        <f>DiscreteStatsTable[[#This Row],[ProjectName]]&amp;DiscreteStatsTable[[#This Row],[Name]]&amp;DiscreteStatsTable[[#This Row],[Type]]&amp;DiscreteStatsTable[[#This Row],[Source]]</f>
        <v>Unnamed ProjectTally 1IntervalUser Specified</v>
      </c>
      <c r="M166" s="5" cm="1">
        <f t="array" ref="M166">MAX(IF((ProjectInfoTable[ProjectName]=DiscreteStatsTable[[#This Row],[ProjectName]]),(ProjectInfoTable[ProjectName]=DiscreteStatsTable[[#This Row],[ProjectName]])*ProjectInfoTable[NumberOfReplications]))</f>
        <v>10</v>
      </c>
      <c r="N166" s="5" cm="1">
        <f t="array" ref="N166">IFERROR(AVERAGE(IF((DiscreteStatsTable[GroupByKey]=DiscreteStatsTable[[#This Row],[GroupByKey]]),(DiscreteStatsTable[GroupByKey]=DiscreteStatsTable[[#This Row],[GroupByKey]])*DiscreteStatsTable[Average])),0)</f>
        <v>50.857776733664473</v>
      </c>
      <c r="O166" s="5" cm="1">
        <f t="array" ref="O166">IFERROR(_xlfn.STDEV.S(IF((DiscreteStatsTable[GroupByKey]=DiscreteStatsTable[[#This Row],[GroupByKey]]),(DiscreteStatsTable[GroupByKey]=DiscreteStatsTable[[#This Row],[GroupByKey]])*DiscreteStatsTable[Average])),0)</f>
        <v>5.8895653869330848</v>
      </c>
      <c r="P166" s="5" cm="1">
        <f t="array" ref="P166">MAX(IF((ProjectInfoTable[ProjectName]=DiscreteStatsTable[[#This Row],[ProjectName]]),(ProjectInfoTable[ProjectName]=DiscreteStatsTable[[#This Row],[ProjectName]])*ProjectInfoTable[ConfidenceInterval]))</f>
        <v>0.95</v>
      </c>
      <c r="Q166" s="5">
        <f>IF(AND(DiscreteStatsTable[[#This Row],[RepsWithStatObserved]]=1,Y166=0),200000000000000000000,IFERROR(_xlfn.T.INV.2T(1 -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4.2131412727083717</v>
      </c>
      <c r="R166" s="5" cm="1">
        <f t="array" ref="R166">MIN(IF((DiscreteStatsTable[GroupByKey]=DiscreteStatsTable[[#This Row],[GroupByKey]]),(DiscreteStatsTable[GroupByKey]=DiscreteStatsTable[[#This Row],[GroupByKey]])*DiscreteStatsTable[Average]))</f>
        <v>43.777301708810903</v>
      </c>
      <c r="S166" s="5" cm="1">
        <f t="array" ref="S166">MAX(IF((DiscreteStatsTable[GroupByKey]=DiscreteStatsTable[[#This Row],[GroupByKey]]),(DiscreteStatsTable[GroupByKey]=DiscreteStatsTable[[#This Row],[GroupByKey]])*DiscreteStatsTable[Average]))</f>
        <v>62.233185761312299</v>
      </c>
      <c r="T166" s="5" cm="1">
        <f t="array" ref="T166">MIN(IF((DiscreteStatsTable[GroupByKey]=DiscreteStatsTable[[#This Row],[GroupByKey]]),(DiscreteStatsTable[GroupByKey]=DiscreteStatsTable[[#This Row],[GroupByKey]])*DiscreteStatsTable[Minimum]))</f>
        <v>13.298568495813001</v>
      </c>
      <c r="U166" s="5" cm="1">
        <f t="array" ref="U166">MAX(IF((DiscreteStatsTable[GroupByKey]=DiscreteStatsTable[[#This Row],[GroupByKey]]),(DiscreteStatsTable[GroupByKey]=DiscreteStatsTable[[#This Row],[GroupByKey]])*DiscreteStatsTable[Maximum]))</f>
        <v>244.587504005581</v>
      </c>
      <c r="V166" s="5" cm="1">
        <f t="array" ref="V166">IFERROR(AVERAGE(IF((DiscreteStatsTable[GroupByKey]=DiscreteStatsTable[[#This Row],[GroupByKey]]),(DiscreteStatsTable[GroupByKey]=DiscreteStatsTable[[#This Row],[GroupByKey]])*DiscreteStatsTable[NumberObservations])),0)</f>
        <v>156.19999999999999</v>
      </c>
      <c r="W166" s="5">
        <f>IF((DiscreteStatsTable[[#This Row],[RepsRequested]]&gt;1),DiscreteStatsTable[[#This Row],[HalfWidth]],DiscreteStatsTable[[#This Row],[BatchMeansHalfWidth]])</f>
        <v>4.2131412727083717</v>
      </c>
      <c r="X166" s="5" cm="1">
        <f t="array" ref="X166">COUNT(IF((DiscreteStatsTable[GroupByKey]=DiscreteStatsTable[[#This Row],[GroupByKey]]),(DiscreteStatsTable[GroupByKey]=DiscreteStatsTable[[#This Row],[GroupByKey]])*DiscreteStatsTable[Replication]))</f>
        <v>10</v>
      </c>
      <c r="Y166" s="5">
        <f>IF(DiscreteStatsTable[[#This Row],[RepsRequested]]=DiscreteStatsTable[[#This Row],[RepsWithStatObserved]],1,0)</f>
        <v>1</v>
      </c>
    </row>
    <row r="167" spans="1:25" x14ac:dyDescent="0.4">
      <c r="A167" t="s">
        <v>66</v>
      </c>
      <c r="B167" t="s">
        <v>69</v>
      </c>
      <c r="C167">
        <v>6</v>
      </c>
      <c r="D167" t="s">
        <v>90</v>
      </c>
      <c r="E167" t="s">
        <v>91</v>
      </c>
      <c r="F167" t="s">
        <v>92</v>
      </c>
      <c r="G167">
        <v>51.104849035350398</v>
      </c>
      <c r="H167">
        <v>2E+20</v>
      </c>
      <c r="I167">
        <v>13.765281528695599</v>
      </c>
      <c r="J167">
        <v>127.118421020854</v>
      </c>
      <c r="K167">
        <v>167</v>
      </c>
      <c r="L167" s="5" t="str">
        <f>DiscreteStatsTable[[#This Row],[ProjectName]]&amp;DiscreteStatsTable[[#This Row],[Name]]&amp;DiscreteStatsTable[[#This Row],[Type]]&amp;DiscreteStatsTable[[#This Row],[Source]]</f>
        <v>Unnamed ProjectTally 1IntervalUser Specified</v>
      </c>
      <c r="M167" s="5" cm="1">
        <f t="array" ref="M167">MAX(IF((ProjectInfoTable[ProjectName]=DiscreteStatsTable[[#This Row],[ProjectName]]),(ProjectInfoTable[ProjectName]=DiscreteStatsTable[[#This Row],[ProjectName]])*ProjectInfoTable[NumberOfReplications]))</f>
        <v>10</v>
      </c>
      <c r="N167" s="5" cm="1">
        <f t="array" ref="N167">IFERROR(AVERAGE(IF((DiscreteStatsTable[GroupByKey]=DiscreteStatsTable[[#This Row],[GroupByKey]]),(DiscreteStatsTable[GroupByKey]=DiscreteStatsTable[[#This Row],[GroupByKey]])*DiscreteStatsTable[Average])),0)</f>
        <v>50.857776733664473</v>
      </c>
      <c r="O167" s="5" cm="1">
        <f t="array" ref="O167">IFERROR(_xlfn.STDEV.S(IF((DiscreteStatsTable[GroupByKey]=DiscreteStatsTable[[#This Row],[GroupByKey]]),(DiscreteStatsTable[GroupByKey]=DiscreteStatsTable[[#This Row],[GroupByKey]])*DiscreteStatsTable[Average])),0)</f>
        <v>5.8895653869330848</v>
      </c>
      <c r="P167" s="5" cm="1">
        <f t="array" ref="P167">MAX(IF((ProjectInfoTable[ProjectName]=DiscreteStatsTable[[#This Row],[ProjectName]]),(ProjectInfoTable[ProjectName]=DiscreteStatsTable[[#This Row],[ProjectName]])*ProjectInfoTable[ConfidenceInterval]))</f>
        <v>0.95</v>
      </c>
      <c r="Q167" s="5">
        <f>IF(AND(DiscreteStatsTable[[#This Row],[RepsWithStatObserved]]=1,Y167=0),200000000000000000000,IFERROR(_xlfn.T.INV.2T(1 -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4.2131412727083717</v>
      </c>
      <c r="R167" s="5" cm="1">
        <f t="array" ref="R167">MIN(IF((DiscreteStatsTable[GroupByKey]=DiscreteStatsTable[[#This Row],[GroupByKey]]),(DiscreteStatsTable[GroupByKey]=DiscreteStatsTable[[#This Row],[GroupByKey]])*DiscreteStatsTable[Average]))</f>
        <v>43.777301708810903</v>
      </c>
      <c r="S167" s="5" cm="1">
        <f t="array" ref="S167">MAX(IF((DiscreteStatsTable[GroupByKey]=DiscreteStatsTable[[#This Row],[GroupByKey]]),(DiscreteStatsTable[GroupByKey]=DiscreteStatsTable[[#This Row],[GroupByKey]])*DiscreteStatsTable[Average]))</f>
        <v>62.233185761312299</v>
      </c>
      <c r="T167" s="5" cm="1">
        <f t="array" ref="T167">MIN(IF((DiscreteStatsTable[GroupByKey]=DiscreteStatsTable[[#This Row],[GroupByKey]]),(DiscreteStatsTable[GroupByKey]=DiscreteStatsTable[[#This Row],[GroupByKey]])*DiscreteStatsTable[Minimum]))</f>
        <v>13.298568495813001</v>
      </c>
      <c r="U167" s="5" cm="1">
        <f t="array" ref="U167">MAX(IF((DiscreteStatsTable[GroupByKey]=DiscreteStatsTable[[#This Row],[GroupByKey]]),(DiscreteStatsTable[GroupByKey]=DiscreteStatsTable[[#This Row],[GroupByKey]])*DiscreteStatsTable[Maximum]))</f>
        <v>244.587504005581</v>
      </c>
      <c r="V167" s="5" cm="1">
        <f t="array" ref="V167">IFERROR(AVERAGE(IF((DiscreteStatsTable[GroupByKey]=DiscreteStatsTable[[#This Row],[GroupByKey]]),(DiscreteStatsTable[GroupByKey]=DiscreteStatsTable[[#This Row],[GroupByKey]])*DiscreteStatsTable[NumberObservations])),0)</f>
        <v>156.19999999999999</v>
      </c>
      <c r="W167" s="5">
        <f>IF((DiscreteStatsTable[[#This Row],[RepsRequested]]&gt;1),DiscreteStatsTable[[#This Row],[HalfWidth]],DiscreteStatsTable[[#This Row],[BatchMeansHalfWidth]])</f>
        <v>4.2131412727083717</v>
      </c>
      <c r="X167" s="5" cm="1">
        <f t="array" ref="X167">COUNT(IF((DiscreteStatsTable[GroupByKey]=DiscreteStatsTable[[#This Row],[GroupByKey]]),(DiscreteStatsTable[GroupByKey]=DiscreteStatsTable[[#This Row],[GroupByKey]])*DiscreteStatsTable[Replication]))</f>
        <v>10</v>
      </c>
      <c r="Y167" s="5">
        <f>IF(DiscreteStatsTable[[#This Row],[RepsRequested]]=DiscreteStatsTable[[#This Row],[RepsWithStatObserved]],1,0)</f>
        <v>1</v>
      </c>
    </row>
    <row r="168" spans="1:25" x14ac:dyDescent="0.4">
      <c r="A168" t="s">
        <v>66</v>
      </c>
      <c r="B168" t="s">
        <v>69</v>
      </c>
      <c r="C168">
        <v>7</v>
      </c>
      <c r="D168" t="s">
        <v>90</v>
      </c>
      <c r="E168" t="s">
        <v>91</v>
      </c>
      <c r="F168" t="s">
        <v>92</v>
      </c>
      <c r="G168">
        <v>44.210567417456097</v>
      </c>
      <c r="H168">
        <v>2E+20</v>
      </c>
      <c r="I168">
        <v>14.313289999954099</v>
      </c>
      <c r="J168">
        <v>139.29217665330401</v>
      </c>
      <c r="K168">
        <v>150</v>
      </c>
      <c r="L168" s="5" t="str">
        <f>DiscreteStatsTable[[#This Row],[ProjectName]]&amp;DiscreteStatsTable[[#This Row],[Name]]&amp;DiscreteStatsTable[[#This Row],[Type]]&amp;DiscreteStatsTable[[#This Row],[Source]]</f>
        <v>Unnamed ProjectTally 1IntervalUser Specified</v>
      </c>
      <c r="M168" s="5" cm="1">
        <f t="array" ref="M168">MAX(IF((ProjectInfoTable[ProjectName]=DiscreteStatsTable[[#This Row],[ProjectName]]),(ProjectInfoTable[ProjectName]=DiscreteStatsTable[[#This Row],[ProjectName]])*ProjectInfoTable[NumberOfReplications]))</f>
        <v>10</v>
      </c>
      <c r="N168" s="5" cm="1">
        <f t="array" ref="N168">IFERROR(AVERAGE(IF((DiscreteStatsTable[GroupByKey]=DiscreteStatsTable[[#This Row],[GroupByKey]]),(DiscreteStatsTable[GroupByKey]=DiscreteStatsTable[[#This Row],[GroupByKey]])*DiscreteStatsTable[Average])),0)</f>
        <v>50.857776733664473</v>
      </c>
      <c r="O168" s="5" cm="1">
        <f t="array" ref="O168">IFERROR(_xlfn.STDEV.S(IF((DiscreteStatsTable[GroupByKey]=DiscreteStatsTable[[#This Row],[GroupByKey]]),(DiscreteStatsTable[GroupByKey]=DiscreteStatsTable[[#This Row],[GroupByKey]])*DiscreteStatsTable[Average])),0)</f>
        <v>5.8895653869330848</v>
      </c>
      <c r="P168" s="5" cm="1">
        <f t="array" ref="P168">MAX(IF((ProjectInfoTable[ProjectName]=DiscreteStatsTable[[#This Row],[ProjectName]]),(ProjectInfoTable[ProjectName]=DiscreteStatsTable[[#This Row],[ProjectName]])*ProjectInfoTable[ConfidenceInterval]))</f>
        <v>0.95</v>
      </c>
      <c r="Q168" s="5">
        <f>IF(AND(DiscreteStatsTable[[#This Row],[RepsWithStatObserved]]=1,Y168=0),200000000000000000000,IFERROR(_xlfn.T.INV.2T(1 -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4.2131412727083717</v>
      </c>
      <c r="R168" s="5" cm="1">
        <f t="array" ref="R168">MIN(IF((DiscreteStatsTable[GroupByKey]=DiscreteStatsTable[[#This Row],[GroupByKey]]),(DiscreteStatsTable[GroupByKey]=DiscreteStatsTable[[#This Row],[GroupByKey]])*DiscreteStatsTable[Average]))</f>
        <v>43.777301708810903</v>
      </c>
      <c r="S168" s="5" cm="1">
        <f t="array" ref="S168">MAX(IF((DiscreteStatsTable[GroupByKey]=DiscreteStatsTable[[#This Row],[GroupByKey]]),(DiscreteStatsTable[GroupByKey]=DiscreteStatsTable[[#This Row],[GroupByKey]])*DiscreteStatsTable[Average]))</f>
        <v>62.233185761312299</v>
      </c>
      <c r="T168" s="5" cm="1">
        <f t="array" ref="T168">MIN(IF((DiscreteStatsTable[GroupByKey]=DiscreteStatsTable[[#This Row],[GroupByKey]]),(DiscreteStatsTable[GroupByKey]=DiscreteStatsTable[[#This Row],[GroupByKey]])*DiscreteStatsTable[Minimum]))</f>
        <v>13.298568495813001</v>
      </c>
      <c r="U168" s="5" cm="1">
        <f t="array" ref="U168">MAX(IF((DiscreteStatsTable[GroupByKey]=DiscreteStatsTable[[#This Row],[GroupByKey]]),(DiscreteStatsTable[GroupByKey]=DiscreteStatsTable[[#This Row],[GroupByKey]])*DiscreteStatsTable[Maximum]))</f>
        <v>244.587504005581</v>
      </c>
      <c r="V168" s="5" cm="1">
        <f t="array" ref="V168">IFERROR(AVERAGE(IF((DiscreteStatsTable[GroupByKey]=DiscreteStatsTable[[#This Row],[GroupByKey]]),(DiscreteStatsTable[GroupByKey]=DiscreteStatsTable[[#This Row],[GroupByKey]])*DiscreteStatsTable[NumberObservations])),0)</f>
        <v>156.19999999999999</v>
      </c>
      <c r="W168" s="5">
        <f>IF((DiscreteStatsTable[[#This Row],[RepsRequested]]&gt;1),DiscreteStatsTable[[#This Row],[HalfWidth]],DiscreteStatsTable[[#This Row],[BatchMeansHalfWidth]])</f>
        <v>4.2131412727083717</v>
      </c>
      <c r="X168" s="5" cm="1">
        <f t="array" ref="X168">COUNT(IF((DiscreteStatsTable[GroupByKey]=DiscreteStatsTable[[#This Row],[GroupByKey]]),(DiscreteStatsTable[GroupByKey]=DiscreteStatsTable[[#This Row],[GroupByKey]])*DiscreteStatsTable[Replication]))</f>
        <v>10</v>
      </c>
      <c r="Y168" s="5">
        <f>IF(DiscreteStatsTable[[#This Row],[RepsRequested]]=DiscreteStatsTable[[#This Row],[RepsWithStatObserved]],1,0)</f>
        <v>1</v>
      </c>
    </row>
    <row r="169" spans="1:25" x14ac:dyDescent="0.4">
      <c r="A169" t="s">
        <v>66</v>
      </c>
      <c r="B169" t="s">
        <v>69</v>
      </c>
      <c r="C169">
        <v>8</v>
      </c>
      <c r="D169" t="s">
        <v>90</v>
      </c>
      <c r="E169" t="s">
        <v>91</v>
      </c>
      <c r="F169" t="s">
        <v>92</v>
      </c>
      <c r="G169">
        <v>57.100858020211398</v>
      </c>
      <c r="H169">
        <v>2E+20</v>
      </c>
      <c r="I169">
        <v>14.652348288828501</v>
      </c>
      <c r="J169">
        <v>167.98991556889101</v>
      </c>
      <c r="K169">
        <v>165</v>
      </c>
      <c r="L169" s="5" t="str">
        <f>DiscreteStatsTable[[#This Row],[ProjectName]]&amp;DiscreteStatsTable[[#This Row],[Name]]&amp;DiscreteStatsTable[[#This Row],[Type]]&amp;DiscreteStatsTable[[#This Row],[Source]]</f>
        <v>Unnamed ProjectTally 1IntervalUser Specified</v>
      </c>
      <c r="M169" s="5" cm="1">
        <f t="array" ref="M169">MAX(IF((ProjectInfoTable[ProjectName]=DiscreteStatsTable[[#This Row],[ProjectName]]),(ProjectInfoTable[ProjectName]=DiscreteStatsTable[[#This Row],[ProjectName]])*ProjectInfoTable[NumberOfReplications]))</f>
        <v>10</v>
      </c>
      <c r="N169" s="5" cm="1">
        <f t="array" ref="N169">IFERROR(AVERAGE(IF((DiscreteStatsTable[GroupByKey]=DiscreteStatsTable[[#This Row],[GroupByKey]]),(DiscreteStatsTable[GroupByKey]=DiscreteStatsTable[[#This Row],[GroupByKey]])*DiscreteStatsTable[Average])),0)</f>
        <v>50.857776733664473</v>
      </c>
      <c r="O169" s="5" cm="1">
        <f t="array" ref="O169">IFERROR(_xlfn.STDEV.S(IF((DiscreteStatsTable[GroupByKey]=DiscreteStatsTable[[#This Row],[GroupByKey]]),(DiscreteStatsTable[GroupByKey]=DiscreteStatsTable[[#This Row],[GroupByKey]])*DiscreteStatsTable[Average])),0)</f>
        <v>5.8895653869330848</v>
      </c>
      <c r="P169" s="5" cm="1">
        <f t="array" ref="P169">MAX(IF((ProjectInfoTable[ProjectName]=DiscreteStatsTable[[#This Row],[ProjectName]]),(ProjectInfoTable[ProjectName]=DiscreteStatsTable[[#This Row],[ProjectName]])*ProjectInfoTable[ConfidenceInterval]))</f>
        <v>0.95</v>
      </c>
      <c r="Q169" s="5">
        <f>IF(AND(DiscreteStatsTable[[#This Row],[RepsWithStatObserved]]=1,Y169=0),200000000000000000000,IFERROR(_xlfn.T.INV.2T(1 -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4.2131412727083717</v>
      </c>
      <c r="R169" s="5" cm="1">
        <f t="array" ref="R169">MIN(IF((DiscreteStatsTable[GroupByKey]=DiscreteStatsTable[[#This Row],[GroupByKey]]),(DiscreteStatsTable[GroupByKey]=DiscreteStatsTable[[#This Row],[GroupByKey]])*DiscreteStatsTable[Average]))</f>
        <v>43.777301708810903</v>
      </c>
      <c r="S169" s="5" cm="1">
        <f t="array" ref="S169">MAX(IF((DiscreteStatsTable[GroupByKey]=DiscreteStatsTable[[#This Row],[GroupByKey]]),(DiscreteStatsTable[GroupByKey]=DiscreteStatsTable[[#This Row],[GroupByKey]])*DiscreteStatsTable[Average]))</f>
        <v>62.233185761312299</v>
      </c>
      <c r="T169" s="5" cm="1">
        <f t="array" ref="T169">MIN(IF((DiscreteStatsTable[GroupByKey]=DiscreteStatsTable[[#This Row],[GroupByKey]]),(DiscreteStatsTable[GroupByKey]=DiscreteStatsTable[[#This Row],[GroupByKey]])*DiscreteStatsTable[Minimum]))</f>
        <v>13.298568495813001</v>
      </c>
      <c r="U169" s="5" cm="1">
        <f t="array" ref="U169">MAX(IF((DiscreteStatsTable[GroupByKey]=DiscreteStatsTable[[#This Row],[GroupByKey]]),(DiscreteStatsTable[GroupByKey]=DiscreteStatsTable[[#This Row],[GroupByKey]])*DiscreteStatsTable[Maximum]))</f>
        <v>244.587504005581</v>
      </c>
      <c r="V169" s="5" cm="1">
        <f t="array" ref="V169">IFERROR(AVERAGE(IF((DiscreteStatsTable[GroupByKey]=DiscreteStatsTable[[#This Row],[GroupByKey]]),(DiscreteStatsTable[GroupByKey]=DiscreteStatsTable[[#This Row],[GroupByKey]])*DiscreteStatsTable[NumberObservations])),0)</f>
        <v>156.19999999999999</v>
      </c>
      <c r="W169" s="5">
        <f>IF((DiscreteStatsTable[[#This Row],[RepsRequested]]&gt;1),DiscreteStatsTable[[#This Row],[HalfWidth]],DiscreteStatsTable[[#This Row],[BatchMeansHalfWidth]])</f>
        <v>4.2131412727083717</v>
      </c>
      <c r="X169" s="5" cm="1">
        <f t="array" ref="X169">COUNT(IF((DiscreteStatsTable[GroupByKey]=DiscreteStatsTable[[#This Row],[GroupByKey]]),(DiscreteStatsTable[GroupByKey]=DiscreteStatsTable[[#This Row],[GroupByKey]])*DiscreteStatsTable[Replication]))</f>
        <v>10</v>
      </c>
      <c r="Y169" s="5">
        <f>IF(DiscreteStatsTable[[#This Row],[RepsRequested]]=DiscreteStatsTable[[#This Row],[RepsWithStatObserved]],1,0)</f>
        <v>1</v>
      </c>
    </row>
    <row r="170" spans="1:25" x14ac:dyDescent="0.4">
      <c r="A170" t="s">
        <v>66</v>
      </c>
      <c r="B170" t="s">
        <v>69</v>
      </c>
      <c r="C170">
        <v>9</v>
      </c>
      <c r="D170" t="s">
        <v>90</v>
      </c>
      <c r="E170" t="s">
        <v>91</v>
      </c>
      <c r="F170" t="s">
        <v>92</v>
      </c>
      <c r="G170">
        <v>50.725049316230198</v>
      </c>
      <c r="H170">
        <v>2E+20</v>
      </c>
      <c r="I170">
        <v>14.550630517451699</v>
      </c>
      <c r="J170">
        <v>128.724435248909</v>
      </c>
      <c r="K170">
        <v>160</v>
      </c>
      <c r="L170" s="5" t="str">
        <f>DiscreteStatsTable[[#This Row],[ProjectName]]&amp;DiscreteStatsTable[[#This Row],[Name]]&amp;DiscreteStatsTable[[#This Row],[Type]]&amp;DiscreteStatsTable[[#This Row],[Source]]</f>
        <v>Unnamed ProjectTally 1IntervalUser Specified</v>
      </c>
      <c r="M170" s="5" cm="1">
        <f t="array" ref="M170">MAX(IF((ProjectInfoTable[ProjectName]=DiscreteStatsTable[[#This Row],[ProjectName]]),(ProjectInfoTable[ProjectName]=DiscreteStatsTable[[#This Row],[ProjectName]])*ProjectInfoTable[NumberOfReplications]))</f>
        <v>10</v>
      </c>
      <c r="N170" s="5" cm="1">
        <f t="array" ref="N170">IFERROR(AVERAGE(IF((DiscreteStatsTable[GroupByKey]=DiscreteStatsTable[[#This Row],[GroupByKey]]),(DiscreteStatsTable[GroupByKey]=DiscreteStatsTable[[#This Row],[GroupByKey]])*DiscreteStatsTable[Average])),0)</f>
        <v>50.857776733664473</v>
      </c>
      <c r="O170" s="5" cm="1">
        <f t="array" ref="O170">IFERROR(_xlfn.STDEV.S(IF((DiscreteStatsTable[GroupByKey]=DiscreteStatsTable[[#This Row],[GroupByKey]]),(DiscreteStatsTable[GroupByKey]=DiscreteStatsTable[[#This Row],[GroupByKey]])*DiscreteStatsTable[Average])),0)</f>
        <v>5.8895653869330848</v>
      </c>
      <c r="P170" s="5" cm="1">
        <f t="array" ref="P170">MAX(IF((ProjectInfoTable[ProjectName]=DiscreteStatsTable[[#This Row],[ProjectName]]),(ProjectInfoTable[ProjectName]=DiscreteStatsTable[[#This Row],[ProjectName]])*ProjectInfoTable[ConfidenceInterval]))</f>
        <v>0.95</v>
      </c>
      <c r="Q170" s="5">
        <f>IF(AND(DiscreteStatsTable[[#This Row],[RepsWithStatObserved]]=1,Y170=0),200000000000000000000,IFERROR(_xlfn.T.INV.2T(1 -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4.2131412727083717</v>
      </c>
      <c r="R170" s="5" cm="1">
        <f t="array" ref="R170">MIN(IF((DiscreteStatsTable[GroupByKey]=DiscreteStatsTable[[#This Row],[GroupByKey]]),(DiscreteStatsTable[GroupByKey]=DiscreteStatsTable[[#This Row],[GroupByKey]])*DiscreteStatsTable[Average]))</f>
        <v>43.777301708810903</v>
      </c>
      <c r="S170" s="5" cm="1">
        <f t="array" ref="S170">MAX(IF((DiscreteStatsTable[GroupByKey]=DiscreteStatsTable[[#This Row],[GroupByKey]]),(DiscreteStatsTable[GroupByKey]=DiscreteStatsTable[[#This Row],[GroupByKey]])*DiscreteStatsTable[Average]))</f>
        <v>62.233185761312299</v>
      </c>
      <c r="T170" s="5" cm="1">
        <f t="array" ref="T170">MIN(IF((DiscreteStatsTable[GroupByKey]=DiscreteStatsTable[[#This Row],[GroupByKey]]),(DiscreteStatsTable[GroupByKey]=DiscreteStatsTable[[#This Row],[GroupByKey]])*DiscreteStatsTable[Minimum]))</f>
        <v>13.298568495813001</v>
      </c>
      <c r="U170" s="5" cm="1">
        <f t="array" ref="U170">MAX(IF((DiscreteStatsTable[GroupByKey]=DiscreteStatsTable[[#This Row],[GroupByKey]]),(DiscreteStatsTable[GroupByKey]=DiscreteStatsTable[[#This Row],[GroupByKey]])*DiscreteStatsTable[Maximum]))</f>
        <v>244.587504005581</v>
      </c>
      <c r="V170" s="5" cm="1">
        <f t="array" ref="V170">IFERROR(AVERAGE(IF((DiscreteStatsTable[GroupByKey]=DiscreteStatsTable[[#This Row],[GroupByKey]]),(DiscreteStatsTable[GroupByKey]=DiscreteStatsTable[[#This Row],[GroupByKey]])*DiscreteStatsTable[NumberObservations])),0)</f>
        <v>156.19999999999999</v>
      </c>
      <c r="W170" s="5">
        <f>IF((DiscreteStatsTable[[#This Row],[RepsRequested]]&gt;1),DiscreteStatsTable[[#This Row],[HalfWidth]],DiscreteStatsTable[[#This Row],[BatchMeansHalfWidth]])</f>
        <v>4.2131412727083717</v>
      </c>
      <c r="X170" s="5" cm="1">
        <f t="array" ref="X170">COUNT(IF((DiscreteStatsTable[GroupByKey]=DiscreteStatsTable[[#This Row],[GroupByKey]]),(DiscreteStatsTable[GroupByKey]=DiscreteStatsTable[[#This Row],[GroupByKey]])*DiscreteStatsTable[Replication]))</f>
        <v>10</v>
      </c>
      <c r="Y170" s="5">
        <f>IF(DiscreteStatsTable[[#This Row],[RepsRequested]]=DiscreteStatsTable[[#This Row],[RepsWithStatObserved]],1,0)</f>
        <v>1</v>
      </c>
    </row>
    <row r="171" spans="1:25" x14ac:dyDescent="0.4">
      <c r="A171" t="s">
        <v>66</v>
      </c>
      <c r="B171" t="s">
        <v>69</v>
      </c>
      <c r="C171">
        <v>10</v>
      </c>
      <c r="D171" t="s">
        <v>90</v>
      </c>
      <c r="E171" t="s">
        <v>91</v>
      </c>
      <c r="F171" t="s">
        <v>92</v>
      </c>
      <c r="G171">
        <v>49.465289285032398</v>
      </c>
      <c r="H171">
        <v>2E+20</v>
      </c>
      <c r="I171">
        <v>14.163930546644799</v>
      </c>
      <c r="J171">
        <v>174.33747541988899</v>
      </c>
      <c r="K171">
        <v>146</v>
      </c>
      <c r="L171" s="5" t="str">
        <f>DiscreteStatsTable[[#This Row],[ProjectName]]&amp;DiscreteStatsTable[[#This Row],[Name]]&amp;DiscreteStatsTable[[#This Row],[Type]]&amp;DiscreteStatsTable[[#This Row],[Source]]</f>
        <v>Unnamed ProjectTally 1IntervalUser Specified</v>
      </c>
      <c r="M171" s="5" cm="1">
        <f t="array" ref="M171">MAX(IF((ProjectInfoTable[ProjectName]=DiscreteStatsTable[[#This Row],[ProjectName]]),(ProjectInfoTable[ProjectName]=DiscreteStatsTable[[#This Row],[ProjectName]])*ProjectInfoTable[NumberOfReplications]))</f>
        <v>10</v>
      </c>
      <c r="N171" s="5" cm="1">
        <f t="array" ref="N171">IFERROR(AVERAGE(IF((DiscreteStatsTable[GroupByKey]=DiscreteStatsTable[[#This Row],[GroupByKey]]),(DiscreteStatsTable[GroupByKey]=DiscreteStatsTable[[#This Row],[GroupByKey]])*DiscreteStatsTable[Average])),0)</f>
        <v>50.857776733664473</v>
      </c>
      <c r="O171" s="5" cm="1">
        <f t="array" ref="O171">IFERROR(_xlfn.STDEV.S(IF((DiscreteStatsTable[GroupByKey]=DiscreteStatsTable[[#This Row],[GroupByKey]]),(DiscreteStatsTable[GroupByKey]=DiscreteStatsTable[[#This Row],[GroupByKey]])*DiscreteStatsTable[Average])),0)</f>
        <v>5.8895653869330848</v>
      </c>
      <c r="P171" s="5" cm="1">
        <f t="array" ref="P171">MAX(IF((ProjectInfoTable[ProjectName]=DiscreteStatsTable[[#This Row],[ProjectName]]),(ProjectInfoTable[ProjectName]=DiscreteStatsTable[[#This Row],[ProjectName]])*ProjectInfoTable[ConfidenceInterval]))</f>
        <v>0.95</v>
      </c>
      <c r="Q171" s="5">
        <f>IF(AND(DiscreteStatsTable[[#This Row],[RepsWithStatObserved]]=1,Y171=0),200000000000000000000,IFERROR(_xlfn.T.INV.2T(1 -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4.2131412727083717</v>
      </c>
      <c r="R171" s="5" cm="1">
        <f t="array" ref="R171">MIN(IF((DiscreteStatsTable[GroupByKey]=DiscreteStatsTable[[#This Row],[GroupByKey]]),(DiscreteStatsTable[GroupByKey]=DiscreteStatsTable[[#This Row],[GroupByKey]])*DiscreteStatsTable[Average]))</f>
        <v>43.777301708810903</v>
      </c>
      <c r="S171" s="5" cm="1">
        <f t="array" ref="S171">MAX(IF((DiscreteStatsTable[GroupByKey]=DiscreteStatsTable[[#This Row],[GroupByKey]]),(DiscreteStatsTable[GroupByKey]=DiscreteStatsTable[[#This Row],[GroupByKey]])*DiscreteStatsTable[Average]))</f>
        <v>62.233185761312299</v>
      </c>
      <c r="T171" s="5" cm="1">
        <f t="array" ref="T171">MIN(IF((DiscreteStatsTable[GroupByKey]=DiscreteStatsTable[[#This Row],[GroupByKey]]),(DiscreteStatsTable[GroupByKey]=DiscreteStatsTable[[#This Row],[GroupByKey]])*DiscreteStatsTable[Minimum]))</f>
        <v>13.298568495813001</v>
      </c>
      <c r="U171" s="5" cm="1">
        <f t="array" ref="U171">MAX(IF((DiscreteStatsTable[GroupByKey]=DiscreteStatsTable[[#This Row],[GroupByKey]]),(DiscreteStatsTable[GroupByKey]=DiscreteStatsTable[[#This Row],[GroupByKey]])*DiscreteStatsTable[Maximum]))</f>
        <v>244.587504005581</v>
      </c>
      <c r="V171" s="5" cm="1">
        <f t="array" ref="V171">IFERROR(AVERAGE(IF((DiscreteStatsTable[GroupByKey]=DiscreteStatsTable[[#This Row],[GroupByKey]]),(DiscreteStatsTable[GroupByKey]=DiscreteStatsTable[[#This Row],[GroupByKey]])*DiscreteStatsTable[NumberObservations])),0)</f>
        <v>156.19999999999999</v>
      </c>
      <c r="W171" s="5">
        <f>IF((DiscreteStatsTable[[#This Row],[RepsRequested]]&gt;1),DiscreteStatsTable[[#This Row],[HalfWidth]],DiscreteStatsTable[[#This Row],[BatchMeansHalfWidth]])</f>
        <v>4.2131412727083717</v>
      </c>
      <c r="X171" s="5" cm="1">
        <f t="array" ref="X171">COUNT(IF((DiscreteStatsTable[GroupByKey]=DiscreteStatsTable[[#This Row],[GroupByKey]]),(DiscreteStatsTable[GroupByKey]=DiscreteStatsTable[[#This Row],[GroupByKey]])*DiscreteStatsTable[Replication]))</f>
        <v>10</v>
      </c>
      <c r="Y171" s="5">
        <f>IF(DiscreteStatsTable[[#This Row],[RepsRequested]]=DiscreteStatsTable[[#This Row],[RepsWithStatObserved]],1,0)</f>
        <v>1</v>
      </c>
    </row>
  </sheetData>
  <phoneticPr fontId="2" type="noConversion"/>
  <conditionalFormatting sqref="H2:H171 Q2:Q171">
    <cfRule type="expression" dxfId="20" priority="23">
      <formula>H2=200000000000000000000</formula>
    </cfRule>
  </conditionalFormatting>
  <conditionalFormatting sqref="H2:H171">
    <cfRule type="expression" dxfId="19" priority="21">
      <formula>H2=300000000000000000000</formula>
    </cfRule>
  </conditionalFormatting>
  <conditionalFormatting sqref="L2:Y171">
    <cfRule type="expression" dxfId="18" priority="19">
      <formula>MOD(ROW(),2)=0</formula>
    </cfRule>
  </conditionalFormatting>
  <conditionalFormatting sqref="Y2:Y171">
    <cfRule type="expression" dxfId="17" priority="14">
      <formula>Y2=0</formula>
    </cfRule>
    <cfRule type="expression" dxfId="16" priority="16">
      <formula>Y2=1</formula>
    </cfRule>
  </conditionalFormatting>
  <conditionalFormatting sqref="Y3:Y171">
    <cfRule type="expression" dxfId="15" priority="15">
      <formula>Y3=1</formula>
    </cfRule>
  </conditionalFormatting>
  <conditionalFormatting sqref="W2:W171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171 W2:W171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261"/>
  <sheetViews>
    <sheetView workbookViewId="0">
      <selection activeCell="A2" sqref="A2:L11"/>
    </sheetView>
  </sheetViews>
  <sheetFormatPr defaultRowHeight="13.9" x14ac:dyDescent="0.4"/>
  <cols>
    <col min="1" max="1" width="15.796875" bestFit="1" customWidth="1"/>
    <col min="2" max="2" width="22.3984375" bestFit="1" customWidth="1"/>
    <col min="3" max="3" width="13.1328125" bestFit="1" customWidth="1"/>
    <col min="4" max="4" width="14.53125" bestFit="1" customWidth="1"/>
    <col min="5" max="5" width="22.06640625" bestFit="1" customWidth="1"/>
    <col min="6" max="6" width="9.265625" bestFit="1" customWidth="1"/>
    <col min="7" max="7" width="12.19921875" bestFit="1" customWidth="1"/>
    <col min="8" max="8" width="23.59765625" bestFit="1" customWidth="1"/>
    <col min="9" max="9" width="11.86328125" bestFit="1" customWidth="1"/>
    <col min="10" max="10" width="12.19921875" bestFit="1" customWidth="1"/>
    <col min="11" max="11" width="20.3984375" bestFit="1" customWidth="1"/>
    <col min="12" max="12" width="11.796875" bestFit="1" customWidth="1"/>
    <col min="13" max="13" width="50.33203125" bestFit="1" customWidth="1"/>
    <col min="14" max="14" width="16.86328125" bestFit="1" customWidth="1"/>
    <col min="15" max="15" width="20.1328125" bestFit="1" customWidth="1"/>
    <col min="16" max="16" width="18" bestFit="1" customWidth="1"/>
    <col min="17" max="17" width="20.19921875" bestFit="1" customWidth="1"/>
    <col min="18" max="18" width="12.19921875" bestFit="1" customWidth="1"/>
    <col min="19" max="19" width="19.3984375" bestFit="1" customWidth="1"/>
    <col min="20" max="20" width="19.796875" bestFit="1" customWidth="1"/>
    <col min="21" max="21" width="21.1328125" bestFit="1" customWidth="1"/>
    <col min="22" max="22" width="20" bestFit="1" customWidth="1"/>
  </cols>
  <sheetData>
    <row r="1" spans="1:21" x14ac:dyDescent="0.4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4">
      <c r="A2" t="s">
        <v>66</v>
      </c>
      <c r="B2" t="s">
        <v>69</v>
      </c>
      <c r="C2">
        <v>1</v>
      </c>
      <c r="D2" t="s">
        <v>70</v>
      </c>
      <c r="E2" t="s">
        <v>93</v>
      </c>
      <c r="F2" t="s">
        <v>72</v>
      </c>
      <c r="G2">
        <v>5.7959858410018601</v>
      </c>
      <c r="H2">
        <v>3E+20</v>
      </c>
      <c r="I2">
        <v>0</v>
      </c>
      <c r="J2">
        <v>14</v>
      </c>
      <c r="K2">
        <v>3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10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6.6735315353875011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1.4829188547421246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1.0608162437338877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4.5894957727661101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9.5134854029509093</v>
      </c>
      <c r="U2">
        <f>IF((ContinuousStatsTable[[#This Row],[RepsRequested]]&gt;1),ContinuousStatsTable[[#This Row],[HalfWidth]],ContinuousStatsTable[[#This Row],[BatchMeansHalfWidth]])</f>
        <v>1.0608162437338877</v>
      </c>
    </row>
    <row r="3" spans="1:21" x14ac:dyDescent="0.4">
      <c r="A3" t="s">
        <v>66</v>
      </c>
      <c r="B3" t="s">
        <v>69</v>
      </c>
      <c r="C3">
        <v>1</v>
      </c>
      <c r="D3" t="s">
        <v>78</v>
      </c>
      <c r="E3" t="s">
        <v>94</v>
      </c>
      <c r="F3" t="s">
        <v>80</v>
      </c>
      <c r="G3">
        <v>0</v>
      </c>
      <c r="H3">
        <v>2E+20</v>
      </c>
      <c r="I3">
        <v>0</v>
      </c>
      <c r="J3">
        <v>0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ProjectHold M1.QueueNumber WaitingQueue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10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</v>
      </c>
      <c r="U3">
        <f>IF((ContinuousStatsTable[[#This Row],[RepsRequested]]&gt;1),ContinuousStatsTable[[#This Row],[HalfWidth]],ContinuousStatsTable[[#This Row],[BatchMeansHalfWidth]])</f>
        <v>0</v>
      </c>
    </row>
    <row r="4" spans="1:21" x14ac:dyDescent="0.4">
      <c r="A4" t="s">
        <v>66</v>
      </c>
      <c r="B4" t="s">
        <v>69</v>
      </c>
      <c r="C4">
        <v>1</v>
      </c>
      <c r="D4" t="s">
        <v>81</v>
      </c>
      <c r="E4" t="s">
        <v>94</v>
      </c>
      <c r="F4" t="s">
        <v>80</v>
      </c>
      <c r="G4">
        <v>0</v>
      </c>
      <c r="H4">
        <v>2E+20</v>
      </c>
      <c r="I4">
        <v>0</v>
      </c>
      <c r="J4">
        <v>0</v>
      </c>
      <c r="K4">
        <v>0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ProjectHold M2.QueueNumber WaitingQueue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10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0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0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0</v>
      </c>
      <c r="U4">
        <f>IF((ContinuousStatsTable[[#This Row],[RepsRequested]]&gt;1),ContinuousStatsTable[[#This Row],[HalfWidth]],ContinuousStatsTable[[#This Row],[BatchMeansHalfWidth]])</f>
        <v>0</v>
      </c>
    </row>
    <row r="5" spans="1:21" x14ac:dyDescent="0.4">
      <c r="A5" t="s">
        <v>66</v>
      </c>
      <c r="B5" t="s">
        <v>69</v>
      </c>
      <c r="C5">
        <v>1</v>
      </c>
      <c r="D5" t="s">
        <v>82</v>
      </c>
      <c r="E5" t="s">
        <v>94</v>
      </c>
      <c r="F5" t="s">
        <v>80</v>
      </c>
      <c r="G5">
        <v>0</v>
      </c>
      <c r="H5">
        <v>2E+20</v>
      </c>
      <c r="I5">
        <v>0</v>
      </c>
      <c r="J5">
        <v>0</v>
      </c>
      <c r="K5">
        <v>0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ProjectHold M3.QueueNumber WaitingQueue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10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0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0</v>
      </c>
      <c r="U5">
        <f>IF((ContinuousStatsTable[[#This Row],[RepsRequested]]&gt;1),ContinuousStatsTable[[#This Row],[HalfWidth]],ContinuousStatsTable[[#This Row],[BatchMeansHalfWidth]])</f>
        <v>0</v>
      </c>
    </row>
    <row r="6" spans="1:21" x14ac:dyDescent="0.4">
      <c r="A6" t="s">
        <v>66</v>
      </c>
      <c r="B6" t="s">
        <v>69</v>
      </c>
      <c r="C6">
        <v>1</v>
      </c>
      <c r="D6" t="s">
        <v>83</v>
      </c>
      <c r="E6" t="s">
        <v>94</v>
      </c>
      <c r="F6" t="s">
        <v>80</v>
      </c>
      <c r="G6">
        <v>0</v>
      </c>
      <c r="H6">
        <v>2E+20</v>
      </c>
      <c r="I6">
        <v>0</v>
      </c>
      <c r="J6">
        <v>0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ProjectHold M4.QueueNumber WaitingQueue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10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0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0</v>
      </c>
      <c r="U6">
        <f>IF((ContinuousStatsTable[[#This Row],[RepsRequested]]&gt;1),ContinuousStatsTable[[#This Row],[HalfWidth]],ContinuousStatsTable[[#This Row],[BatchMeansHalfWidth]])</f>
        <v>0</v>
      </c>
    </row>
    <row r="7" spans="1:21" x14ac:dyDescent="0.4">
      <c r="A7" t="s">
        <v>66</v>
      </c>
      <c r="B7" t="s">
        <v>69</v>
      </c>
      <c r="C7">
        <v>1</v>
      </c>
      <c r="D7" t="s">
        <v>84</v>
      </c>
      <c r="E7" t="s">
        <v>94</v>
      </c>
      <c r="F7" t="s">
        <v>80</v>
      </c>
      <c r="G7">
        <v>0</v>
      </c>
      <c r="H7">
        <v>2E+20</v>
      </c>
      <c r="I7">
        <v>0</v>
      </c>
      <c r="J7">
        <v>0</v>
      </c>
      <c r="K7">
        <v>0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ProjectHold M5.QueueNumber WaitingQueue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10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0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0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0</v>
      </c>
      <c r="U7">
        <f>IF((ContinuousStatsTable[[#This Row],[RepsRequested]]&gt;1),ContinuousStatsTable[[#This Row],[HalfWidth]],ContinuousStatsTable[[#This Row],[BatchMeansHalfWidth]])</f>
        <v>0</v>
      </c>
    </row>
    <row r="8" spans="1:21" x14ac:dyDescent="0.4">
      <c r="A8" t="s">
        <v>66</v>
      </c>
      <c r="B8" t="s">
        <v>69</v>
      </c>
      <c r="C8">
        <v>1</v>
      </c>
      <c r="D8" t="s">
        <v>95</v>
      </c>
      <c r="E8" t="s">
        <v>96</v>
      </c>
      <c r="F8" t="s">
        <v>97</v>
      </c>
      <c r="G8">
        <v>0.374267024592987</v>
      </c>
      <c r="H8">
        <v>2E+20</v>
      </c>
      <c r="I8">
        <v>0</v>
      </c>
      <c r="J8">
        <v>1</v>
      </c>
      <c r="K8">
        <v>0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ProjectM1Instantaneous UtilizationResource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10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0.35418637725041224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3.3453936231241439E-2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2.3931504314920794E-2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0.29539806709730798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0.39865120046345498</v>
      </c>
      <c r="U8">
        <f>IF((ContinuousStatsTable[[#This Row],[RepsRequested]]&gt;1),ContinuousStatsTable[[#This Row],[HalfWidth]],ContinuousStatsTable[[#This Row],[BatchMeansHalfWidth]])</f>
        <v>2.3931504314920794E-2</v>
      </c>
    </row>
    <row r="9" spans="1:21" x14ac:dyDescent="0.4">
      <c r="A9" t="s">
        <v>66</v>
      </c>
      <c r="B9" t="s">
        <v>69</v>
      </c>
      <c r="C9">
        <v>1</v>
      </c>
      <c r="D9" t="s">
        <v>95</v>
      </c>
      <c r="E9" t="s">
        <v>98</v>
      </c>
      <c r="F9" t="s">
        <v>97</v>
      </c>
      <c r="G9">
        <v>0.74853404918597299</v>
      </c>
      <c r="H9">
        <v>2E+20</v>
      </c>
      <c r="I9">
        <v>0</v>
      </c>
      <c r="J9">
        <v>2</v>
      </c>
      <c r="K9">
        <v>0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ProjectM1Number BusyResource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10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0.70837275450082438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6.6907872462483045E-2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4.7863008629841705E-2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0.59079613419461596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0.79730240092691096</v>
      </c>
      <c r="U9">
        <f>IF((ContinuousStatsTable[[#This Row],[RepsRequested]]&gt;1),ContinuousStatsTable[[#This Row],[HalfWidth]],ContinuousStatsTable[[#This Row],[BatchMeansHalfWidth]])</f>
        <v>4.7863008629841705E-2</v>
      </c>
    </row>
    <row r="10" spans="1:21" x14ac:dyDescent="0.4">
      <c r="A10" t="s">
        <v>66</v>
      </c>
      <c r="B10" t="s">
        <v>69</v>
      </c>
      <c r="C10">
        <v>1</v>
      </c>
      <c r="D10" t="s">
        <v>95</v>
      </c>
      <c r="E10" t="s">
        <v>99</v>
      </c>
      <c r="F10" t="s">
        <v>97</v>
      </c>
      <c r="G10">
        <v>2</v>
      </c>
      <c r="H10">
        <v>2E+20</v>
      </c>
      <c r="I10">
        <v>2</v>
      </c>
      <c r="J10">
        <v>2</v>
      </c>
      <c r="K10">
        <v>2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ProjectM1Number ScheduledResource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10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2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2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2</v>
      </c>
      <c r="U10">
        <f>IF((ContinuousStatsTable[[#This Row],[RepsRequested]]&gt;1),ContinuousStatsTable[[#This Row],[HalfWidth]],ContinuousStatsTable[[#This Row],[BatchMeansHalfWidth]])</f>
        <v>0</v>
      </c>
    </row>
    <row r="11" spans="1:21" x14ac:dyDescent="0.4">
      <c r="A11" t="s">
        <v>66</v>
      </c>
      <c r="B11" t="s">
        <v>69</v>
      </c>
      <c r="C11">
        <v>1</v>
      </c>
      <c r="D11" t="s">
        <v>85</v>
      </c>
      <c r="E11" t="s">
        <v>94</v>
      </c>
      <c r="F11" t="s">
        <v>80</v>
      </c>
      <c r="G11">
        <v>0.111569495659238</v>
      </c>
      <c r="H11">
        <v>2E+20</v>
      </c>
      <c r="I11">
        <v>0</v>
      </c>
      <c r="J11">
        <v>4</v>
      </c>
      <c r="K11">
        <v>0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ProjectM1.QNumber WaitingQueue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10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8.2638825969756052E-2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2.9983492659856659E-2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2.1448898539349195E-2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3.4990004496426703E-2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0.13146637852281401</v>
      </c>
      <c r="U11">
        <f>IF((ContinuousStatsTable[[#This Row],[RepsRequested]]&gt;1),ContinuousStatsTable[[#This Row],[HalfWidth]],ContinuousStatsTable[[#This Row],[BatchMeansHalfWidth]])</f>
        <v>2.1448898539349195E-2</v>
      </c>
    </row>
    <row r="12" spans="1:21" x14ac:dyDescent="0.4">
      <c r="A12" t="s">
        <v>66</v>
      </c>
      <c r="B12" t="s">
        <v>69</v>
      </c>
      <c r="C12">
        <v>1</v>
      </c>
      <c r="D12" t="s">
        <v>100</v>
      </c>
      <c r="E12" t="s">
        <v>96</v>
      </c>
      <c r="F12" t="s">
        <v>97</v>
      </c>
      <c r="G12">
        <v>0.80516328442467799</v>
      </c>
      <c r="H12">
        <v>2E+20</v>
      </c>
      <c r="I12">
        <v>0</v>
      </c>
      <c r="J12">
        <v>1</v>
      </c>
      <c r="K12">
        <v>1</v>
      </c>
      <c r="L12">
        <v>0</v>
      </c>
      <c r="M12" s="5" t="str">
        <f>ContinuousStatsTable[[#This Row],[ProjectName]]&amp;ContinuousStatsTable[[#This Row],[Name]]&amp;ContinuousStatsTable[[#This Row],[Type]]&amp;ContinuousStatsTable[[#This Row],[Source]]</f>
        <v>Unnamed ProjectM2Instantaneous UtilizationResource</v>
      </c>
      <c r="N12" s="5" cm="1">
        <f t="array" ref="N12">MAX(IF((ProjectInfoTable[ProjectName]=ContinuousStatsTable[[#This Row],[ProjectName]]),(ProjectInfoTable[ProjectName]=ContinuousStatsTable[[#This Row],[ProjectName]])*ProjectInfoTable[NumberOfReplications]))</f>
        <v>10</v>
      </c>
      <c r="O12" s="5" cm="1">
        <f t="array" ref="O12">IFERROR(AVERAGE(IF((ContinuousStatsTable[GroupByKey]=ContinuousStatsTable[[#This Row],[GroupByKey]]),(ContinuousStatsTable[GroupByKey]=ContinuousStatsTable[[#This Row],[GroupByKey]])*ContinuousStatsTable[Average])),0)</f>
        <v>0.79069410142096264</v>
      </c>
      <c r="P12" s="5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8.4677985904895448E-2</v>
      </c>
      <c r="Q12" s="5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6.0574982000753563E-2</v>
      </c>
      <c r="S12" s="5" cm="1">
        <f t="array" ref="S12">MIN(IF((ContinuousStatsTable[GroupByKey]=ContinuousStatsTable[[#This Row],[GroupByKey]]),(ContinuousStatsTable[GroupByKey]=ContinuousStatsTable[[#This Row],[GroupByKey]])*ContinuousStatsTable[Average]))</f>
        <v>0.62412916158771403</v>
      </c>
      <c r="T12" s="5" cm="1">
        <f t="array" ref="T12">MAX(IF((ContinuousStatsTable[GroupByKey]=ContinuousStatsTable[[#This Row],[GroupByKey]]),(ContinuousStatsTable[GroupByKey]=ContinuousStatsTable[[#This Row],[GroupByKey]])*ContinuousStatsTable[Average]))</f>
        <v>0.92247891730008102</v>
      </c>
      <c r="U12" s="5">
        <f>IF((ContinuousStatsTable[[#This Row],[RepsRequested]]&gt;1),ContinuousStatsTable[[#This Row],[HalfWidth]],ContinuousStatsTable[[#This Row],[BatchMeansHalfWidth]])</f>
        <v>6.0574982000753563E-2</v>
      </c>
    </row>
    <row r="13" spans="1:21" x14ac:dyDescent="0.4">
      <c r="A13" t="s">
        <v>66</v>
      </c>
      <c r="B13" t="s">
        <v>69</v>
      </c>
      <c r="C13">
        <v>1</v>
      </c>
      <c r="D13" t="s">
        <v>100</v>
      </c>
      <c r="E13" t="s">
        <v>98</v>
      </c>
      <c r="F13" t="s">
        <v>97</v>
      </c>
      <c r="G13">
        <v>0.80516328442467799</v>
      </c>
      <c r="H13">
        <v>2E+20</v>
      </c>
      <c r="I13">
        <v>0</v>
      </c>
      <c r="J13">
        <v>1</v>
      </c>
      <c r="K13">
        <v>1</v>
      </c>
      <c r="L13">
        <v>0</v>
      </c>
      <c r="M13" s="5" t="str">
        <f>ContinuousStatsTable[[#This Row],[ProjectName]]&amp;ContinuousStatsTable[[#This Row],[Name]]&amp;ContinuousStatsTable[[#This Row],[Type]]&amp;ContinuousStatsTable[[#This Row],[Source]]</f>
        <v>Unnamed ProjectM2Number BusyResource</v>
      </c>
      <c r="N13" s="5" cm="1">
        <f t="array" ref="N13">MAX(IF((ProjectInfoTable[ProjectName]=ContinuousStatsTable[[#This Row],[ProjectName]]),(ProjectInfoTable[ProjectName]=ContinuousStatsTable[[#This Row],[ProjectName]])*ProjectInfoTable[NumberOfReplications]))</f>
        <v>10</v>
      </c>
      <c r="O13" s="5" cm="1">
        <f t="array" ref="O13">IFERROR(AVERAGE(IF((ContinuousStatsTable[GroupByKey]=ContinuousStatsTable[[#This Row],[GroupByKey]]),(ContinuousStatsTable[GroupByKey]=ContinuousStatsTable[[#This Row],[GroupByKey]])*ContinuousStatsTable[Average])),0)</f>
        <v>0.79069410142096264</v>
      </c>
      <c r="P13" s="5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8.4677985904895448E-2</v>
      </c>
      <c r="Q13" s="5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6.0574982000753563E-2</v>
      </c>
      <c r="S13" s="5" cm="1">
        <f t="array" ref="S13">MIN(IF((ContinuousStatsTable[GroupByKey]=ContinuousStatsTable[[#This Row],[GroupByKey]]),(ContinuousStatsTable[GroupByKey]=ContinuousStatsTable[[#This Row],[GroupByKey]])*ContinuousStatsTable[Average]))</f>
        <v>0.62412916158771403</v>
      </c>
      <c r="T13" s="5" cm="1">
        <f t="array" ref="T13">MAX(IF((ContinuousStatsTable[GroupByKey]=ContinuousStatsTable[[#This Row],[GroupByKey]]),(ContinuousStatsTable[GroupByKey]=ContinuousStatsTable[[#This Row],[GroupByKey]])*ContinuousStatsTable[Average]))</f>
        <v>0.92247891730008102</v>
      </c>
      <c r="U13" s="5">
        <f>IF((ContinuousStatsTable[[#This Row],[RepsRequested]]&gt;1),ContinuousStatsTable[[#This Row],[HalfWidth]],ContinuousStatsTable[[#This Row],[BatchMeansHalfWidth]])</f>
        <v>6.0574982000753563E-2</v>
      </c>
    </row>
    <row r="14" spans="1:21" x14ac:dyDescent="0.4">
      <c r="A14" t="s">
        <v>66</v>
      </c>
      <c r="B14" t="s">
        <v>69</v>
      </c>
      <c r="C14">
        <v>1</v>
      </c>
      <c r="D14" t="s">
        <v>100</v>
      </c>
      <c r="E14" t="s">
        <v>99</v>
      </c>
      <c r="F14" t="s">
        <v>97</v>
      </c>
      <c r="G14">
        <v>1</v>
      </c>
      <c r="H14">
        <v>2E+20</v>
      </c>
      <c r="I14">
        <v>1</v>
      </c>
      <c r="J14">
        <v>1</v>
      </c>
      <c r="K14">
        <v>1</v>
      </c>
      <c r="L14">
        <v>0</v>
      </c>
      <c r="M14" s="5" t="str">
        <f>ContinuousStatsTable[[#This Row],[ProjectName]]&amp;ContinuousStatsTable[[#This Row],[Name]]&amp;ContinuousStatsTable[[#This Row],[Type]]&amp;ContinuousStatsTable[[#This Row],[Source]]</f>
        <v>Unnamed ProjectM2Number ScheduledResource</v>
      </c>
      <c r="N14" s="5" cm="1">
        <f t="array" ref="N14">MAX(IF((ProjectInfoTable[ProjectName]=ContinuousStatsTable[[#This Row],[ProjectName]]),(ProjectInfoTable[ProjectName]=ContinuousStatsTable[[#This Row],[ProjectName]])*ProjectInfoTable[NumberOfReplications]))</f>
        <v>10</v>
      </c>
      <c r="O14" s="5" cm="1">
        <f t="array" ref="O14">IFERROR(AVERAGE(IF((ContinuousStatsTable[GroupByKey]=ContinuousStatsTable[[#This Row],[GroupByKey]]),(ContinuousStatsTable[GroupByKey]=ContinuousStatsTable[[#This Row],[GroupByKey]])*ContinuousStatsTable[Average])),0)</f>
        <v>1</v>
      </c>
      <c r="P14" s="5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</v>
      </c>
      <c r="Q14" s="5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" s="5" cm="1">
        <f t="array" ref="S14">MIN(IF((ContinuousStatsTable[GroupByKey]=ContinuousStatsTable[[#This Row],[GroupByKey]]),(ContinuousStatsTable[GroupByKey]=ContinuousStatsTable[[#This Row],[GroupByKey]])*ContinuousStatsTable[Average]))</f>
        <v>1</v>
      </c>
      <c r="T14" s="5" cm="1">
        <f t="array" ref="T14">MAX(IF((ContinuousStatsTable[GroupByKey]=ContinuousStatsTable[[#This Row],[GroupByKey]]),(ContinuousStatsTable[GroupByKey]=ContinuousStatsTable[[#This Row],[GroupByKey]])*ContinuousStatsTable[Average]))</f>
        <v>1</v>
      </c>
      <c r="U14" s="5">
        <f>IF((ContinuousStatsTable[[#This Row],[RepsRequested]]&gt;1),ContinuousStatsTable[[#This Row],[HalfWidth]],ContinuousStatsTable[[#This Row],[BatchMeansHalfWidth]])</f>
        <v>0</v>
      </c>
    </row>
    <row r="15" spans="1:21" x14ac:dyDescent="0.4">
      <c r="A15" t="s">
        <v>66</v>
      </c>
      <c r="B15" t="s">
        <v>69</v>
      </c>
      <c r="C15">
        <v>1</v>
      </c>
      <c r="D15" t="s">
        <v>86</v>
      </c>
      <c r="E15" t="s">
        <v>94</v>
      </c>
      <c r="F15" t="s">
        <v>80</v>
      </c>
      <c r="G15">
        <v>1.0667053587189701</v>
      </c>
      <c r="H15">
        <v>2E+20</v>
      </c>
      <c r="I15">
        <v>0</v>
      </c>
      <c r="J15">
        <v>6</v>
      </c>
      <c r="K15">
        <v>0</v>
      </c>
      <c r="L15">
        <v>0</v>
      </c>
      <c r="M15" s="5" t="str">
        <f>ContinuousStatsTable[[#This Row],[ProjectName]]&amp;ContinuousStatsTable[[#This Row],[Name]]&amp;ContinuousStatsTable[[#This Row],[Type]]&amp;ContinuousStatsTable[[#This Row],[Source]]</f>
        <v>Unnamed ProjectM2.QNumber WaitingQueue</v>
      </c>
      <c r="N15" s="5" cm="1">
        <f t="array" ref="N15">MAX(IF((ProjectInfoTable[ProjectName]=ContinuousStatsTable[[#This Row],[ProjectName]]),(ProjectInfoTable[ProjectName]=ContinuousStatsTable[[#This Row],[ProjectName]])*ProjectInfoTable[NumberOfReplications]))</f>
        <v>10</v>
      </c>
      <c r="O15" s="5" cm="1">
        <f t="array" ref="O15">IFERROR(AVERAGE(IF((ContinuousStatsTable[GroupByKey]=ContinuousStatsTable[[#This Row],[GroupByKey]]),(ContinuousStatsTable[GroupByKey]=ContinuousStatsTable[[#This Row],[GroupByKey]])*ContinuousStatsTable[Average])),0)</f>
        <v>1.9414248775037748</v>
      </c>
      <c r="P15" s="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1.0999712931753487</v>
      </c>
      <c r="Q15" s="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0.78687206094246831</v>
      </c>
      <c r="S15" s="5" cm="1">
        <f t="array" ref="S15">MIN(IF((ContinuousStatsTable[GroupByKey]=ContinuousStatsTable[[#This Row],[GroupByKey]]),(ContinuousStatsTable[GroupByKey]=ContinuousStatsTable[[#This Row],[GroupByKey]])*ContinuousStatsTable[Average]))</f>
        <v>0.64368437614034602</v>
      </c>
      <c r="T15" s="5" cm="1">
        <f t="array" ref="T15">MAX(IF((ContinuousStatsTable[GroupByKey]=ContinuousStatsTable[[#This Row],[GroupByKey]]),(ContinuousStatsTable[GroupByKey]=ContinuousStatsTable[[#This Row],[GroupByKey]])*ContinuousStatsTable[Average]))</f>
        <v>3.96038812902029</v>
      </c>
      <c r="U15" s="5">
        <f>IF((ContinuousStatsTable[[#This Row],[RepsRequested]]&gt;1),ContinuousStatsTable[[#This Row],[HalfWidth]],ContinuousStatsTable[[#This Row],[BatchMeansHalfWidth]])</f>
        <v>0.78687206094246831</v>
      </c>
    </row>
    <row r="16" spans="1:21" x14ac:dyDescent="0.4">
      <c r="A16" t="s">
        <v>66</v>
      </c>
      <c r="B16" t="s">
        <v>69</v>
      </c>
      <c r="C16">
        <v>1</v>
      </c>
      <c r="D16" t="s">
        <v>101</v>
      </c>
      <c r="E16" t="s">
        <v>96</v>
      </c>
      <c r="F16" t="s">
        <v>97</v>
      </c>
      <c r="G16">
        <v>0.365889664505329</v>
      </c>
      <c r="H16">
        <v>4.33433939418192E-2</v>
      </c>
      <c r="I16">
        <v>0</v>
      </c>
      <c r="J16">
        <v>1</v>
      </c>
      <c r="K16">
        <v>0</v>
      </c>
      <c r="L16">
        <v>0</v>
      </c>
      <c r="M16" s="5" t="str">
        <f>ContinuousStatsTable[[#This Row],[ProjectName]]&amp;ContinuousStatsTable[[#This Row],[Name]]&amp;ContinuousStatsTable[[#This Row],[Type]]&amp;ContinuousStatsTable[[#This Row],[Source]]</f>
        <v>Unnamed ProjectM3Instantaneous UtilizationResource</v>
      </c>
      <c r="N16" s="5" cm="1">
        <f t="array" ref="N16">MAX(IF((ProjectInfoTable[ProjectName]=ContinuousStatsTable[[#This Row],[ProjectName]]),(ProjectInfoTable[ProjectName]=ContinuousStatsTable[[#This Row],[ProjectName]])*ProjectInfoTable[NumberOfReplications]))</f>
        <v>10</v>
      </c>
      <c r="O16" s="5" cm="1">
        <f t="array" ref="O16">IFERROR(AVERAGE(IF((ContinuousStatsTable[GroupByKey]=ContinuousStatsTable[[#This Row],[GroupByKey]]),(ContinuousStatsTable[GroupByKey]=ContinuousStatsTable[[#This Row],[GroupByKey]])*ContinuousStatsTable[Average])),0)</f>
        <v>0.38204498745219106</v>
      </c>
      <c r="P16" s="5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2.9603647703352595E-2</v>
      </c>
      <c r="Q16" s="5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2.1177173826515884E-2</v>
      </c>
      <c r="S16" s="5" cm="1">
        <f t="array" ref="S16">MIN(IF((ContinuousStatsTable[GroupByKey]=ContinuousStatsTable[[#This Row],[GroupByKey]]),(ContinuousStatsTable[GroupByKey]=ContinuousStatsTable[[#This Row],[GroupByKey]])*ContinuousStatsTable[Average]))</f>
        <v>0.32566726436532201</v>
      </c>
      <c r="T16" s="5" cm="1">
        <f t="array" ref="T16">MAX(IF((ContinuousStatsTable[GroupByKey]=ContinuousStatsTable[[#This Row],[GroupByKey]]),(ContinuousStatsTable[GroupByKey]=ContinuousStatsTable[[#This Row],[GroupByKey]])*ContinuousStatsTable[Average]))</f>
        <v>0.42511230467838501</v>
      </c>
      <c r="U16" s="5">
        <f>IF((ContinuousStatsTable[[#This Row],[RepsRequested]]&gt;1),ContinuousStatsTable[[#This Row],[HalfWidth]],ContinuousStatsTable[[#This Row],[BatchMeansHalfWidth]])</f>
        <v>2.1177173826515884E-2</v>
      </c>
    </row>
    <row r="17" spans="1:21" x14ac:dyDescent="0.4">
      <c r="A17" t="s">
        <v>66</v>
      </c>
      <c r="B17" t="s">
        <v>69</v>
      </c>
      <c r="C17">
        <v>1</v>
      </c>
      <c r="D17" t="s">
        <v>101</v>
      </c>
      <c r="E17" t="s">
        <v>98</v>
      </c>
      <c r="F17" t="s">
        <v>97</v>
      </c>
      <c r="G17">
        <v>0.73177932901065901</v>
      </c>
      <c r="H17">
        <v>8.6686787883638303E-2</v>
      </c>
      <c r="I17">
        <v>0</v>
      </c>
      <c r="J17">
        <v>2</v>
      </c>
      <c r="K17">
        <v>0</v>
      </c>
      <c r="L17">
        <v>0</v>
      </c>
      <c r="M17" s="5" t="str">
        <f>ContinuousStatsTable[[#This Row],[ProjectName]]&amp;ContinuousStatsTable[[#This Row],[Name]]&amp;ContinuousStatsTable[[#This Row],[Type]]&amp;ContinuousStatsTable[[#This Row],[Source]]</f>
        <v>Unnamed ProjectM3Number BusyResource</v>
      </c>
      <c r="N17" s="5" cm="1">
        <f t="array" ref="N17">MAX(IF((ProjectInfoTable[ProjectName]=ContinuousStatsTable[[#This Row],[ProjectName]]),(ProjectInfoTable[ProjectName]=ContinuousStatsTable[[#This Row],[ProjectName]])*ProjectInfoTable[NumberOfReplications]))</f>
        <v>10</v>
      </c>
      <c r="O17" s="5" cm="1">
        <f t="array" ref="O17">IFERROR(AVERAGE(IF((ContinuousStatsTable[GroupByKey]=ContinuousStatsTable[[#This Row],[GroupByKey]]),(ContinuousStatsTable[GroupByKey]=ContinuousStatsTable[[#This Row],[GroupByKey]])*ContinuousStatsTable[Average])),0)</f>
        <v>0.76408997490438202</v>
      </c>
      <c r="P17" s="5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5.9207295406705232E-2</v>
      </c>
      <c r="Q17" s="5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4.2354347653031796E-2</v>
      </c>
      <c r="S17" s="5" cm="1">
        <f t="array" ref="S17">MIN(IF((ContinuousStatsTable[GroupByKey]=ContinuousStatsTable[[#This Row],[GroupByKey]]),(ContinuousStatsTable[GroupByKey]=ContinuousStatsTable[[#This Row],[GroupByKey]])*ContinuousStatsTable[Average]))</f>
        <v>0.65133452873064301</v>
      </c>
      <c r="T17" s="5" cm="1">
        <f t="array" ref="T17">MAX(IF((ContinuousStatsTable[GroupByKey]=ContinuousStatsTable[[#This Row],[GroupByKey]]),(ContinuousStatsTable[GroupByKey]=ContinuousStatsTable[[#This Row],[GroupByKey]])*ContinuousStatsTable[Average]))</f>
        <v>0.85022460935677002</v>
      </c>
      <c r="U17" s="5">
        <f>IF((ContinuousStatsTable[[#This Row],[RepsRequested]]&gt;1),ContinuousStatsTable[[#This Row],[HalfWidth]],ContinuousStatsTable[[#This Row],[BatchMeansHalfWidth]])</f>
        <v>4.2354347653031796E-2</v>
      </c>
    </row>
    <row r="18" spans="1:21" x14ac:dyDescent="0.4">
      <c r="A18" t="s">
        <v>66</v>
      </c>
      <c r="B18" t="s">
        <v>69</v>
      </c>
      <c r="C18">
        <v>1</v>
      </c>
      <c r="D18" t="s">
        <v>101</v>
      </c>
      <c r="E18" t="s">
        <v>99</v>
      </c>
      <c r="F18" t="s">
        <v>97</v>
      </c>
      <c r="G18">
        <v>2</v>
      </c>
      <c r="H18">
        <v>2E+20</v>
      </c>
      <c r="I18">
        <v>2</v>
      </c>
      <c r="J18">
        <v>2</v>
      </c>
      <c r="K18">
        <v>2</v>
      </c>
      <c r="L18">
        <v>0</v>
      </c>
      <c r="M18" s="5" t="str">
        <f>ContinuousStatsTable[[#This Row],[ProjectName]]&amp;ContinuousStatsTable[[#This Row],[Name]]&amp;ContinuousStatsTable[[#This Row],[Type]]&amp;ContinuousStatsTable[[#This Row],[Source]]</f>
        <v>Unnamed ProjectM3Number ScheduledResource</v>
      </c>
      <c r="N18" s="5" cm="1">
        <f t="array" ref="N18">MAX(IF((ProjectInfoTable[ProjectName]=ContinuousStatsTable[[#This Row],[ProjectName]]),(ProjectInfoTable[ProjectName]=ContinuousStatsTable[[#This Row],[ProjectName]])*ProjectInfoTable[NumberOfReplications]))</f>
        <v>10</v>
      </c>
      <c r="O18" s="5" cm="1">
        <f t="array" ref="O18">IFERROR(AVERAGE(IF((ContinuousStatsTable[GroupByKey]=ContinuousStatsTable[[#This Row],[GroupByKey]]),(ContinuousStatsTable[GroupByKey]=ContinuousStatsTable[[#This Row],[GroupByKey]])*ContinuousStatsTable[Average])),0)</f>
        <v>2</v>
      </c>
      <c r="P18" s="5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0</v>
      </c>
      <c r="Q18" s="5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" s="5" cm="1">
        <f t="array" ref="S18">MIN(IF((ContinuousStatsTable[GroupByKey]=ContinuousStatsTable[[#This Row],[GroupByKey]]),(ContinuousStatsTable[GroupByKey]=ContinuousStatsTable[[#This Row],[GroupByKey]])*ContinuousStatsTable[Average]))</f>
        <v>2</v>
      </c>
      <c r="T18" s="5" cm="1">
        <f t="array" ref="T18">MAX(IF((ContinuousStatsTable[GroupByKey]=ContinuousStatsTable[[#This Row],[GroupByKey]]),(ContinuousStatsTable[GroupByKey]=ContinuousStatsTable[[#This Row],[GroupByKey]])*ContinuousStatsTable[Average]))</f>
        <v>2</v>
      </c>
      <c r="U18" s="5">
        <f>IF((ContinuousStatsTable[[#This Row],[RepsRequested]]&gt;1),ContinuousStatsTable[[#This Row],[HalfWidth]],ContinuousStatsTable[[#This Row],[BatchMeansHalfWidth]])</f>
        <v>0</v>
      </c>
    </row>
    <row r="19" spans="1:21" x14ac:dyDescent="0.4">
      <c r="A19" t="s">
        <v>66</v>
      </c>
      <c r="B19" t="s">
        <v>69</v>
      </c>
      <c r="C19">
        <v>1</v>
      </c>
      <c r="D19" t="s">
        <v>87</v>
      </c>
      <c r="E19" t="s">
        <v>94</v>
      </c>
      <c r="F19" t="s">
        <v>80</v>
      </c>
      <c r="G19">
        <v>1.7524485227114101E-2</v>
      </c>
      <c r="H19">
        <v>2E+20</v>
      </c>
      <c r="I19">
        <v>0</v>
      </c>
      <c r="J19">
        <v>1</v>
      </c>
      <c r="K19">
        <v>0</v>
      </c>
      <c r="L19">
        <v>0</v>
      </c>
      <c r="M19" s="5" t="str">
        <f>ContinuousStatsTable[[#This Row],[ProjectName]]&amp;ContinuousStatsTable[[#This Row],[Name]]&amp;ContinuousStatsTable[[#This Row],[Type]]&amp;ContinuousStatsTable[[#This Row],[Source]]</f>
        <v>Unnamed ProjectM3.QNumber WaitingQueue</v>
      </c>
      <c r="N19" s="5" cm="1">
        <f t="array" ref="N19">MAX(IF((ProjectInfoTable[ProjectName]=ContinuousStatsTable[[#This Row],[ProjectName]]),(ProjectInfoTable[ProjectName]=ContinuousStatsTable[[#This Row],[ProjectName]])*ProjectInfoTable[NumberOfReplications]))</f>
        <v>10</v>
      </c>
      <c r="O19" s="5" cm="1">
        <f t="array" ref="O19">IFERROR(AVERAGE(IF((ContinuousStatsTable[GroupByKey]=ContinuousStatsTable[[#This Row],[GroupByKey]]),(ContinuousStatsTable[GroupByKey]=ContinuousStatsTable[[#This Row],[GroupByKey]])*ContinuousStatsTable[Average])),0)</f>
        <v>2.5183140573256935E-2</v>
      </c>
      <c r="P19" s="5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6.5933898933538881E-3</v>
      </c>
      <c r="Q19" s="5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4.7166269939678878E-3</v>
      </c>
      <c r="S19" s="5" cm="1">
        <f t="array" ref="S19">MIN(IF((ContinuousStatsTable[GroupByKey]=ContinuousStatsTable[[#This Row],[GroupByKey]]),(ContinuousStatsTable[GroupByKey]=ContinuousStatsTable[[#This Row],[GroupByKey]])*ContinuousStatsTable[Average]))</f>
        <v>1.7183032756251101E-2</v>
      </c>
      <c r="T19" s="5" cm="1">
        <f t="array" ref="T19">MAX(IF((ContinuousStatsTable[GroupByKey]=ContinuousStatsTable[[#This Row],[GroupByKey]]),(ContinuousStatsTable[GroupByKey]=ContinuousStatsTable[[#This Row],[GroupByKey]])*ContinuousStatsTable[Average]))</f>
        <v>3.3093677405251203E-2</v>
      </c>
      <c r="U19" s="5">
        <f>IF((ContinuousStatsTable[[#This Row],[RepsRequested]]&gt;1),ContinuousStatsTable[[#This Row],[HalfWidth]],ContinuousStatsTable[[#This Row],[BatchMeansHalfWidth]])</f>
        <v>4.7166269939678878E-3</v>
      </c>
    </row>
    <row r="20" spans="1:21" x14ac:dyDescent="0.4">
      <c r="A20" t="s">
        <v>66</v>
      </c>
      <c r="B20" t="s">
        <v>69</v>
      </c>
      <c r="C20">
        <v>1</v>
      </c>
      <c r="D20" t="s">
        <v>102</v>
      </c>
      <c r="E20" t="s">
        <v>96</v>
      </c>
      <c r="F20" t="s">
        <v>97</v>
      </c>
      <c r="G20">
        <v>0.65457885237446001</v>
      </c>
      <c r="H20">
        <v>2E+20</v>
      </c>
      <c r="I20">
        <v>0</v>
      </c>
      <c r="J20">
        <v>1</v>
      </c>
      <c r="K20">
        <v>1</v>
      </c>
      <c r="L20">
        <v>0</v>
      </c>
      <c r="M20" s="5" t="str">
        <f>ContinuousStatsTable[[#This Row],[ProjectName]]&amp;ContinuousStatsTable[[#This Row],[Name]]&amp;ContinuousStatsTable[[#This Row],[Type]]&amp;ContinuousStatsTable[[#This Row],[Source]]</f>
        <v>Unnamed ProjectM4Instantaneous UtilizationResource</v>
      </c>
      <c r="N20" s="5" cm="1">
        <f t="array" ref="N20">MAX(IF((ProjectInfoTable[ProjectName]=ContinuousStatsTable[[#This Row],[ProjectName]]),(ProjectInfoTable[ProjectName]=ContinuousStatsTable[[#This Row],[ProjectName]])*ProjectInfoTable[NumberOfReplications]))</f>
        <v>10</v>
      </c>
      <c r="O20" s="5" cm="1">
        <f t="array" ref="O20">IFERROR(AVERAGE(IF((ContinuousStatsTable[GroupByKey]=ContinuousStatsTable[[#This Row],[GroupByKey]]),(ContinuousStatsTable[GroupByKey]=ContinuousStatsTable[[#This Row],[GroupByKey]])*ContinuousStatsTable[Average])),0)</f>
        <v>0.68948907951108873</v>
      </c>
      <c r="P20" s="5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7.0099805521104841E-2</v>
      </c>
      <c r="Q20" s="5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5.0146379986722875E-2</v>
      </c>
      <c r="S20" s="5" cm="1">
        <f t="array" ref="S20">MIN(IF((ContinuousStatsTable[GroupByKey]=ContinuousStatsTable[[#This Row],[GroupByKey]]),(ContinuousStatsTable[GroupByKey]=ContinuousStatsTable[[#This Row],[GroupByKey]])*ContinuousStatsTable[Average]))</f>
        <v>0.59708526729729605</v>
      </c>
      <c r="T20" s="5" cm="1">
        <f t="array" ref="T20">MAX(IF((ContinuousStatsTable[GroupByKey]=ContinuousStatsTable[[#This Row],[GroupByKey]]),(ContinuousStatsTable[GroupByKey]=ContinuousStatsTable[[#This Row],[GroupByKey]])*ContinuousStatsTable[Average]))</f>
        <v>0.81511052462014799</v>
      </c>
      <c r="U20" s="5">
        <f>IF((ContinuousStatsTable[[#This Row],[RepsRequested]]&gt;1),ContinuousStatsTable[[#This Row],[HalfWidth]],ContinuousStatsTable[[#This Row],[BatchMeansHalfWidth]])</f>
        <v>5.0146379986722875E-2</v>
      </c>
    </row>
    <row r="21" spans="1:21" x14ac:dyDescent="0.4">
      <c r="A21" t="s">
        <v>66</v>
      </c>
      <c r="B21" t="s">
        <v>69</v>
      </c>
      <c r="C21">
        <v>1</v>
      </c>
      <c r="D21" t="s">
        <v>102</v>
      </c>
      <c r="E21" t="s">
        <v>98</v>
      </c>
      <c r="F21" t="s">
        <v>97</v>
      </c>
      <c r="G21">
        <v>0.65457885237446001</v>
      </c>
      <c r="H21">
        <v>2E+20</v>
      </c>
      <c r="I21">
        <v>0</v>
      </c>
      <c r="J21">
        <v>1</v>
      </c>
      <c r="K21">
        <v>1</v>
      </c>
      <c r="L21">
        <v>0</v>
      </c>
      <c r="M21" s="5" t="str">
        <f>ContinuousStatsTable[[#This Row],[ProjectName]]&amp;ContinuousStatsTable[[#This Row],[Name]]&amp;ContinuousStatsTable[[#This Row],[Type]]&amp;ContinuousStatsTable[[#This Row],[Source]]</f>
        <v>Unnamed ProjectM4Number BusyResource</v>
      </c>
      <c r="N21" s="5" cm="1">
        <f t="array" ref="N21">MAX(IF((ProjectInfoTable[ProjectName]=ContinuousStatsTable[[#This Row],[ProjectName]]),(ProjectInfoTable[ProjectName]=ContinuousStatsTable[[#This Row],[ProjectName]])*ProjectInfoTable[NumberOfReplications]))</f>
        <v>10</v>
      </c>
      <c r="O21" s="5" cm="1">
        <f t="array" ref="O21">IFERROR(AVERAGE(IF((ContinuousStatsTable[GroupByKey]=ContinuousStatsTable[[#This Row],[GroupByKey]]),(ContinuousStatsTable[GroupByKey]=ContinuousStatsTable[[#This Row],[GroupByKey]])*ContinuousStatsTable[Average])),0)</f>
        <v>0.68948907951108873</v>
      </c>
      <c r="P21" s="5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7.0099805521104841E-2</v>
      </c>
      <c r="Q21" s="5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5.0146379986722875E-2</v>
      </c>
      <c r="S21" s="5" cm="1">
        <f t="array" ref="S21">MIN(IF((ContinuousStatsTable[GroupByKey]=ContinuousStatsTable[[#This Row],[GroupByKey]]),(ContinuousStatsTable[GroupByKey]=ContinuousStatsTable[[#This Row],[GroupByKey]])*ContinuousStatsTable[Average]))</f>
        <v>0.59708526729729605</v>
      </c>
      <c r="T21" s="5" cm="1">
        <f t="array" ref="T21">MAX(IF((ContinuousStatsTable[GroupByKey]=ContinuousStatsTable[[#This Row],[GroupByKey]]),(ContinuousStatsTable[GroupByKey]=ContinuousStatsTable[[#This Row],[GroupByKey]])*ContinuousStatsTable[Average]))</f>
        <v>0.81511052462014799</v>
      </c>
      <c r="U21" s="5">
        <f>IF((ContinuousStatsTable[[#This Row],[RepsRequested]]&gt;1),ContinuousStatsTable[[#This Row],[HalfWidth]],ContinuousStatsTable[[#This Row],[BatchMeansHalfWidth]])</f>
        <v>5.0146379986722875E-2</v>
      </c>
    </row>
    <row r="22" spans="1:21" x14ac:dyDescent="0.4">
      <c r="A22" t="s">
        <v>66</v>
      </c>
      <c r="B22" t="s">
        <v>69</v>
      </c>
      <c r="C22">
        <v>1</v>
      </c>
      <c r="D22" t="s">
        <v>102</v>
      </c>
      <c r="E22" t="s">
        <v>99</v>
      </c>
      <c r="F22" t="s">
        <v>97</v>
      </c>
      <c r="G22">
        <v>1</v>
      </c>
      <c r="H22">
        <v>2E+20</v>
      </c>
      <c r="I22">
        <v>1</v>
      </c>
      <c r="J22">
        <v>1</v>
      </c>
      <c r="K22">
        <v>1</v>
      </c>
      <c r="L22">
        <v>0</v>
      </c>
      <c r="M22" s="5" t="str">
        <f>ContinuousStatsTable[[#This Row],[ProjectName]]&amp;ContinuousStatsTable[[#This Row],[Name]]&amp;ContinuousStatsTable[[#This Row],[Type]]&amp;ContinuousStatsTable[[#This Row],[Source]]</f>
        <v>Unnamed ProjectM4Number ScheduledResource</v>
      </c>
      <c r="N22" s="5" cm="1">
        <f t="array" ref="N22">MAX(IF((ProjectInfoTable[ProjectName]=ContinuousStatsTable[[#This Row],[ProjectName]]),(ProjectInfoTable[ProjectName]=ContinuousStatsTable[[#This Row],[ProjectName]])*ProjectInfoTable[NumberOfReplications]))</f>
        <v>10</v>
      </c>
      <c r="O22" s="5" cm="1">
        <f t="array" ref="O22">IFERROR(AVERAGE(IF((ContinuousStatsTable[GroupByKey]=ContinuousStatsTable[[#This Row],[GroupByKey]]),(ContinuousStatsTable[GroupByKey]=ContinuousStatsTable[[#This Row],[GroupByKey]])*ContinuousStatsTable[Average])),0)</f>
        <v>1</v>
      </c>
      <c r="P22" s="5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0</v>
      </c>
      <c r="Q22" s="5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" s="5" cm="1">
        <f t="array" ref="S22">MIN(IF((ContinuousStatsTable[GroupByKey]=ContinuousStatsTable[[#This Row],[GroupByKey]]),(ContinuousStatsTable[GroupByKey]=ContinuousStatsTable[[#This Row],[GroupByKey]])*ContinuousStatsTable[Average]))</f>
        <v>1</v>
      </c>
      <c r="T22" s="5" cm="1">
        <f t="array" ref="T22">MAX(IF((ContinuousStatsTable[GroupByKey]=ContinuousStatsTable[[#This Row],[GroupByKey]]),(ContinuousStatsTable[GroupByKey]=ContinuousStatsTable[[#This Row],[GroupByKey]])*ContinuousStatsTable[Average]))</f>
        <v>1</v>
      </c>
      <c r="U22" s="5">
        <f>IF((ContinuousStatsTable[[#This Row],[RepsRequested]]&gt;1),ContinuousStatsTable[[#This Row],[HalfWidth]],ContinuousStatsTable[[#This Row],[BatchMeansHalfWidth]])</f>
        <v>0</v>
      </c>
    </row>
    <row r="23" spans="1:21" x14ac:dyDescent="0.4">
      <c r="A23" t="s">
        <v>66</v>
      </c>
      <c r="B23" t="s">
        <v>69</v>
      </c>
      <c r="C23">
        <v>1</v>
      </c>
      <c r="D23" t="s">
        <v>88</v>
      </c>
      <c r="E23" t="s">
        <v>94</v>
      </c>
      <c r="F23" t="s">
        <v>80</v>
      </c>
      <c r="G23">
        <v>0.91655757479631095</v>
      </c>
      <c r="H23">
        <v>2E+20</v>
      </c>
      <c r="I23">
        <v>0</v>
      </c>
      <c r="J23">
        <v>7</v>
      </c>
      <c r="K23">
        <v>0</v>
      </c>
      <c r="L23">
        <v>0</v>
      </c>
      <c r="M23" s="5" t="str">
        <f>ContinuousStatsTable[[#This Row],[ProjectName]]&amp;ContinuousStatsTable[[#This Row],[Name]]&amp;ContinuousStatsTable[[#This Row],[Type]]&amp;ContinuousStatsTable[[#This Row],[Source]]</f>
        <v>Unnamed ProjectM4.QNumber WaitingQueue</v>
      </c>
      <c r="N23" s="5" cm="1">
        <f t="array" ref="N23">MAX(IF((ProjectInfoTable[ProjectName]=ContinuousStatsTable[[#This Row],[ProjectName]]),(ProjectInfoTable[ProjectName]=ContinuousStatsTable[[#This Row],[ProjectName]])*ProjectInfoTable[NumberOfReplications]))</f>
        <v>10</v>
      </c>
      <c r="O23" s="5" cm="1">
        <f t="array" ref="O23">IFERROR(AVERAGE(IF((ContinuousStatsTable[GroupByKey]=ContinuousStatsTable[[#This Row],[GroupByKey]]),(ContinuousStatsTable[GroupByKey]=ContinuousStatsTable[[#This Row],[GroupByKey]])*ContinuousStatsTable[Average])),0)</f>
        <v>0.92596780474390472</v>
      </c>
      <c r="P23" s="5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0.23565784373506599</v>
      </c>
      <c r="Q23" s="5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0.16857946596203516</v>
      </c>
      <c r="S23" s="5" cm="1">
        <f t="array" ref="S23">MIN(IF((ContinuousStatsTable[GroupByKey]=ContinuousStatsTable[[#This Row],[GroupByKey]]),(ContinuousStatsTable[GroupByKey]=ContinuousStatsTable[[#This Row],[GroupByKey]])*ContinuousStatsTable[Average]))</f>
        <v>0.61954382246291895</v>
      </c>
      <c r="T23" s="5" cm="1">
        <f t="array" ref="T23">MAX(IF((ContinuousStatsTable[GroupByKey]=ContinuousStatsTable[[#This Row],[GroupByKey]]),(ContinuousStatsTable[GroupByKey]=ContinuousStatsTable[[#This Row],[GroupByKey]])*ContinuousStatsTable[Average]))</f>
        <v>1.4060201140591599</v>
      </c>
      <c r="U23" s="5">
        <f>IF((ContinuousStatsTable[[#This Row],[RepsRequested]]&gt;1),ContinuousStatsTable[[#This Row],[HalfWidth]],ContinuousStatsTable[[#This Row],[BatchMeansHalfWidth]])</f>
        <v>0.16857946596203516</v>
      </c>
    </row>
    <row r="24" spans="1:21" x14ac:dyDescent="0.4">
      <c r="A24" t="s">
        <v>66</v>
      </c>
      <c r="B24" t="s">
        <v>69</v>
      </c>
      <c r="C24">
        <v>1</v>
      </c>
      <c r="D24" t="s">
        <v>103</v>
      </c>
      <c r="E24" t="s">
        <v>96</v>
      </c>
      <c r="F24" t="s">
        <v>97</v>
      </c>
      <c r="G24">
        <v>0.35101185739494301</v>
      </c>
      <c r="H24">
        <v>3E+20</v>
      </c>
      <c r="I24">
        <v>0</v>
      </c>
      <c r="J24">
        <v>1</v>
      </c>
      <c r="K24">
        <v>0.5</v>
      </c>
      <c r="L24">
        <v>0</v>
      </c>
      <c r="M24" s="5" t="str">
        <f>ContinuousStatsTable[[#This Row],[ProjectName]]&amp;ContinuousStatsTable[[#This Row],[Name]]&amp;ContinuousStatsTable[[#This Row],[Type]]&amp;ContinuousStatsTable[[#This Row],[Source]]</f>
        <v>Unnamed ProjectM5Instantaneous UtilizationResource</v>
      </c>
      <c r="N24" s="5" cm="1">
        <f t="array" ref="N24">MAX(IF((ProjectInfoTable[ProjectName]=ContinuousStatsTable[[#This Row],[ProjectName]]),(ProjectInfoTable[ProjectName]=ContinuousStatsTable[[#This Row],[ProjectName]])*ProjectInfoTable[NumberOfReplications]))</f>
        <v>10</v>
      </c>
      <c r="O24" s="5" cm="1">
        <f t="array" ref="O24">IFERROR(AVERAGE(IF((ContinuousStatsTable[GroupByKey]=ContinuousStatsTable[[#This Row],[GroupByKey]]),(ContinuousStatsTable[GroupByKey]=ContinuousStatsTable[[#This Row],[GroupByKey]])*ContinuousStatsTable[Average])),0)</f>
        <v>0.35254112855323727</v>
      </c>
      <c r="P24" s="5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2.0819740340978523E-2</v>
      </c>
      <c r="Q24" s="5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1.4893545033435028E-2</v>
      </c>
      <c r="S24" s="5" cm="1">
        <f t="array" ref="S24">MIN(IF((ContinuousStatsTable[GroupByKey]=ContinuousStatsTable[[#This Row],[GroupByKey]]),(ContinuousStatsTable[GroupByKey]=ContinuousStatsTable[[#This Row],[GroupByKey]])*ContinuousStatsTable[Average]))</f>
        <v>0.319082016284436</v>
      </c>
      <c r="T24" s="5" cm="1">
        <f t="array" ref="T24">MAX(IF((ContinuousStatsTable[GroupByKey]=ContinuousStatsTable[[#This Row],[GroupByKey]]),(ContinuousStatsTable[GroupByKey]=ContinuousStatsTable[[#This Row],[GroupByKey]])*ContinuousStatsTable[Average]))</f>
        <v>0.391918845838306</v>
      </c>
      <c r="U24" s="5">
        <f>IF((ContinuousStatsTable[[#This Row],[RepsRequested]]&gt;1),ContinuousStatsTable[[#This Row],[HalfWidth]],ContinuousStatsTable[[#This Row],[BatchMeansHalfWidth]])</f>
        <v>1.4893545033435028E-2</v>
      </c>
    </row>
    <row r="25" spans="1:21" x14ac:dyDescent="0.4">
      <c r="A25" t="s">
        <v>66</v>
      </c>
      <c r="B25" t="s">
        <v>69</v>
      </c>
      <c r="C25">
        <v>1</v>
      </c>
      <c r="D25" t="s">
        <v>103</v>
      </c>
      <c r="E25" t="s">
        <v>98</v>
      </c>
      <c r="F25" t="s">
        <v>97</v>
      </c>
      <c r="G25">
        <v>0.70202371478988701</v>
      </c>
      <c r="H25">
        <v>3E+20</v>
      </c>
      <c r="I25">
        <v>0</v>
      </c>
      <c r="J25">
        <v>2</v>
      </c>
      <c r="K25">
        <v>1</v>
      </c>
      <c r="L25">
        <v>0</v>
      </c>
      <c r="M25" s="5" t="str">
        <f>ContinuousStatsTable[[#This Row],[ProjectName]]&amp;ContinuousStatsTable[[#This Row],[Name]]&amp;ContinuousStatsTable[[#This Row],[Type]]&amp;ContinuousStatsTable[[#This Row],[Source]]</f>
        <v>Unnamed ProjectM5Number BusyResource</v>
      </c>
      <c r="N25" s="5" cm="1">
        <f t="array" ref="N25">MAX(IF((ProjectInfoTable[ProjectName]=ContinuousStatsTable[[#This Row],[ProjectName]]),(ProjectInfoTable[ProjectName]=ContinuousStatsTable[[#This Row],[ProjectName]])*ProjectInfoTable[NumberOfReplications]))</f>
        <v>10</v>
      </c>
      <c r="O25" s="5" cm="1">
        <f t="array" ref="O25">IFERROR(AVERAGE(IF((ContinuousStatsTable[GroupByKey]=ContinuousStatsTable[[#This Row],[GroupByKey]]),(ContinuousStatsTable[GroupByKey]=ContinuousStatsTable[[#This Row],[GroupByKey]])*ContinuousStatsTable[Average])),0)</f>
        <v>0.70508225710647443</v>
      </c>
      <c r="P25" s="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4.1639480681956775E-2</v>
      </c>
      <c r="Q25" s="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2.9787090066869859E-2</v>
      </c>
      <c r="S25" s="5" cm="1">
        <f t="array" ref="S25">MIN(IF((ContinuousStatsTable[GroupByKey]=ContinuousStatsTable[[#This Row],[GroupByKey]]),(ContinuousStatsTable[GroupByKey]=ContinuousStatsTable[[#This Row],[GroupByKey]])*ContinuousStatsTable[Average]))</f>
        <v>0.638164032568872</v>
      </c>
      <c r="T25" s="5" cm="1">
        <f t="array" ref="T25">MAX(IF((ContinuousStatsTable[GroupByKey]=ContinuousStatsTable[[#This Row],[GroupByKey]]),(ContinuousStatsTable[GroupByKey]=ContinuousStatsTable[[#This Row],[GroupByKey]])*ContinuousStatsTable[Average]))</f>
        <v>0.78383769167661099</v>
      </c>
      <c r="U25" s="5">
        <f>IF((ContinuousStatsTable[[#This Row],[RepsRequested]]&gt;1),ContinuousStatsTable[[#This Row],[HalfWidth]],ContinuousStatsTable[[#This Row],[BatchMeansHalfWidth]])</f>
        <v>2.9787090066869859E-2</v>
      </c>
    </row>
    <row r="26" spans="1:21" x14ac:dyDescent="0.4">
      <c r="A26" t="s">
        <v>66</v>
      </c>
      <c r="B26" t="s">
        <v>69</v>
      </c>
      <c r="C26">
        <v>1</v>
      </c>
      <c r="D26" t="s">
        <v>103</v>
      </c>
      <c r="E26" t="s">
        <v>99</v>
      </c>
      <c r="F26" t="s">
        <v>97</v>
      </c>
      <c r="G26">
        <v>2</v>
      </c>
      <c r="H26">
        <v>2E+20</v>
      </c>
      <c r="I26">
        <v>2</v>
      </c>
      <c r="J26">
        <v>2</v>
      </c>
      <c r="K26">
        <v>2</v>
      </c>
      <c r="L26">
        <v>0</v>
      </c>
      <c r="M26" s="5" t="str">
        <f>ContinuousStatsTable[[#This Row],[ProjectName]]&amp;ContinuousStatsTable[[#This Row],[Name]]&amp;ContinuousStatsTable[[#This Row],[Type]]&amp;ContinuousStatsTable[[#This Row],[Source]]</f>
        <v>Unnamed ProjectM5Number ScheduledResource</v>
      </c>
      <c r="N26" s="5" cm="1">
        <f t="array" ref="N26">MAX(IF((ProjectInfoTable[ProjectName]=ContinuousStatsTable[[#This Row],[ProjectName]]),(ProjectInfoTable[ProjectName]=ContinuousStatsTable[[#This Row],[ProjectName]])*ProjectInfoTable[NumberOfReplications]))</f>
        <v>10</v>
      </c>
      <c r="O26" s="5" cm="1">
        <f t="array" ref="O26">IFERROR(AVERAGE(IF((ContinuousStatsTable[GroupByKey]=ContinuousStatsTable[[#This Row],[GroupByKey]]),(ContinuousStatsTable[GroupByKey]=ContinuousStatsTable[[#This Row],[GroupByKey]])*ContinuousStatsTable[Average])),0)</f>
        <v>2</v>
      </c>
      <c r="P26" s="5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0</v>
      </c>
      <c r="Q26" s="5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" s="5" cm="1">
        <f t="array" ref="S26">MIN(IF((ContinuousStatsTable[GroupByKey]=ContinuousStatsTable[[#This Row],[GroupByKey]]),(ContinuousStatsTable[GroupByKey]=ContinuousStatsTable[[#This Row],[GroupByKey]])*ContinuousStatsTable[Average]))</f>
        <v>2</v>
      </c>
      <c r="T26" s="5" cm="1">
        <f t="array" ref="T26">MAX(IF((ContinuousStatsTable[GroupByKey]=ContinuousStatsTable[[#This Row],[GroupByKey]]),(ContinuousStatsTable[GroupByKey]=ContinuousStatsTable[[#This Row],[GroupByKey]])*ContinuousStatsTable[Average]))</f>
        <v>2</v>
      </c>
      <c r="U26" s="5">
        <f>IF((ContinuousStatsTable[[#This Row],[RepsRequested]]&gt;1),ContinuousStatsTable[[#This Row],[HalfWidth]],ContinuousStatsTable[[#This Row],[BatchMeansHalfWidth]])</f>
        <v>0</v>
      </c>
    </row>
    <row r="27" spans="1:21" x14ac:dyDescent="0.4">
      <c r="A27" t="s">
        <v>66</v>
      </c>
      <c r="B27" t="s">
        <v>69</v>
      </c>
      <c r="C27">
        <v>1</v>
      </c>
      <c r="D27" t="s">
        <v>89</v>
      </c>
      <c r="E27" t="s">
        <v>94</v>
      </c>
      <c r="F27" t="s">
        <v>80</v>
      </c>
      <c r="G27">
        <v>4.1549696814558397E-2</v>
      </c>
      <c r="H27">
        <v>2E+20</v>
      </c>
      <c r="I27">
        <v>0</v>
      </c>
      <c r="J27">
        <v>2</v>
      </c>
      <c r="K27">
        <v>0</v>
      </c>
      <c r="L27">
        <v>0</v>
      </c>
      <c r="M27" s="5" t="str">
        <f>ContinuousStatsTable[[#This Row],[ProjectName]]&amp;ContinuousStatsTable[[#This Row],[Name]]&amp;ContinuousStatsTable[[#This Row],[Type]]&amp;ContinuousStatsTable[[#This Row],[Source]]</f>
        <v>Unnamed ProjectM5.QNumber WaitingQueue</v>
      </c>
      <c r="N27" s="5" cm="1">
        <f t="array" ref="N27">MAX(IF((ProjectInfoTable[ProjectName]=ContinuousStatsTable[[#This Row],[ProjectName]]),(ProjectInfoTable[ProjectName]=ContinuousStatsTable[[#This Row],[ProjectName]])*ProjectInfoTable[NumberOfReplications]))</f>
        <v>10</v>
      </c>
      <c r="O27" s="5" cm="1">
        <f t="array" ref="O27">IFERROR(AVERAGE(IF((ContinuousStatsTable[GroupByKey]=ContinuousStatsTable[[#This Row],[GroupByKey]]),(ContinuousStatsTable[GroupByKey]=ContinuousStatsTable[[#This Row],[GroupByKey]])*ContinuousStatsTable[Average])),0)</f>
        <v>4.0588719153078524E-2</v>
      </c>
      <c r="P27" s="5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2.3271584618520549E-2</v>
      </c>
      <c r="Q27" s="5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1.6647488769739371E-2</v>
      </c>
      <c r="S27" s="5" cm="1">
        <f t="array" ref="S27">MIN(IF((ContinuousStatsTable[GroupByKey]=ContinuousStatsTable[[#This Row],[GroupByKey]]),(ContinuousStatsTable[GroupByKey]=ContinuousStatsTable[[#This Row],[GroupByKey]])*ContinuousStatsTable[Average]))</f>
        <v>1.58912341215269E-2</v>
      </c>
      <c r="T27" s="5" cm="1">
        <f t="array" ref="T27">MAX(IF((ContinuousStatsTable[GroupByKey]=ContinuousStatsTable[[#This Row],[GroupByKey]]),(ContinuousStatsTable[GroupByKey]=ContinuousStatsTable[[#This Row],[GroupByKey]])*ContinuousStatsTable[Average]))</f>
        <v>9.0065456910795705E-2</v>
      </c>
      <c r="U27" s="5">
        <f>IF((ContinuousStatsTable[[#This Row],[RepsRequested]]&gt;1),ContinuousStatsTable[[#This Row],[HalfWidth]],ContinuousStatsTable[[#This Row],[BatchMeansHalfWidth]])</f>
        <v>1.6647488769739371E-2</v>
      </c>
    </row>
    <row r="28" spans="1:21" x14ac:dyDescent="0.4">
      <c r="A28" t="s">
        <v>66</v>
      </c>
      <c r="B28" t="s">
        <v>69</v>
      </c>
      <c r="C28">
        <v>2</v>
      </c>
      <c r="D28" t="s">
        <v>70</v>
      </c>
      <c r="E28" t="s">
        <v>93</v>
      </c>
      <c r="F28" t="s">
        <v>72</v>
      </c>
      <c r="G28">
        <v>6.6831759782678501</v>
      </c>
      <c r="H28">
        <v>3E+20</v>
      </c>
      <c r="I28">
        <v>1</v>
      </c>
      <c r="J28">
        <v>15</v>
      </c>
      <c r="K28">
        <v>1</v>
      </c>
      <c r="L28">
        <v>0</v>
      </c>
      <c r="M28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28" s="5" cm="1">
        <f t="array" ref="N28">MAX(IF((ProjectInfoTable[ProjectName]=ContinuousStatsTable[[#This Row],[ProjectName]]),(ProjectInfoTable[ProjectName]=ContinuousStatsTable[[#This Row],[ProjectName]])*ProjectInfoTable[NumberOfReplications]))</f>
        <v>10</v>
      </c>
      <c r="O28" s="5" cm="1">
        <f t="array" ref="O28">IFERROR(AVERAGE(IF((ContinuousStatsTable[GroupByKey]=ContinuousStatsTable[[#This Row],[GroupByKey]]),(ContinuousStatsTable[GroupByKey]=ContinuousStatsTable[[#This Row],[GroupByKey]])*ContinuousStatsTable[Average])),0)</f>
        <v>6.6735315353875011</v>
      </c>
      <c r="P28" s="5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1.4829188547421246</v>
      </c>
      <c r="Q28" s="5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1.0608162437338877</v>
      </c>
      <c r="S28" s="5" cm="1">
        <f t="array" ref="S28">MIN(IF((ContinuousStatsTable[GroupByKey]=ContinuousStatsTable[[#This Row],[GroupByKey]]),(ContinuousStatsTable[GroupByKey]=ContinuousStatsTable[[#This Row],[GroupByKey]])*ContinuousStatsTable[Average]))</f>
        <v>4.5894957727661101</v>
      </c>
      <c r="T28" s="5" cm="1">
        <f t="array" ref="T28">MAX(IF((ContinuousStatsTable[GroupByKey]=ContinuousStatsTable[[#This Row],[GroupByKey]]),(ContinuousStatsTable[GroupByKey]=ContinuousStatsTable[[#This Row],[GroupByKey]])*ContinuousStatsTable[Average]))</f>
        <v>9.5134854029509093</v>
      </c>
      <c r="U28" s="5">
        <f>IF((ContinuousStatsTable[[#This Row],[RepsRequested]]&gt;1),ContinuousStatsTable[[#This Row],[HalfWidth]],ContinuousStatsTable[[#This Row],[BatchMeansHalfWidth]])</f>
        <v>1.0608162437338877</v>
      </c>
    </row>
    <row r="29" spans="1:21" x14ac:dyDescent="0.4">
      <c r="A29" t="s">
        <v>66</v>
      </c>
      <c r="B29" t="s">
        <v>69</v>
      </c>
      <c r="C29">
        <v>2</v>
      </c>
      <c r="D29" t="s">
        <v>78</v>
      </c>
      <c r="E29" t="s">
        <v>94</v>
      </c>
      <c r="F29" t="s">
        <v>80</v>
      </c>
      <c r="G29">
        <v>0</v>
      </c>
      <c r="H29">
        <v>2E+20</v>
      </c>
      <c r="I29">
        <v>0</v>
      </c>
      <c r="J29">
        <v>0</v>
      </c>
      <c r="K29">
        <v>0</v>
      </c>
      <c r="L29">
        <v>0</v>
      </c>
      <c r="M29" s="5" t="str">
        <f>ContinuousStatsTable[[#This Row],[ProjectName]]&amp;ContinuousStatsTable[[#This Row],[Name]]&amp;ContinuousStatsTable[[#This Row],[Type]]&amp;ContinuousStatsTable[[#This Row],[Source]]</f>
        <v>Unnamed ProjectHold M1.QueueNumber WaitingQueue</v>
      </c>
      <c r="N29" s="5" cm="1">
        <f t="array" ref="N29">MAX(IF((ProjectInfoTable[ProjectName]=ContinuousStatsTable[[#This Row],[ProjectName]]),(ProjectInfoTable[ProjectName]=ContinuousStatsTable[[#This Row],[ProjectName]])*ProjectInfoTable[NumberOfReplications]))</f>
        <v>10</v>
      </c>
      <c r="O29" s="5" cm="1">
        <f t="array" ref="O29">IFERROR(AVERAGE(IF((ContinuousStatsTable[GroupByKey]=ContinuousStatsTable[[#This Row],[GroupByKey]]),(ContinuousStatsTable[GroupByKey]=ContinuousStatsTable[[#This Row],[GroupByKey]])*ContinuousStatsTable[Average])),0)</f>
        <v>0</v>
      </c>
      <c r="P29" s="5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0</v>
      </c>
      <c r="Q29" s="5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" s="5" cm="1">
        <f t="array" ref="S29">MIN(IF((ContinuousStatsTable[GroupByKey]=ContinuousStatsTable[[#This Row],[GroupByKey]]),(ContinuousStatsTable[GroupByKey]=ContinuousStatsTable[[#This Row],[GroupByKey]])*ContinuousStatsTable[Average]))</f>
        <v>0</v>
      </c>
      <c r="T29" s="5" cm="1">
        <f t="array" ref="T29">MAX(IF((ContinuousStatsTable[GroupByKey]=ContinuousStatsTable[[#This Row],[GroupByKey]]),(ContinuousStatsTable[GroupByKey]=ContinuousStatsTable[[#This Row],[GroupByKey]])*ContinuousStatsTable[Average]))</f>
        <v>0</v>
      </c>
      <c r="U29" s="5">
        <f>IF((ContinuousStatsTable[[#This Row],[RepsRequested]]&gt;1),ContinuousStatsTable[[#This Row],[HalfWidth]],ContinuousStatsTable[[#This Row],[BatchMeansHalfWidth]])</f>
        <v>0</v>
      </c>
    </row>
    <row r="30" spans="1:21" x14ac:dyDescent="0.4">
      <c r="A30" t="s">
        <v>66</v>
      </c>
      <c r="B30" t="s">
        <v>69</v>
      </c>
      <c r="C30">
        <v>2</v>
      </c>
      <c r="D30" t="s">
        <v>81</v>
      </c>
      <c r="E30" t="s">
        <v>94</v>
      </c>
      <c r="F30" t="s">
        <v>80</v>
      </c>
      <c r="G30">
        <v>0</v>
      </c>
      <c r="H30">
        <v>2E+20</v>
      </c>
      <c r="I30">
        <v>0</v>
      </c>
      <c r="J30">
        <v>0</v>
      </c>
      <c r="K30">
        <v>0</v>
      </c>
      <c r="L30">
        <v>0</v>
      </c>
      <c r="M30" s="5" t="str">
        <f>ContinuousStatsTable[[#This Row],[ProjectName]]&amp;ContinuousStatsTable[[#This Row],[Name]]&amp;ContinuousStatsTable[[#This Row],[Type]]&amp;ContinuousStatsTable[[#This Row],[Source]]</f>
        <v>Unnamed ProjectHold M2.QueueNumber WaitingQueue</v>
      </c>
      <c r="N30" s="5" cm="1">
        <f t="array" ref="N30">MAX(IF((ProjectInfoTable[ProjectName]=ContinuousStatsTable[[#This Row],[ProjectName]]),(ProjectInfoTable[ProjectName]=ContinuousStatsTable[[#This Row],[ProjectName]])*ProjectInfoTable[NumberOfReplications]))</f>
        <v>10</v>
      </c>
      <c r="O30" s="5" cm="1">
        <f t="array" ref="O30">IFERROR(AVERAGE(IF((ContinuousStatsTable[GroupByKey]=ContinuousStatsTable[[#This Row],[GroupByKey]]),(ContinuousStatsTable[GroupByKey]=ContinuousStatsTable[[#This Row],[GroupByKey]])*ContinuousStatsTable[Average])),0)</f>
        <v>0</v>
      </c>
      <c r="P30" s="5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0</v>
      </c>
      <c r="Q30" s="5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" s="5" cm="1">
        <f t="array" ref="S30">MIN(IF((ContinuousStatsTable[GroupByKey]=ContinuousStatsTable[[#This Row],[GroupByKey]]),(ContinuousStatsTable[GroupByKey]=ContinuousStatsTable[[#This Row],[GroupByKey]])*ContinuousStatsTable[Average]))</f>
        <v>0</v>
      </c>
      <c r="T30" s="5" cm="1">
        <f t="array" ref="T30">MAX(IF((ContinuousStatsTable[GroupByKey]=ContinuousStatsTable[[#This Row],[GroupByKey]]),(ContinuousStatsTable[GroupByKey]=ContinuousStatsTable[[#This Row],[GroupByKey]])*ContinuousStatsTable[Average]))</f>
        <v>0</v>
      </c>
      <c r="U30" s="5">
        <f>IF((ContinuousStatsTable[[#This Row],[RepsRequested]]&gt;1),ContinuousStatsTable[[#This Row],[HalfWidth]],ContinuousStatsTable[[#This Row],[BatchMeansHalfWidth]])</f>
        <v>0</v>
      </c>
    </row>
    <row r="31" spans="1:21" x14ac:dyDescent="0.4">
      <c r="A31" t="s">
        <v>66</v>
      </c>
      <c r="B31" t="s">
        <v>69</v>
      </c>
      <c r="C31">
        <v>2</v>
      </c>
      <c r="D31" t="s">
        <v>82</v>
      </c>
      <c r="E31" t="s">
        <v>94</v>
      </c>
      <c r="F31" t="s">
        <v>80</v>
      </c>
      <c r="G31">
        <v>0</v>
      </c>
      <c r="H31">
        <v>2E+20</v>
      </c>
      <c r="I31">
        <v>0</v>
      </c>
      <c r="J31">
        <v>0</v>
      </c>
      <c r="K31">
        <v>0</v>
      </c>
      <c r="L31">
        <v>0</v>
      </c>
      <c r="M31" s="5" t="str">
        <f>ContinuousStatsTable[[#This Row],[ProjectName]]&amp;ContinuousStatsTable[[#This Row],[Name]]&amp;ContinuousStatsTable[[#This Row],[Type]]&amp;ContinuousStatsTable[[#This Row],[Source]]</f>
        <v>Unnamed ProjectHold M3.QueueNumber WaitingQueue</v>
      </c>
      <c r="N31" s="5" cm="1">
        <f t="array" ref="N31">MAX(IF((ProjectInfoTable[ProjectName]=ContinuousStatsTable[[#This Row],[ProjectName]]),(ProjectInfoTable[ProjectName]=ContinuousStatsTable[[#This Row],[ProjectName]])*ProjectInfoTable[NumberOfReplications]))</f>
        <v>10</v>
      </c>
      <c r="O31" s="5" cm="1">
        <f t="array" ref="O31">IFERROR(AVERAGE(IF((ContinuousStatsTable[GroupByKey]=ContinuousStatsTable[[#This Row],[GroupByKey]]),(ContinuousStatsTable[GroupByKey]=ContinuousStatsTable[[#This Row],[GroupByKey]])*ContinuousStatsTable[Average])),0)</f>
        <v>0</v>
      </c>
      <c r="P31" s="5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0</v>
      </c>
      <c r="Q31" s="5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" s="5" cm="1">
        <f t="array" ref="S31">MIN(IF((ContinuousStatsTable[GroupByKey]=ContinuousStatsTable[[#This Row],[GroupByKey]]),(ContinuousStatsTable[GroupByKey]=ContinuousStatsTable[[#This Row],[GroupByKey]])*ContinuousStatsTable[Average]))</f>
        <v>0</v>
      </c>
      <c r="T31" s="5" cm="1">
        <f t="array" ref="T31">MAX(IF((ContinuousStatsTable[GroupByKey]=ContinuousStatsTable[[#This Row],[GroupByKey]]),(ContinuousStatsTable[GroupByKey]=ContinuousStatsTable[[#This Row],[GroupByKey]])*ContinuousStatsTable[Average]))</f>
        <v>0</v>
      </c>
      <c r="U31" s="5">
        <f>IF((ContinuousStatsTable[[#This Row],[RepsRequested]]&gt;1),ContinuousStatsTable[[#This Row],[HalfWidth]],ContinuousStatsTable[[#This Row],[BatchMeansHalfWidth]])</f>
        <v>0</v>
      </c>
    </row>
    <row r="32" spans="1:21" x14ac:dyDescent="0.4">
      <c r="A32" t="s">
        <v>66</v>
      </c>
      <c r="B32" t="s">
        <v>69</v>
      </c>
      <c r="C32">
        <v>2</v>
      </c>
      <c r="D32" t="s">
        <v>83</v>
      </c>
      <c r="E32" t="s">
        <v>94</v>
      </c>
      <c r="F32" t="s">
        <v>80</v>
      </c>
      <c r="G32">
        <v>0</v>
      </c>
      <c r="H32">
        <v>2E+20</v>
      </c>
      <c r="I32">
        <v>0</v>
      </c>
      <c r="J32">
        <v>0</v>
      </c>
      <c r="K32">
        <v>0</v>
      </c>
      <c r="L32">
        <v>0</v>
      </c>
      <c r="M32" s="5" t="str">
        <f>ContinuousStatsTable[[#This Row],[ProjectName]]&amp;ContinuousStatsTable[[#This Row],[Name]]&amp;ContinuousStatsTable[[#This Row],[Type]]&amp;ContinuousStatsTable[[#This Row],[Source]]</f>
        <v>Unnamed ProjectHold M4.QueueNumber WaitingQueue</v>
      </c>
      <c r="N32" s="5" cm="1">
        <f t="array" ref="N32">MAX(IF((ProjectInfoTable[ProjectName]=ContinuousStatsTable[[#This Row],[ProjectName]]),(ProjectInfoTable[ProjectName]=ContinuousStatsTable[[#This Row],[ProjectName]])*ProjectInfoTable[NumberOfReplications]))</f>
        <v>10</v>
      </c>
      <c r="O32" s="5" cm="1">
        <f t="array" ref="O32">IFERROR(AVERAGE(IF((ContinuousStatsTable[GroupByKey]=ContinuousStatsTable[[#This Row],[GroupByKey]]),(ContinuousStatsTable[GroupByKey]=ContinuousStatsTable[[#This Row],[GroupByKey]])*ContinuousStatsTable[Average])),0)</f>
        <v>0</v>
      </c>
      <c r="P32" s="5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0</v>
      </c>
      <c r="Q32" s="5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" s="5" cm="1">
        <f t="array" ref="S32">MIN(IF((ContinuousStatsTable[GroupByKey]=ContinuousStatsTable[[#This Row],[GroupByKey]]),(ContinuousStatsTable[GroupByKey]=ContinuousStatsTable[[#This Row],[GroupByKey]])*ContinuousStatsTable[Average]))</f>
        <v>0</v>
      </c>
      <c r="T32" s="5" cm="1">
        <f t="array" ref="T32">MAX(IF((ContinuousStatsTable[GroupByKey]=ContinuousStatsTable[[#This Row],[GroupByKey]]),(ContinuousStatsTable[GroupByKey]=ContinuousStatsTable[[#This Row],[GroupByKey]])*ContinuousStatsTable[Average]))</f>
        <v>0</v>
      </c>
      <c r="U32" s="5">
        <f>IF((ContinuousStatsTable[[#This Row],[RepsRequested]]&gt;1),ContinuousStatsTable[[#This Row],[HalfWidth]],ContinuousStatsTable[[#This Row],[BatchMeansHalfWidth]])</f>
        <v>0</v>
      </c>
    </row>
    <row r="33" spans="1:21" x14ac:dyDescent="0.4">
      <c r="A33" t="s">
        <v>66</v>
      </c>
      <c r="B33" t="s">
        <v>69</v>
      </c>
      <c r="C33">
        <v>2</v>
      </c>
      <c r="D33" t="s">
        <v>84</v>
      </c>
      <c r="E33" t="s">
        <v>94</v>
      </c>
      <c r="F33" t="s">
        <v>80</v>
      </c>
      <c r="G33">
        <v>0</v>
      </c>
      <c r="H33">
        <v>2E+20</v>
      </c>
      <c r="I33">
        <v>0</v>
      </c>
      <c r="J33">
        <v>0</v>
      </c>
      <c r="K33">
        <v>0</v>
      </c>
      <c r="L33">
        <v>0</v>
      </c>
      <c r="M33" s="5" t="str">
        <f>ContinuousStatsTable[[#This Row],[ProjectName]]&amp;ContinuousStatsTable[[#This Row],[Name]]&amp;ContinuousStatsTable[[#This Row],[Type]]&amp;ContinuousStatsTable[[#This Row],[Source]]</f>
        <v>Unnamed ProjectHold M5.QueueNumber WaitingQueue</v>
      </c>
      <c r="N33" s="5" cm="1">
        <f t="array" ref="N33">MAX(IF((ProjectInfoTable[ProjectName]=ContinuousStatsTable[[#This Row],[ProjectName]]),(ProjectInfoTable[ProjectName]=ContinuousStatsTable[[#This Row],[ProjectName]])*ProjectInfoTable[NumberOfReplications]))</f>
        <v>10</v>
      </c>
      <c r="O33" s="5" cm="1">
        <f t="array" ref="O33">IFERROR(AVERAGE(IF((ContinuousStatsTable[GroupByKey]=ContinuousStatsTable[[#This Row],[GroupByKey]]),(ContinuousStatsTable[GroupByKey]=ContinuousStatsTable[[#This Row],[GroupByKey]])*ContinuousStatsTable[Average])),0)</f>
        <v>0</v>
      </c>
      <c r="P33" s="5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0</v>
      </c>
      <c r="Q33" s="5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" s="5" cm="1">
        <f t="array" ref="S33">MIN(IF((ContinuousStatsTable[GroupByKey]=ContinuousStatsTable[[#This Row],[GroupByKey]]),(ContinuousStatsTable[GroupByKey]=ContinuousStatsTable[[#This Row],[GroupByKey]])*ContinuousStatsTable[Average]))</f>
        <v>0</v>
      </c>
      <c r="T33" s="5" cm="1">
        <f t="array" ref="T33">MAX(IF((ContinuousStatsTable[GroupByKey]=ContinuousStatsTable[[#This Row],[GroupByKey]]),(ContinuousStatsTable[GroupByKey]=ContinuousStatsTable[[#This Row],[GroupByKey]])*ContinuousStatsTable[Average]))</f>
        <v>0</v>
      </c>
      <c r="U33" s="5">
        <f>IF((ContinuousStatsTable[[#This Row],[RepsRequested]]&gt;1),ContinuousStatsTable[[#This Row],[HalfWidth]],ContinuousStatsTable[[#This Row],[BatchMeansHalfWidth]])</f>
        <v>0</v>
      </c>
    </row>
    <row r="34" spans="1:21" x14ac:dyDescent="0.4">
      <c r="A34" t="s">
        <v>66</v>
      </c>
      <c r="B34" t="s">
        <v>69</v>
      </c>
      <c r="C34">
        <v>2</v>
      </c>
      <c r="D34" t="s">
        <v>95</v>
      </c>
      <c r="E34" t="s">
        <v>96</v>
      </c>
      <c r="F34" t="s">
        <v>97</v>
      </c>
      <c r="G34">
        <v>0.39865120046345498</v>
      </c>
      <c r="H34">
        <v>2E+20</v>
      </c>
      <c r="I34">
        <v>0</v>
      </c>
      <c r="J34">
        <v>1</v>
      </c>
      <c r="K34">
        <v>0</v>
      </c>
      <c r="L34">
        <v>0</v>
      </c>
      <c r="M34" s="5" t="str">
        <f>ContinuousStatsTable[[#This Row],[ProjectName]]&amp;ContinuousStatsTable[[#This Row],[Name]]&amp;ContinuousStatsTable[[#This Row],[Type]]&amp;ContinuousStatsTable[[#This Row],[Source]]</f>
        <v>Unnamed ProjectM1Instantaneous UtilizationResource</v>
      </c>
      <c r="N34" s="5" cm="1">
        <f t="array" ref="N34">MAX(IF((ProjectInfoTable[ProjectName]=ContinuousStatsTable[[#This Row],[ProjectName]]),(ProjectInfoTable[ProjectName]=ContinuousStatsTable[[#This Row],[ProjectName]])*ProjectInfoTable[NumberOfReplications]))</f>
        <v>10</v>
      </c>
      <c r="O34" s="5" cm="1">
        <f t="array" ref="O34">IFERROR(AVERAGE(IF((ContinuousStatsTable[GroupByKey]=ContinuousStatsTable[[#This Row],[GroupByKey]]),(ContinuousStatsTable[GroupByKey]=ContinuousStatsTable[[#This Row],[GroupByKey]])*ContinuousStatsTable[Average])),0)</f>
        <v>0.35418637725041224</v>
      </c>
      <c r="P34" s="5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3.3453936231241439E-2</v>
      </c>
      <c r="Q34" s="5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2.3931504314920794E-2</v>
      </c>
      <c r="S34" s="5" cm="1">
        <f t="array" ref="S34">MIN(IF((ContinuousStatsTable[GroupByKey]=ContinuousStatsTable[[#This Row],[GroupByKey]]),(ContinuousStatsTable[GroupByKey]=ContinuousStatsTable[[#This Row],[GroupByKey]])*ContinuousStatsTable[Average]))</f>
        <v>0.29539806709730798</v>
      </c>
      <c r="T34" s="5" cm="1">
        <f t="array" ref="T34">MAX(IF((ContinuousStatsTable[GroupByKey]=ContinuousStatsTable[[#This Row],[GroupByKey]]),(ContinuousStatsTable[GroupByKey]=ContinuousStatsTable[[#This Row],[GroupByKey]])*ContinuousStatsTable[Average]))</f>
        <v>0.39865120046345498</v>
      </c>
      <c r="U34" s="5">
        <f>IF((ContinuousStatsTable[[#This Row],[RepsRequested]]&gt;1),ContinuousStatsTable[[#This Row],[HalfWidth]],ContinuousStatsTable[[#This Row],[BatchMeansHalfWidth]])</f>
        <v>2.3931504314920794E-2</v>
      </c>
    </row>
    <row r="35" spans="1:21" x14ac:dyDescent="0.4">
      <c r="A35" t="s">
        <v>66</v>
      </c>
      <c r="B35" t="s">
        <v>69</v>
      </c>
      <c r="C35">
        <v>2</v>
      </c>
      <c r="D35" t="s">
        <v>95</v>
      </c>
      <c r="E35" t="s">
        <v>98</v>
      </c>
      <c r="F35" t="s">
        <v>97</v>
      </c>
      <c r="G35">
        <v>0.79730240092691096</v>
      </c>
      <c r="H35">
        <v>2E+20</v>
      </c>
      <c r="I35">
        <v>0</v>
      </c>
      <c r="J35">
        <v>2</v>
      </c>
      <c r="K35">
        <v>0</v>
      </c>
      <c r="L35">
        <v>0</v>
      </c>
      <c r="M35" s="5" t="str">
        <f>ContinuousStatsTable[[#This Row],[ProjectName]]&amp;ContinuousStatsTable[[#This Row],[Name]]&amp;ContinuousStatsTable[[#This Row],[Type]]&amp;ContinuousStatsTable[[#This Row],[Source]]</f>
        <v>Unnamed ProjectM1Number BusyResource</v>
      </c>
      <c r="N35" s="5" cm="1">
        <f t="array" ref="N35">MAX(IF((ProjectInfoTable[ProjectName]=ContinuousStatsTable[[#This Row],[ProjectName]]),(ProjectInfoTable[ProjectName]=ContinuousStatsTable[[#This Row],[ProjectName]])*ProjectInfoTable[NumberOfReplications]))</f>
        <v>10</v>
      </c>
      <c r="O35" s="5" cm="1">
        <f t="array" ref="O35">IFERROR(AVERAGE(IF((ContinuousStatsTable[GroupByKey]=ContinuousStatsTable[[#This Row],[GroupByKey]]),(ContinuousStatsTable[GroupByKey]=ContinuousStatsTable[[#This Row],[GroupByKey]])*ContinuousStatsTable[Average])),0)</f>
        <v>0.70837275450082438</v>
      </c>
      <c r="P35" s="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6.6907872462483045E-2</v>
      </c>
      <c r="Q35" s="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4.7863008629841705E-2</v>
      </c>
      <c r="S35" s="5" cm="1">
        <f t="array" ref="S35">MIN(IF((ContinuousStatsTable[GroupByKey]=ContinuousStatsTable[[#This Row],[GroupByKey]]),(ContinuousStatsTable[GroupByKey]=ContinuousStatsTable[[#This Row],[GroupByKey]])*ContinuousStatsTable[Average]))</f>
        <v>0.59079613419461596</v>
      </c>
      <c r="T35" s="5" cm="1">
        <f t="array" ref="T35">MAX(IF((ContinuousStatsTable[GroupByKey]=ContinuousStatsTable[[#This Row],[GroupByKey]]),(ContinuousStatsTable[GroupByKey]=ContinuousStatsTable[[#This Row],[GroupByKey]])*ContinuousStatsTable[Average]))</f>
        <v>0.79730240092691096</v>
      </c>
      <c r="U35" s="5">
        <f>IF((ContinuousStatsTable[[#This Row],[RepsRequested]]&gt;1),ContinuousStatsTable[[#This Row],[HalfWidth]],ContinuousStatsTable[[#This Row],[BatchMeansHalfWidth]])</f>
        <v>4.7863008629841705E-2</v>
      </c>
    </row>
    <row r="36" spans="1:21" x14ac:dyDescent="0.4">
      <c r="A36" t="s">
        <v>66</v>
      </c>
      <c r="B36" t="s">
        <v>69</v>
      </c>
      <c r="C36">
        <v>2</v>
      </c>
      <c r="D36" t="s">
        <v>95</v>
      </c>
      <c r="E36" t="s">
        <v>99</v>
      </c>
      <c r="F36" t="s">
        <v>97</v>
      </c>
      <c r="G36">
        <v>2</v>
      </c>
      <c r="H36">
        <v>2E+20</v>
      </c>
      <c r="I36">
        <v>2</v>
      </c>
      <c r="J36">
        <v>2</v>
      </c>
      <c r="K36">
        <v>2</v>
      </c>
      <c r="L36">
        <v>0</v>
      </c>
      <c r="M36" s="5" t="str">
        <f>ContinuousStatsTable[[#This Row],[ProjectName]]&amp;ContinuousStatsTable[[#This Row],[Name]]&amp;ContinuousStatsTable[[#This Row],[Type]]&amp;ContinuousStatsTable[[#This Row],[Source]]</f>
        <v>Unnamed ProjectM1Number ScheduledResource</v>
      </c>
      <c r="N36" s="5" cm="1">
        <f t="array" ref="N36">MAX(IF((ProjectInfoTable[ProjectName]=ContinuousStatsTable[[#This Row],[ProjectName]]),(ProjectInfoTable[ProjectName]=ContinuousStatsTable[[#This Row],[ProjectName]])*ProjectInfoTable[NumberOfReplications]))</f>
        <v>10</v>
      </c>
      <c r="O36" s="5" cm="1">
        <f t="array" ref="O36">IFERROR(AVERAGE(IF((ContinuousStatsTable[GroupByKey]=ContinuousStatsTable[[#This Row],[GroupByKey]]),(ContinuousStatsTable[GroupByKey]=ContinuousStatsTable[[#This Row],[GroupByKey]])*ContinuousStatsTable[Average])),0)</f>
        <v>2</v>
      </c>
      <c r="P36" s="5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0</v>
      </c>
      <c r="Q36" s="5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" s="5" cm="1">
        <f t="array" ref="S36">MIN(IF((ContinuousStatsTable[GroupByKey]=ContinuousStatsTable[[#This Row],[GroupByKey]]),(ContinuousStatsTable[GroupByKey]=ContinuousStatsTable[[#This Row],[GroupByKey]])*ContinuousStatsTable[Average]))</f>
        <v>2</v>
      </c>
      <c r="T36" s="5" cm="1">
        <f t="array" ref="T36">MAX(IF((ContinuousStatsTable[GroupByKey]=ContinuousStatsTable[[#This Row],[GroupByKey]]),(ContinuousStatsTable[GroupByKey]=ContinuousStatsTable[[#This Row],[GroupByKey]])*ContinuousStatsTable[Average]))</f>
        <v>2</v>
      </c>
      <c r="U36" s="5">
        <f>IF((ContinuousStatsTable[[#This Row],[RepsRequested]]&gt;1),ContinuousStatsTable[[#This Row],[HalfWidth]],ContinuousStatsTable[[#This Row],[BatchMeansHalfWidth]])</f>
        <v>0</v>
      </c>
    </row>
    <row r="37" spans="1:21" x14ac:dyDescent="0.4">
      <c r="A37" t="s">
        <v>66</v>
      </c>
      <c r="B37" t="s">
        <v>69</v>
      </c>
      <c r="C37">
        <v>2</v>
      </c>
      <c r="D37" t="s">
        <v>85</v>
      </c>
      <c r="E37" t="s">
        <v>94</v>
      </c>
      <c r="F37" t="s">
        <v>80</v>
      </c>
      <c r="G37">
        <v>0.13146637852281401</v>
      </c>
      <c r="H37">
        <v>2E+20</v>
      </c>
      <c r="I37">
        <v>0</v>
      </c>
      <c r="J37">
        <v>5</v>
      </c>
      <c r="K37">
        <v>0</v>
      </c>
      <c r="L37">
        <v>0</v>
      </c>
      <c r="M37" s="5" t="str">
        <f>ContinuousStatsTable[[#This Row],[ProjectName]]&amp;ContinuousStatsTable[[#This Row],[Name]]&amp;ContinuousStatsTable[[#This Row],[Type]]&amp;ContinuousStatsTable[[#This Row],[Source]]</f>
        <v>Unnamed ProjectM1.QNumber WaitingQueue</v>
      </c>
      <c r="N37" s="5" cm="1">
        <f t="array" ref="N37">MAX(IF((ProjectInfoTable[ProjectName]=ContinuousStatsTable[[#This Row],[ProjectName]]),(ProjectInfoTable[ProjectName]=ContinuousStatsTable[[#This Row],[ProjectName]])*ProjectInfoTable[NumberOfReplications]))</f>
        <v>10</v>
      </c>
      <c r="O37" s="5" cm="1">
        <f t="array" ref="O37">IFERROR(AVERAGE(IF((ContinuousStatsTable[GroupByKey]=ContinuousStatsTable[[#This Row],[GroupByKey]]),(ContinuousStatsTable[GroupByKey]=ContinuousStatsTable[[#This Row],[GroupByKey]])*ContinuousStatsTable[Average])),0)</f>
        <v>8.2638825969756052E-2</v>
      </c>
      <c r="P37" s="5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2.9983492659856659E-2</v>
      </c>
      <c r="Q37" s="5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2.1448898539349195E-2</v>
      </c>
      <c r="S37" s="5" cm="1">
        <f t="array" ref="S37">MIN(IF((ContinuousStatsTable[GroupByKey]=ContinuousStatsTable[[#This Row],[GroupByKey]]),(ContinuousStatsTable[GroupByKey]=ContinuousStatsTable[[#This Row],[GroupByKey]])*ContinuousStatsTable[Average]))</f>
        <v>3.4990004496426703E-2</v>
      </c>
      <c r="T37" s="5" cm="1">
        <f t="array" ref="T37">MAX(IF((ContinuousStatsTable[GroupByKey]=ContinuousStatsTable[[#This Row],[GroupByKey]]),(ContinuousStatsTable[GroupByKey]=ContinuousStatsTable[[#This Row],[GroupByKey]])*ContinuousStatsTable[Average]))</f>
        <v>0.13146637852281401</v>
      </c>
      <c r="U37" s="5">
        <f>IF((ContinuousStatsTable[[#This Row],[RepsRequested]]&gt;1),ContinuousStatsTable[[#This Row],[HalfWidth]],ContinuousStatsTable[[#This Row],[BatchMeansHalfWidth]])</f>
        <v>2.1448898539349195E-2</v>
      </c>
    </row>
    <row r="38" spans="1:21" x14ac:dyDescent="0.4">
      <c r="A38" t="s">
        <v>66</v>
      </c>
      <c r="B38" t="s">
        <v>69</v>
      </c>
      <c r="C38">
        <v>2</v>
      </c>
      <c r="D38" t="s">
        <v>100</v>
      </c>
      <c r="E38" t="s">
        <v>96</v>
      </c>
      <c r="F38" t="s">
        <v>97</v>
      </c>
      <c r="G38">
        <v>0.82897598860260902</v>
      </c>
      <c r="H38">
        <v>2E+20</v>
      </c>
      <c r="I38">
        <v>0</v>
      </c>
      <c r="J38">
        <v>1</v>
      </c>
      <c r="K38">
        <v>0</v>
      </c>
      <c r="L38">
        <v>0</v>
      </c>
      <c r="M38" s="5" t="str">
        <f>ContinuousStatsTable[[#This Row],[ProjectName]]&amp;ContinuousStatsTable[[#This Row],[Name]]&amp;ContinuousStatsTable[[#This Row],[Type]]&amp;ContinuousStatsTable[[#This Row],[Source]]</f>
        <v>Unnamed ProjectM2Instantaneous UtilizationResource</v>
      </c>
      <c r="N38" s="5" cm="1">
        <f t="array" ref="N38">MAX(IF((ProjectInfoTable[ProjectName]=ContinuousStatsTable[[#This Row],[ProjectName]]),(ProjectInfoTable[ProjectName]=ContinuousStatsTable[[#This Row],[ProjectName]])*ProjectInfoTable[NumberOfReplications]))</f>
        <v>10</v>
      </c>
      <c r="O38" s="5" cm="1">
        <f t="array" ref="O38">IFERROR(AVERAGE(IF((ContinuousStatsTable[GroupByKey]=ContinuousStatsTable[[#This Row],[GroupByKey]]),(ContinuousStatsTable[GroupByKey]=ContinuousStatsTable[[#This Row],[GroupByKey]])*ContinuousStatsTable[Average])),0)</f>
        <v>0.79069410142096264</v>
      </c>
      <c r="P38" s="5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8.4677985904895448E-2</v>
      </c>
      <c r="Q38" s="5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6.0574982000753563E-2</v>
      </c>
      <c r="S38" s="5" cm="1">
        <f t="array" ref="S38">MIN(IF((ContinuousStatsTable[GroupByKey]=ContinuousStatsTable[[#This Row],[GroupByKey]]),(ContinuousStatsTable[GroupByKey]=ContinuousStatsTable[[#This Row],[GroupByKey]])*ContinuousStatsTable[Average]))</f>
        <v>0.62412916158771403</v>
      </c>
      <c r="T38" s="5" cm="1">
        <f t="array" ref="T38">MAX(IF((ContinuousStatsTable[GroupByKey]=ContinuousStatsTable[[#This Row],[GroupByKey]]),(ContinuousStatsTable[GroupByKey]=ContinuousStatsTable[[#This Row],[GroupByKey]])*ContinuousStatsTable[Average]))</f>
        <v>0.92247891730008102</v>
      </c>
      <c r="U38" s="5">
        <f>IF((ContinuousStatsTable[[#This Row],[RepsRequested]]&gt;1),ContinuousStatsTable[[#This Row],[HalfWidth]],ContinuousStatsTable[[#This Row],[BatchMeansHalfWidth]])</f>
        <v>6.0574982000753563E-2</v>
      </c>
    </row>
    <row r="39" spans="1:21" x14ac:dyDescent="0.4">
      <c r="A39" t="s">
        <v>66</v>
      </c>
      <c r="B39" t="s">
        <v>69</v>
      </c>
      <c r="C39">
        <v>2</v>
      </c>
      <c r="D39" t="s">
        <v>100</v>
      </c>
      <c r="E39" t="s">
        <v>98</v>
      </c>
      <c r="F39" t="s">
        <v>97</v>
      </c>
      <c r="G39">
        <v>0.82897598860260902</v>
      </c>
      <c r="H39">
        <v>2E+20</v>
      </c>
      <c r="I39">
        <v>0</v>
      </c>
      <c r="J39">
        <v>1</v>
      </c>
      <c r="K39">
        <v>0</v>
      </c>
      <c r="L39">
        <v>0</v>
      </c>
      <c r="M39" s="5" t="str">
        <f>ContinuousStatsTable[[#This Row],[ProjectName]]&amp;ContinuousStatsTable[[#This Row],[Name]]&amp;ContinuousStatsTable[[#This Row],[Type]]&amp;ContinuousStatsTable[[#This Row],[Source]]</f>
        <v>Unnamed ProjectM2Number BusyResource</v>
      </c>
      <c r="N39" s="5" cm="1">
        <f t="array" ref="N39">MAX(IF((ProjectInfoTable[ProjectName]=ContinuousStatsTable[[#This Row],[ProjectName]]),(ProjectInfoTable[ProjectName]=ContinuousStatsTable[[#This Row],[ProjectName]])*ProjectInfoTable[NumberOfReplications]))</f>
        <v>10</v>
      </c>
      <c r="O39" s="5" cm="1">
        <f t="array" ref="O39">IFERROR(AVERAGE(IF((ContinuousStatsTable[GroupByKey]=ContinuousStatsTable[[#This Row],[GroupByKey]]),(ContinuousStatsTable[GroupByKey]=ContinuousStatsTable[[#This Row],[GroupByKey]])*ContinuousStatsTable[Average])),0)</f>
        <v>0.79069410142096264</v>
      </c>
      <c r="P39" s="5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8.4677985904895448E-2</v>
      </c>
      <c r="Q39" s="5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6.0574982000753563E-2</v>
      </c>
      <c r="S39" s="5" cm="1">
        <f t="array" ref="S39">MIN(IF((ContinuousStatsTable[GroupByKey]=ContinuousStatsTable[[#This Row],[GroupByKey]]),(ContinuousStatsTable[GroupByKey]=ContinuousStatsTable[[#This Row],[GroupByKey]])*ContinuousStatsTable[Average]))</f>
        <v>0.62412916158771403</v>
      </c>
      <c r="T39" s="5" cm="1">
        <f t="array" ref="T39">MAX(IF((ContinuousStatsTable[GroupByKey]=ContinuousStatsTable[[#This Row],[GroupByKey]]),(ContinuousStatsTable[GroupByKey]=ContinuousStatsTable[[#This Row],[GroupByKey]])*ContinuousStatsTable[Average]))</f>
        <v>0.92247891730008102</v>
      </c>
      <c r="U39" s="5">
        <f>IF((ContinuousStatsTable[[#This Row],[RepsRequested]]&gt;1),ContinuousStatsTable[[#This Row],[HalfWidth]],ContinuousStatsTable[[#This Row],[BatchMeansHalfWidth]])</f>
        <v>6.0574982000753563E-2</v>
      </c>
    </row>
    <row r="40" spans="1:21" x14ac:dyDescent="0.4">
      <c r="A40" t="s">
        <v>66</v>
      </c>
      <c r="B40" t="s">
        <v>69</v>
      </c>
      <c r="C40">
        <v>2</v>
      </c>
      <c r="D40" t="s">
        <v>100</v>
      </c>
      <c r="E40" t="s">
        <v>99</v>
      </c>
      <c r="F40" t="s">
        <v>97</v>
      </c>
      <c r="G40">
        <v>1</v>
      </c>
      <c r="H40">
        <v>2E+20</v>
      </c>
      <c r="I40">
        <v>1</v>
      </c>
      <c r="J40">
        <v>1</v>
      </c>
      <c r="K40">
        <v>1</v>
      </c>
      <c r="L40">
        <v>0</v>
      </c>
      <c r="M40" s="5" t="str">
        <f>ContinuousStatsTable[[#This Row],[ProjectName]]&amp;ContinuousStatsTable[[#This Row],[Name]]&amp;ContinuousStatsTable[[#This Row],[Type]]&amp;ContinuousStatsTable[[#This Row],[Source]]</f>
        <v>Unnamed ProjectM2Number ScheduledResource</v>
      </c>
      <c r="N40" s="5" cm="1">
        <f t="array" ref="N40">MAX(IF((ProjectInfoTable[ProjectName]=ContinuousStatsTable[[#This Row],[ProjectName]]),(ProjectInfoTable[ProjectName]=ContinuousStatsTable[[#This Row],[ProjectName]])*ProjectInfoTable[NumberOfReplications]))</f>
        <v>10</v>
      </c>
      <c r="O40" s="5" cm="1">
        <f t="array" ref="O40">IFERROR(AVERAGE(IF((ContinuousStatsTable[GroupByKey]=ContinuousStatsTable[[#This Row],[GroupByKey]]),(ContinuousStatsTable[GroupByKey]=ContinuousStatsTable[[#This Row],[GroupByKey]])*ContinuousStatsTable[Average])),0)</f>
        <v>1</v>
      </c>
      <c r="P40" s="5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0</v>
      </c>
      <c r="Q40" s="5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" s="5" cm="1">
        <f t="array" ref="S40">MIN(IF((ContinuousStatsTable[GroupByKey]=ContinuousStatsTable[[#This Row],[GroupByKey]]),(ContinuousStatsTable[GroupByKey]=ContinuousStatsTable[[#This Row],[GroupByKey]])*ContinuousStatsTable[Average]))</f>
        <v>1</v>
      </c>
      <c r="T40" s="5" cm="1">
        <f t="array" ref="T40">MAX(IF((ContinuousStatsTable[GroupByKey]=ContinuousStatsTable[[#This Row],[GroupByKey]]),(ContinuousStatsTable[GroupByKey]=ContinuousStatsTable[[#This Row],[GroupByKey]])*ContinuousStatsTable[Average]))</f>
        <v>1</v>
      </c>
      <c r="U40" s="5">
        <f>IF((ContinuousStatsTable[[#This Row],[RepsRequested]]&gt;1),ContinuousStatsTable[[#This Row],[HalfWidth]],ContinuousStatsTable[[#This Row],[BatchMeansHalfWidth]])</f>
        <v>0</v>
      </c>
    </row>
    <row r="41" spans="1:21" x14ac:dyDescent="0.4">
      <c r="A41" t="s">
        <v>66</v>
      </c>
      <c r="B41" t="s">
        <v>69</v>
      </c>
      <c r="C41">
        <v>2</v>
      </c>
      <c r="D41" t="s">
        <v>86</v>
      </c>
      <c r="E41" t="s">
        <v>94</v>
      </c>
      <c r="F41" t="s">
        <v>80</v>
      </c>
      <c r="G41">
        <v>1.8028831410399799</v>
      </c>
      <c r="H41">
        <v>2E+20</v>
      </c>
      <c r="I41">
        <v>0</v>
      </c>
      <c r="J41">
        <v>7</v>
      </c>
      <c r="K41">
        <v>0</v>
      </c>
      <c r="L41">
        <v>0</v>
      </c>
      <c r="M41" s="5" t="str">
        <f>ContinuousStatsTable[[#This Row],[ProjectName]]&amp;ContinuousStatsTable[[#This Row],[Name]]&amp;ContinuousStatsTable[[#This Row],[Type]]&amp;ContinuousStatsTable[[#This Row],[Source]]</f>
        <v>Unnamed ProjectM2.QNumber WaitingQueue</v>
      </c>
      <c r="N41" s="5" cm="1">
        <f t="array" ref="N41">MAX(IF((ProjectInfoTable[ProjectName]=ContinuousStatsTable[[#This Row],[ProjectName]]),(ProjectInfoTable[ProjectName]=ContinuousStatsTable[[#This Row],[ProjectName]])*ProjectInfoTable[NumberOfReplications]))</f>
        <v>10</v>
      </c>
      <c r="O41" s="5" cm="1">
        <f t="array" ref="O41">IFERROR(AVERAGE(IF((ContinuousStatsTable[GroupByKey]=ContinuousStatsTable[[#This Row],[GroupByKey]]),(ContinuousStatsTable[GroupByKey]=ContinuousStatsTable[[#This Row],[GroupByKey]])*ContinuousStatsTable[Average])),0)</f>
        <v>1.9414248775037748</v>
      </c>
      <c r="P41" s="5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1.0999712931753487</v>
      </c>
      <c r="Q41" s="5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0.78687206094246831</v>
      </c>
      <c r="S41" s="5" cm="1">
        <f t="array" ref="S41">MIN(IF((ContinuousStatsTable[GroupByKey]=ContinuousStatsTable[[#This Row],[GroupByKey]]),(ContinuousStatsTable[GroupByKey]=ContinuousStatsTable[[#This Row],[GroupByKey]])*ContinuousStatsTable[Average]))</f>
        <v>0.64368437614034602</v>
      </c>
      <c r="T41" s="5" cm="1">
        <f t="array" ref="T41">MAX(IF((ContinuousStatsTable[GroupByKey]=ContinuousStatsTable[[#This Row],[GroupByKey]]),(ContinuousStatsTable[GroupByKey]=ContinuousStatsTable[[#This Row],[GroupByKey]])*ContinuousStatsTable[Average]))</f>
        <v>3.96038812902029</v>
      </c>
      <c r="U41" s="5">
        <f>IF((ContinuousStatsTable[[#This Row],[RepsRequested]]&gt;1),ContinuousStatsTable[[#This Row],[HalfWidth]],ContinuousStatsTable[[#This Row],[BatchMeansHalfWidth]])</f>
        <v>0.78687206094246831</v>
      </c>
    </row>
    <row r="42" spans="1:21" x14ac:dyDescent="0.4">
      <c r="A42" t="s">
        <v>66</v>
      </c>
      <c r="B42" t="s">
        <v>69</v>
      </c>
      <c r="C42">
        <v>2</v>
      </c>
      <c r="D42" t="s">
        <v>101</v>
      </c>
      <c r="E42" t="s">
        <v>96</v>
      </c>
      <c r="F42" t="s">
        <v>97</v>
      </c>
      <c r="G42">
        <v>0.38473638633557899</v>
      </c>
      <c r="H42">
        <v>2E+20</v>
      </c>
      <c r="I42">
        <v>0</v>
      </c>
      <c r="J42">
        <v>1</v>
      </c>
      <c r="K42">
        <v>0</v>
      </c>
      <c r="L42">
        <v>0</v>
      </c>
      <c r="M42" s="5" t="str">
        <f>ContinuousStatsTable[[#This Row],[ProjectName]]&amp;ContinuousStatsTable[[#This Row],[Name]]&amp;ContinuousStatsTable[[#This Row],[Type]]&amp;ContinuousStatsTable[[#This Row],[Source]]</f>
        <v>Unnamed ProjectM3Instantaneous UtilizationResource</v>
      </c>
      <c r="N42" s="5" cm="1">
        <f t="array" ref="N42">MAX(IF((ProjectInfoTable[ProjectName]=ContinuousStatsTable[[#This Row],[ProjectName]]),(ProjectInfoTable[ProjectName]=ContinuousStatsTable[[#This Row],[ProjectName]])*ProjectInfoTable[NumberOfReplications]))</f>
        <v>10</v>
      </c>
      <c r="O42" s="5" cm="1">
        <f t="array" ref="O42">IFERROR(AVERAGE(IF((ContinuousStatsTable[GroupByKey]=ContinuousStatsTable[[#This Row],[GroupByKey]]),(ContinuousStatsTable[GroupByKey]=ContinuousStatsTable[[#This Row],[GroupByKey]])*ContinuousStatsTable[Average])),0)</f>
        <v>0.38204498745219106</v>
      </c>
      <c r="P42" s="5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2.9603647703352595E-2</v>
      </c>
      <c r="Q42" s="5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2.1177173826515884E-2</v>
      </c>
      <c r="S42" s="5" cm="1">
        <f t="array" ref="S42">MIN(IF((ContinuousStatsTable[GroupByKey]=ContinuousStatsTable[[#This Row],[GroupByKey]]),(ContinuousStatsTable[GroupByKey]=ContinuousStatsTable[[#This Row],[GroupByKey]])*ContinuousStatsTable[Average]))</f>
        <v>0.32566726436532201</v>
      </c>
      <c r="T42" s="5" cm="1">
        <f t="array" ref="T42">MAX(IF((ContinuousStatsTable[GroupByKey]=ContinuousStatsTable[[#This Row],[GroupByKey]]),(ContinuousStatsTable[GroupByKey]=ContinuousStatsTable[[#This Row],[GroupByKey]])*ContinuousStatsTable[Average]))</f>
        <v>0.42511230467838501</v>
      </c>
      <c r="U42" s="5">
        <f>IF((ContinuousStatsTable[[#This Row],[RepsRequested]]&gt;1),ContinuousStatsTable[[#This Row],[HalfWidth]],ContinuousStatsTable[[#This Row],[BatchMeansHalfWidth]])</f>
        <v>2.1177173826515884E-2</v>
      </c>
    </row>
    <row r="43" spans="1:21" x14ac:dyDescent="0.4">
      <c r="A43" t="s">
        <v>66</v>
      </c>
      <c r="B43" t="s">
        <v>69</v>
      </c>
      <c r="C43">
        <v>2</v>
      </c>
      <c r="D43" t="s">
        <v>101</v>
      </c>
      <c r="E43" t="s">
        <v>98</v>
      </c>
      <c r="F43" t="s">
        <v>97</v>
      </c>
      <c r="G43">
        <v>0.76947277267115899</v>
      </c>
      <c r="H43">
        <v>2E+20</v>
      </c>
      <c r="I43">
        <v>0</v>
      </c>
      <c r="J43">
        <v>2</v>
      </c>
      <c r="K43">
        <v>0</v>
      </c>
      <c r="L43">
        <v>0</v>
      </c>
      <c r="M43" s="5" t="str">
        <f>ContinuousStatsTable[[#This Row],[ProjectName]]&amp;ContinuousStatsTable[[#This Row],[Name]]&amp;ContinuousStatsTable[[#This Row],[Type]]&amp;ContinuousStatsTable[[#This Row],[Source]]</f>
        <v>Unnamed ProjectM3Number BusyResource</v>
      </c>
      <c r="N43" s="5" cm="1">
        <f t="array" ref="N43">MAX(IF((ProjectInfoTable[ProjectName]=ContinuousStatsTable[[#This Row],[ProjectName]]),(ProjectInfoTable[ProjectName]=ContinuousStatsTable[[#This Row],[ProjectName]])*ProjectInfoTable[NumberOfReplications]))</f>
        <v>10</v>
      </c>
      <c r="O43" s="5" cm="1">
        <f t="array" ref="O43">IFERROR(AVERAGE(IF((ContinuousStatsTable[GroupByKey]=ContinuousStatsTable[[#This Row],[GroupByKey]]),(ContinuousStatsTable[GroupByKey]=ContinuousStatsTable[[#This Row],[GroupByKey]])*ContinuousStatsTable[Average])),0)</f>
        <v>0.76408997490438202</v>
      </c>
      <c r="P43" s="5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5.9207295406705232E-2</v>
      </c>
      <c r="Q43" s="5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4.2354347653031796E-2</v>
      </c>
      <c r="S43" s="5" cm="1">
        <f t="array" ref="S43">MIN(IF((ContinuousStatsTable[GroupByKey]=ContinuousStatsTable[[#This Row],[GroupByKey]]),(ContinuousStatsTable[GroupByKey]=ContinuousStatsTable[[#This Row],[GroupByKey]])*ContinuousStatsTable[Average]))</f>
        <v>0.65133452873064301</v>
      </c>
      <c r="T43" s="5" cm="1">
        <f t="array" ref="T43">MAX(IF((ContinuousStatsTable[GroupByKey]=ContinuousStatsTable[[#This Row],[GroupByKey]]),(ContinuousStatsTable[GroupByKey]=ContinuousStatsTable[[#This Row],[GroupByKey]])*ContinuousStatsTable[Average]))</f>
        <v>0.85022460935677002</v>
      </c>
      <c r="U43" s="5">
        <f>IF((ContinuousStatsTable[[#This Row],[RepsRequested]]&gt;1),ContinuousStatsTable[[#This Row],[HalfWidth]],ContinuousStatsTable[[#This Row],[BatchMeansHalfWidth]])</f>
        <v>4.2354347653031796E-2</v>
      </c>
    </row>
    <row r="44" spans="1:21" x14ac:dyDescent="0.4">
      <c r="A44" t="s">
        <v>66</v>
      </c>
      <c r="B44" t="s">
        <v>69</v>
      </c>
      <c r="C44">
        <v>2</v>
      </c>
      <c r="D44" t="s">
        <v>101</v>
      </c>
      <c r="E44" t="s">
        <v>99</v>
      </c>
      <c r="F44" t="s">
        <v>97</v>
      </c>
      <c r="G44">
        <v>2</v>
      </c>
      <c r="H44">
        <v>2E+20</v>
      </c>
      <c r="I44">
        <v>2</v>
      </c>
      <c r="J44">
        <v>2</v>
      </c>
      <c r="K44">
        <v>2</v>
      </c>
      <c r="L44">
        <v>0</v>
      </c>
      <c r="M44" s="5" t="str">
        <f>ContinuousStatsTable[[#This Row],[ProjectName]]&amp;ContinuousStatsTable[[#This Row],[Name]]&amp;ContinuousStatsTable[[#This Row],[Type]]&amp;ContinuousStatsTable[[#This Row],[Source]]</f>
        <v>Unnamed ProjectM3Number ScheduledResource</v>
      </c>
      <c r="N44" s="5" cm="1">
        <f t="array" ref="N44">MAX(IF((ProjectInfoTable[ProjectName]=ContinuousStatsTable[[#This Row],[ProjectName]]),(ProjectInfoTable[ProjectName]=ContinuousStatsTable[[#This Row],[ProjectName]])*ProjectInfoTable[NumberOfReplications]))</f>
        <v>10</v>
      </c>
      <c r="O44" s="5" cm="1">
        <f t="array" ref="O44">IFERROR(AVERAGE(IF((ContinuousStatsTable[GroupByKey]=ContinuousStatsTable[[#This Row],[GroupByKey]]),(ContinuousStatsTable[GroupByKey]=ContinuousStatsTable[[#This Row],[GroupByKey]])*ContinuousStatsTable[Average])),0)</f>
        <v>2</v>
      </c>
      <c r="P44" s="5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0</v>
      </c>
      <c r="Q44" s="5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" s="5" cm="1">
        <f t="array" ref="S44">MIN(IF((ContinuousStatsTable[GroupByKey]=ContinuousStatsTable[[#This Row],[GroupByKey]]),(ContinuousStatsTable[GroupByKey]=ContinuousStatsTable[[#This Row],[GroupByKey]])*ContinuousStatsTable[Average]))</f>
        <v>2</v>
      </c>
      <c r="T44" s="5" cm="1">
        <f t="array" ref="T44">MAX(IF((ContinuousStatsTable[GroupByKey]=ContinuousStatsTable[[#This Row],[GroupByKey]]),(ContinuousStatsTable[GroupByKey]=ContinuousStatsTable[[#This Row],[GroupByKey]])*ContinuousStatsTable[Average]))</f>
        <v>2</v>
      </c>
      <c r="U44" s="5">
        <f>IF((ContinuousStatsTable[[#This Row],[RepsRequested]]&gt;1),ContinuousStatsTable[[#This Row],[HalfWidth]],ContinuousStatsTable[[#This Row],[BatchMeansHalfWidth]])</f>
        <v>0</v>
      </c>
    </row>
    <row r="45" spans="1:21" x14ac:dyDescent="0.4">
      <c r="A45" t="s">
        <v>66</v>
      </c>
      <c r="B45" t="s">
        <v>69</v>
      </c>
      <c r="C45">
        <v>2</v>
      </c>
      <c r="D45" t="s">
        <v>87</v>
      </c>
      <c r="E45" t="s">
        <v>94</v>
      </c>
      <c r="F45" t="s">
        <v>80</v>
      </c>
      <c r="G45">
        <v>2.7978912998663698E-2</v>
      </c>
      <c r="H45">
        <v>2E+20</v>
      </c>
      <c r="I45">
        <v>0</v>
      </c>
      <c r="J45">
        <v>2</v>
      </c>
      <c r="K45">
        <v>0</v>
      </c>
      <c r="L45">
        <v>0</v>
      </c>
      <c r="M45" s="5" t="str">
        <f>ContinuousStatsTable[[#This Row],[ProjectName]]&amp;ContinuousStatsTable[[#This Row],[Name]]&amp;ContinuousStatsTable[[#This Row],[Type]]&amp;ContinuousStatsTable[[#This Row],[Source]]</f>
        <v>Unnamed ProjectM3.QNumber WaitingQueue</v>
      </c>
      <c r="N45" s="5" cm="1">
        <f t="array" ref="N45">MAX(IF((ProjectInfoTable[ProjectName]=ContinuousStatsTable[[#This Row],[ProjectName]]),(ProjectInfoTable[ProjectName]=ContinuousStatsTable[[#This Row],[ProjectName]])*ProjectInfoTable[NumberOfReplications]))</f>
        <v>10</v>
      </c>
      <c r="O45" s="5" cm="1">
        <f t="array" ref="O45">IFERROR(AVERAGE(IF((ContinuousStatsTable[GroupByKey]=ContinuousStatsTable[[#This Row],[GroupByKey]]),(ContinuousStatsTable[GroupByKey]=ContinuousStatsTable[[#This Row],[GroupByKey]])*ContinuousStatsTable[Average])),0)</f>
        <v>2.5183140573256935E-2</v>
      </c>
      <c r="P45" s="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6.5933898933538881E-3</v>
      </c>
      <c r="Q45" s="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4.7166269939678878E-3</v>
      </c>
      <c r="S45" s="5" cm="1">
        <f t="array" ref="S45">MIN(IF((ContinuousStatsTable[GroupByKey]=ContinuousStatsTable[[#This Row],[GroupByKey]]),(ContinuousStatsTable[GroupByKey]=ContinuousStatsTable[[#This Row],[GroupByKey]])*ContinuousStatsTable[Average]))</f>
        <v>1.7183032756251101E-2</v>
      </c>
      <c r="T45" s="5" cm="1">
        <f t="array" ref="T45">MAX(IF((ContinuousStatsTable[GroupByKey]=ContinuousStatsTable[[#This Row],[GroupByKey]]),(ContinuousStatsTable[GroupByKey]=ContinuousStatsTable[[#This Row],[GroupByKey]])*ContinuousStatsTable[Average]))</f>
        <v>3.3093677405251203E-2</v>
      </c>
      <c r="U45" s="5">
        <f>IF((ContinuousStatsTable[[#This Row],[RepsRequested]]&gt;1),ContinuousStatsTable[[#This Row],[HalfWidth]],ContinuousStatsTable[[#This Row],[BatchMeansHalfWidth]])</f>
        <v>4.7166269939678878E-3</v>
      </c>
    </row>
    <row r="46" spans="1:21" x14ac:dyDescent="0.4">
      <c r="A46" t="s">
        <v>66</v>
      </c>
      <c r="B46" t="s">
        <v>69</v>
      </c>
      <c r="C46">
        <v>2</v>
      </c>
      <c r="D46" t="s">
        <v>102</v>
      </c>
      <c r="E46" t="s">
        <v>96</v>
      </c>
      <c r="F46" t="s">
        <v>97</v>
      </c>
      <c r="G46">
        <v>0.73360482887559197</v>
      </c>
      <c r="H46">
        <v>2E+20</v>
      </c>
      <c r="I46">
        <v>0</v>
      </c>
      <c r="J46">
        <v>1</v>
      </c>
      <c r="K46">
        <v>0</v>
      </c>
      <c r="L46">
        <v>0</v>
      </c>
      <c r="M46" s="5" t="str">
        <f>ContinuousStatsTable[[#This Row],[ProjectName]]&amp;ContinuousStatsTable[[#This Row],[Name]]&amp;ContinuousStatsTable[[#This Row],[Type]]&amp;ContinuousStatsTable[[#This Row],[Source]]</f>
        <v>Unnamed ProjectM4Instantaneous UtilizationResource</v>
      </c>
      <c r="N46" s="5" cm="1">
        <f t="array" ref="N46">MAX(IF((ProjectInfoTable[ProjectName]=ContinuousStatsTable[[#This Row],[ProjectName]]),(ProjectInfoTable[ProjectName]=ContinuousStatsTable[[#This Row],[ProjectName]])*ProjectInfoTable[NumberOfReplications]))</f>
        <v>10</v>
      </c>
      <c r="O46" s="5" cm="1">
        <f t="array" ref="O46">IFERROR(AVERAGE(IF((ContinuousStatsTable[GroupByKey]=ContinuousStatsTable[[#This Row],[GroupByKey]]),(ContinuousStatsTable[GroupByKey]=ContinuousStatsTable[[#This Row],[GroupByKey]])*ContinuousStatsTable[Average])),0)</f>
        <v>0.68948907951108873</v>
      </c>
      <c r="P46" s="5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7.0099805521104841E-2</v>
      </c>
      <c r="Q46" s="5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5.0146379986722875E-2</v>
      </c>
      <c r="S46" s="5" cm="1">
        <f t="array" ref="S46">MIN(IF((ContinuousStatsTable[GroupByKey]=ContinuousStatsTable[[#This Row],[GroupByKey]]),(ContinuousStatsTable[GroupByKey]=ContinuousStatsTable[[#This Row],[GroupByKey]])*ContinuousStatsTable[Average]))</f>
        <v>0.59708526729729605</v>
      </c>
      <c r="T46" s="5" cm="1">
        <f t="array" ref="T46">MAX(IF((ContinuousStatsTable[GroupByKey]=ContinuousStatsTable[[#This Row],[GroupByKey]]),(ContinuousStatsTable[GroupByKey]=ContinuousStatsTable[[#This Row],[GroupByKey]])*ContinuousStatsTable[Average]))</f>
        <v>0.81511052462014799</v>
      </c>
      <c r="U46" s="5">
        <f>IF((ContinuousStatsTable[[#This Row],[RepsRequested]]&gt;1),ContinuousStatsTable[[#This Row],[HalfWidth]],ContinuousStatsTable[[#This Row],[BatchMeansHalfWidth]])</f>
        <v>5.0146379986722875E-2</v>
      </c>
    </row>
    <row r="47" spans="1:21" x14ac:dyDescent="0.4">
      <c r="A47" t="s">
        <v>66</v>
      </c>
      <c r="B47" t="s">
        <v>69</v>
      </c>
      <c r="C47">
        <v>2</v>
      </c>
      <c r="D47" t="s">
        <v>102</v>
      </c>
      <c r="E47" t="s">
        <v>98</v>
      </c>
      <c r="F47" t="s">
        <v>97</v>
      </c>
      <c r="G47">
        <v>0.73360482887559197</v>
      </c>
      <c r="H47">
        <v>2E+20</v>
      </c>
      <c r="I47">
        <v>0</v>
      </c>
      <c r="J47">
        <v>1</v>
      </c>
      <c r="K47">
        <v>0</v>
      </c>
      <c r="L47">
        <v>0</v>
      </c>
      <c r="M47" s="5" t="str">
        <f>ContinuousStatsTable[[#This Row],[ProjectName]]&amp;ContinuousStatsTable[[#This Row],[Name]]&amp;ContinuousStatsTable[[#This Row],[Type]]&amp;ContinuousStatsTable[[#This Row],[Source]]</f>
        <v>Unnamed ProjectM4Number BusyResource</v>
      </c>
      <c r="N47" s="5" cm="1">
        <f t="array" ref="N47">MAX(IF((ProjectInfoTable[ProjectName]=ContinuousStatsTable[[#This Row],[ProjectName]]),(ProjectInfoTable[ProjectName]=ContinuousStatsTable[[#This Row],[ProjectName]])*ProjectInfoTable[NumberOfReplications]))</f>
        <v>10</v>
      </c>
      <c r="O47" s="5" cm="1">
        <f t="array" ref="O47">IFERROR(AVERAGE(IF((ContinuousStatsTable[GroupByKey]=ContinuousStatsTable[[#This Row],[GroupByKey]]),(ContinuousStatsTable[GroupByKey]=ContinuousStatsTable[[#This Row],[GroupByKey]])*ContinuousStatsTable[Average])),0)</f>
        <v>0.68948907951108873</v>
      </c>
      <c r="P47" s="5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7.0099805521104841E-2</v>
      </c>
      <c r="Q47" s="5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5.0146379986722875E-2</v>
      </c>
      <c r="S47" s="5" cm="1">
        <f t="array" ref="S47">MIN(IF((ContinuousStatsTable[GroupByKey]=ContinuousStatsTable[[#This Row],[GroupByKey]]),(ContinuousStatsTable[GroupByKey]=ContinuousStatsTable[[#This Row],[GroupByKey]])*ContinuousStatsTable[Average]))</f>
        <v>0.59708526729729605</v>
      </c>
      <c r="T47" s="5" cm="1">
        <f t="array" ref="T47">MAX(IF((ContinuousStatsTable[GroupByKey]=ContinuousStatsTable[[#This Row],[GroupByKey]]),(ContinuousStatsTable[GroupByKey]=ContinuousStatsTable[[#This Row],[GroupByKey]])*ContinuousStatsTable[Average]))</f>
        <v>0.81511052462014799</v>
      </c>
      <c r="U47" s="5">
        <f>IF((ContinuousStatsTable[[#This Row],[RepsRequested]]&gt;1),ContinuousStatsTable[[#This Row],[HalfWidth]],ContinuousStatsTable[[#This Row],[BatchMeansHalfWidth]])</f>
        <v>5.0146379986722875E-2</v>
      </c>
    </row>
    <row r="48" spans="1:21" x14ac:dyDescent="0.4">
      <c r="A48" t="s">
        <v>66</v>
      </c>
      <c r="B48" t="s">
        <v>69</v>
      </c>
      <c r="C48">
        <v>2</v>
      </c>
      <c r="D48" t="s">
        <v>102</v>
      </c>
      <c r="E48" t="s">
        <v>99</v>
      </c>
      <c r="F48" t="s">
        <v>97</v>
      </c>
      <c r="G48">
        <v>1</v>
      </c>
      <c r="H48">
        <v>2E+20</v>
      </c>
      <c r="I48">
        <v>1</v>
      </c>
      <c r="J48">
        <v>1</v>
      </c>
      <c r="K48">
        <v>1</v>
      </c>
      <c r="L48">
        <v>0</v>
      </c>
      <c r="M48" s="5" t="str">
        <f>ContinuousStatsTable[[#This Row],[ProjectName]]&amp;ContinuousStatsTable[[#This Row],[Name]]&amp;ContinuousStatsTable[[#This Row],[Type]]&amp;ContinuousStatsTable[[#This Row],[Source]]</f>
        <v>Unnamed ProjectM4Number ScheduledResource</v>
      </c>
      <c r="N48" s="5" cm="1">
        <f t="array" ref="N48">MAX(IF((ProjectInfoTable[ProjectName]=ContinuousStatsTable[[#This Row],[ProjectName]]),(ProjectInfoTable[ProjectName]=ContinuousStatsTable[[#This Row],[ProjectName]])*ProjectInfoTable[NumberOfReplications]))</f>
        <v>10</v>
      </c>
      <c r="O48" s="5" cm="1">
        <f t="array" ref="O48">IFERROR(AVERAGE(IF((ContinuousStatsTable[GroupByKey]=ContinuousStatsTable[[#This Row],[GroupByKey]]),(ContinuousStatsTable[GroupByKey]=ContinuousStatsTable[[#This Row],[GroupByKey]])*ContinuousStatsTable[Average])),0)</f>
        <v>1</v>
      </c>
      <c r="P48" s="5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0</v>
      </c>
      <c r="Q48" s="5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" s="5" cm="1">
        <f t="array" ref="S48">MIN(IF((ContinuousStatsTable[GroupByKey]=ContinuousStatsTable[[#This Row],[GroupByKey]]),(ContinuousStatsTable[GroupByKey]=ContinuousStatsTable[[#This Row],[GroupByKey]])*ContinuousStatsTable[Average]))</f>
        <v>1</v>
      </c>
      <c r="T48" s="5" cm="1">
        <f t="array" ref="T48">MAX(IF((ContinuousStatsTable[GroupByKey]=ContinuousStatsTable[[#This Row],[GroupByKey]]),(ContinuousStatsTable[GroupByKey]=ContinuousStatsTable[[#This Row],[GroupByKey]])*ContinuousStatsTable[Average]))</f>
        <v>1</v>
      </c>
      <c r="U48" s="5">
        <f>IF((ContinuousStatsTable[[#This Row],[RepsRequested]]&gt;1),ContinuousStatsTable[[#This Row],[HalfWidth]],ContinuousStatsTable[[#This Row],[BatchMeansHalfWidth]])</f>
        <v>0</v>
      </c>
    </row>
    <row r="49" spans="1:21" x14ac:dyDescent="0.4">
      <c r="A49" t="s">
        <v>66</v>
      </c>
      <c r="B49" t="s">
        <v>69</v>
      </c>
      <c r="C49">
        <v>2</v>
      </c>
      <c r="D49" t="s">
        <v>88</v>
      </c>
      <c r="E49" t="s">
        <v>94</v>
      </c>
      <c r="F49" t="s">
        <v>80</v>
      </c>
      <c r="G49">
        <v>0.88709256134396997</v>
      </c>
      <c r="H49">
        <v>2E+20</v>
      </c>
      <c r="I49">
        <v>0</v>
      </c>
      <c r="J49">
        <v>6</v>
      </c>
      <c r="K49">
        <v>0</v>
      </c>
      <c r="L49">
        <v>0</v>
      </c>
      <c r="M49" s="5" t="str">
        <f>ContinuousStatsTable[[#This Row],[ProjectName]]&amp;ContinuousStatsTable[[#This Row],[Name]]&amp;ContinuousStatsTable[[#This Row],[Type]]&amp;ContinuousStatsTable[[#This Row],[Source]]</f>
        <v>Unnamed ProjectM4.QNumber WaitingQueue</v>
      </c>
      <c r="N49" s="5" cm="1">
        <f t="array" ref="N49">MAX(IF((ProjectInfoTable[ProjectName]=ContinuousStatsTable[[#This Row],[ProjectName]]),(ProjectInfoTable[ProjectName]=ContinuousStatsTable[[#This Row],[ProjectName]])*ProjectInfoTable[NumberOfReplications]))</f>
        <v>10</v>
      </c>
      <c r="O49" s="5" cm="1">
        <f t="array" ref="O49">IFERROR(AVERAGE(IF((ContinuousStatsTable[GroupByKey]=ContinuousStatsTable[[#This Row],[GroupByKey]]),(ContinuousStatsTable[GroupByKey]=ContinuousStatsTable[[#This Row],[GroupByKey]])*ContinuousStatsTable[Average])),0)</f>
        <v>0.92596780474390472</v>
      </c>
      <c r="P49" s="5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0.23565784373506599</v>
      </c>
      <c r="Q49" s="5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0.16857946596203516</v>
      </c>
      <c r="S49" s="5" cm="1">
        <f t="array" ref="S49">MIN(IF((ContinuousStatsTable[GroupByKey]=ContinuousStatsTable[[#This Row],[GroupByKey]]),(ContinuousStatsTable[GroupByKey]=ContinuousStatsTable[[#This Row],[GroupByKey]])*ContinuousStatsTable[Average]))</f>
        <v>0.61954382246291895</v>
      </c>
      <c r="T49" s="5" cm="1">
        <f t="array" ref="T49">MAX(IF((ContinuousStatsTable[GroupByKey]=ContinuousStatsTable[[#This Row],[GroupByKey]]),(ContinuousStatsTable[GroupByKey]=ContinuousStatsTable[[#This Row],[GroupByKey]])*ContinuousStatsTable[Average]))</f>
        <v>1.4060201140591599</v>
      </c>
      <c r="U49" s="5">
        <f>IF((ContinuousStatsTable[[#This Row],[RepsRequested]]&gt;1),ContinuousStatsTable[[#This Row],[HalfWidth]],ContinuousStatsTable[[#This Row],[BatchMeansHalfWidth]])</f>
        <v>0.16857946596203516</v>
      </c>
    </row>
    <row r="50" spans="1:21" x14ac:dyDescent="0.4">
      <c r="A50" t="s">
        <v>66</v>
      </c>
      <c r="B50" t="s">
        <v>69</v>
      </c>
      <c r="C50">
        <v>2</v>
      </c>
      <c r="D50" t="s">
        <v>103</v>
      </c>
      <c r="E50" t="s">
        <v>96</v>
      </c>
      <c r="F50" t="s">
        <v>97</v>
      </c>
      <c r="G50">
        <v>0.34124280661036899</v>
      </c>
      <c r="H50">
        <v>5.0441405536385799E-2</v>
      </c>
      <c r="I50">
        <v>0</v>
      </c>
      <c r="J50">
        <v>1</v>
      </c>
      <c r="K50">
        <v>0.5</v>
      </c>
      <c r="L50">
        <v>0</v>
      </c>
      <c r="M50" s="5" t="str">
        <f>ContinuousStatsTable[[#This Row],[ProjectName]]&amp;ContinuousStatsTable[[#This Row],[Name]]&amp;ContinuousStatsTable[[#This Row],[Type]]&amp;ContinuousStatsTable[[#This Row],[Source]]</f>
        <v>Unnamed ProjectM5Instantaneous UtilizationResource</v>
      </c>
      <c r="N50" s="5" cm="1">
        <f t="array" ref="N50">MAX(IF((ProjectInfoTable[ProjectName]=ContinuousStatsTable[[#This Row],[ProjectName]]),(ProjectInfoTable[ProjectName]=ContinuousStatsTable[[#This Row],[ProjectName]])*ProjectInfoTable[NumberOfReplications]))</f>
        <v>10</v>
      </c>
      <c r="O50" s="5" cm="1">
        <f t="array" ref="O50">IFERROR(AVERAGE(IF((ContinuousStatsTable[GroupByKey]=ContinuousStatsTable[[#This Row],[GroupByKey]]),(ContinuousStatsTable[GroupByKey]=ContinuousStatsTable[[#This Row],[GroupByKey]])*ContinuousStatsTable[Average])),0)</f>
        <v>0.35254112855323727</v>
      </c>
      <c r="P50" s="5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2.0819740340978523E-2</v>
      </c>
      <c r="Q50" s="5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1.4893545033435028E-2</v>
      </c>
      <c r="S50" s="5" cm="1">
        <f t="array" ref="S50">MIN(IF((ContinuousStatsTable[GroupByKey]=ContinuousStatsTable[[#This Row],[GroupByKey]]),(ContinuousStatsTable[GroupByKey]=ContinuousStatsTable[[#This Row],[GroupByKey]])*ContinuousStatsTable[Average]))</f>
        <v>0.319082016284436</v>
      </c>
      <c r="T50" s="5" cm="1">
        <f t="array" ref="T50">MAX(IF((ContinuousStatsTable[GroupByKey]=ContinuousStatsTable[[#This Row],[GroupByKey]]),(ContinuousStatsTable[GroupByKey]=ContinuousStatsTable[[#This Row],[GroupByKey]])*ContinuousStatsTable[Average]))</f>
        <v>0.391918845838306</v>
      </c>
      <c r="U50" s="5">
        <f>IF((ContinuousStatsTable[[#This Row],[RepsRequested]]&gt;1),ContinuousStatsTable[[#This Row],[HalfWidth]],ContinuousStatsTable[[#This Row],[BatchMeansHalfWidth]])</f>
        <v>1.4893545033435028E-2</v>
      </c>
    </row>
    <row r="51" spans="1:21" x14ac:dyDescent="0.4">
      <c r="A51" t="s">
        <v>66</v>
      </c>
      <c r="B51" t="s">
        <v>69</v>
      </c>
      <c r="C51">
        <v>2</v>
      </c>
      <c r="D51" t="s">
        <v>103</v>
      </c>
      <c r="E51" t="s">
        <v>98</v>
      </c>
      <c r="F51" t="s">
        <v>97</v>
      </c>
      <c r="G51">
        <v>0.68248561322073797</v>
      </c>
      <c r="H51">
        <v>0.100882811072772</v>
      </c>
      <c r="I51">
        <v>0</v>
      </c>
      <c r="J51">
        <v>2</v>
      </c>
      <c r="K51">
        <v>1</v>
      </c>
      <c r="L51">
        <v>0</v>
      </c>
      <c r="M51" s="5" t="str">
        <f>ContinuousStatsTable[[#This Row],[ProjectName]]&amp;ContinuousStatsTable[[#This Row],[Name]]&amp;ContinuousStatsTable[[#This Row],[Type]]&amp;ContinuousStatsTable[[#This Row],[Source]]</f>
        <v>Unnamed ProjectM5Number BusyResource</v>
      </c>
      <c r="N51" s="5" cm="1">
        <f t="array" ref="N51">MAX(IF((ProjectInfoTable[ProjectName]=ContinuousStatsTable[[#This Row],[ProjectName]]),(ProjectInfoTable[ProjectName]=ContinuousStatsTable[[#This Row],[ProjectName]])*ProjectInfoTable[NumberOfReplications]))</f>
        <v>10</v>
      </c>
      <c r="O51" s="5" cm="1">
        <f t="array" ref="O51">IFERROR(AVERAGE(IF((ContinuousStatsTable[GroupByKey]=ContinuousStatsTable[[#This Row],[GroupByKey]]),(ContinuousStatsTable[GroupByKey]=ContinuousStatsTable[[#This Row],[GroupByKey]])*ContinuousStatsTable[Average])),0)</f>
        <v>0.70508225710647443</v>
      </c>
      <c r="P51" s="5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4.1639480681956775E-2</v>
      </c>
      <c r="Q51" s="5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2.9787090066869859E-2</v>
      </c>
      <c r="S51" s="5" cm="1">
        <f t="array" ref="S51">MIN(IF((ContinuousStatsTable[GroupByKey]=ContinuousStatsTable[[#This Row],[GroupByKey]]),(ContinuousStatsTable[GroupByKey]=ContinuousStatsTable[[#This Row],[GroupByKey]])*ContinuousStatsTable[Average]))</f>
        <v>0.638164032568872</v>
      </c>
      <c r="T51" s="5" cm="1">
        <f t="array" ref="T51">MAX(IF((ContinuousStatsTable[GroupByKey]=ContinuousStatsTable[[#This Row],[GroupByKey]]),(ContinuousStatsTable[GroupByKey]=ContinuousStatsTable[[#This Row],[GroupByKey]])*ContinuousStatsTable[Average]))</f>
        <v>0.78383769167661099</v>
      </c>
      <c r="U51" s="5">
        <f>IF((ContinuousStatsTable[[#This Row],[RepsRequested]]&gt;1),ContinuousStatsTable[[#This Row],[HalfWidth]],ContinuousStatsTable[[#This Row],[BatchMeansHalfWidth]])</f>
        <v>2.9787090066869859E-2</v>
      </c>
    </row>
    <row r="52" spans="1:21" x14ac:dyDescent="0.4">
      <c r="A52" t="s">
        <v>66</v>
      </c>
      <c r="B52" t="s">
        <v>69</v>
      </c>
      <c r="C52">
        <v>2</v>
      </c>
      <c r="D52" t="s">
        <v>103</v>
      </c>
      <c r="E52" t="s">
        <v>99</v>
      </c>
      <c r="F52" t="s">
        <v>97</v>
      </c>
      <c r="G52">
        <v>2</v>
      </c>
      <c r="H52">
        <v>2E+20</v>
      </c>
      <c r="I52">
        <v>2</v>
      </c>
      <c r="J52">
        <v>2</v>
      </c>
      <c r="K52">
        <v>2</v>
      </c>
      <c r="L52">
        <v>0</v>
      </c>
      <c r="M52" s="5" t="str">
        <f>ContinuousStatsTable[[#This Row],[ProjectName]]&amp;ContinuousStatsTable[[#This Row],[Name]]&amp;ContinuousStatsTable[[#This Row],[Type]]&amp;ContinuousStatsTable[[#This Row],[Source]]</f>
        <v>Unnamed ProjectM5Number ScheduledResource</v>
      </c>
      <c r="N52" s="5" cm="1">
        <f t="array" ref="N52">MAX(IF((ProjectInfoTable[ProjectName]=ContinuousStatsTable[[#This Row],[ProjectName]]),(ProjectInfoTable[ProjectName]=ContinuousStatsTable[[#This Row],[ProjectName]])*ProjectInfoTable[NumberOfReplications]))</f>
        <v>10</v>
      </c>
      <c r="O52" s="5" cm="1">
        <f t="array" ref="O52">IFERROR(AVERAGE(IF((ContinuousStatsTable[GroupByKey]=ContinuousStatsTable[[#This Row],[GroupByKey]]),(ContinuousStatsTable[GroupByKey]=ContinuousStatsTable[[#This Row],[GroupByKey]])*ContinuousStatsTable[Average])),0)</f>
        <v>2</v>
      </c>
      <c r="P52" s="5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0</v>
      </c>
      <c r="Q52" s="5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" s="5" cm="1">
        <f t="array" ref="S52">MIN(IF((ContinuousStatsTable[GroupByKey]=ContinuousStatsTable[[#This Row],[GroupByKey]]),(ContinuousStatsTable[GroupByKey]=ContinuousStatsTable[[#This Row],[GroupByKey]])*ContinuousStatsTable[Average]))</f>
        <v>2</v>
      </c>
      <c r="T52" s="5" cm="1">
        <f t="array" ref="T52">MAX(IF((ContinuousStatsTable[GroupByKey]=ContinuousStatsTable[[#This Row],[GroupByKey]]),(ContinuousStatsTable[GroupByKey]=ContinuousStatsTable[[#This Row],[GroupByKey]])*ContinuousStatsTable[Average]))</f>
        <v>2</v>
      </c>
      <c r="U52" s="5">
        <f>IF((ContinuousStatsTable[[#This Row],[RepsRequested]]&gt;1),ContinuousStatsTable[[#This Row],[HalfWidth]],ContinuousStatsTable[[#This Row],[BatchMeansHalfWidth]])</f>
        <v>0</v>
      </c>
    </row>
    <row r="53" spans="1:21" x14ac:dyDescent="0.4">
      <c r="A53" t="s">
        <v>66</v>
      </c>
      <c r="B53" t="s">
        <v>69</v>
      </c>
      <c r="C53">
        <v>2</v>
      </c>
      <c r="D53" t="s">
        <v>89</v>
      </c>
      <c r="E53" t="s">
        <v>94</v>
      </c>
      <c r="F53" t="s">
        <v>80</v>
      </c>
      <c r="G53">
        <v>2.1913380065410999E-2</v>
      </c>
      <c r="H53">
        <v>2E+20</v>
      </c>
      <c r="I53">
        <v>0</v>
      </c>
      <c r="J53">
        <v>2</v>
      </c>
      <c r="K53">
        <v>0</v>
      </c>
      <c r="L53">
        <v>0</v>
      </c>
      <c r="M53" s="5" t="str">
        <f>ContinuousStatsTable[[#This Row],[ProjectName]]&amp;ContinuousStatsTable[[#This Row],[Name]]&amp;ContinuousStatsTable[[#This Row],[Type]]&amp;ContinuousStatsTable[[#This Row],[Source]]</f>
        <v>Unnamed ProjectM5.QNumber WaitingQueue</v>
      </c>
      <c r="N53" s="5" cm="1">
        <f t="array" ref="N53">MAX(IF((ProjectInfoTable[ProjectName]=ContinuousStatsTable[[#This Row],[ProjectName]]),(ProjectInfoTable[ProjectName]=ContinuousStatsTable[[#This Row],[ProjectName]])*ProjectInfoTable[NumberOfReplications]))</f>
        <v>10</v>
      </c>
      <c r="O53" s="5" cm="1">
        <f t="array" ref="O53">IFERROR(AVERAGE(IF((ContinuousStatsTable[GroupByKey]=ContinuousStatsTable[[#This Row],[GroupByKey]]),(ContinuousStatsTable[GroupByKey]=ContinuousStatsTable[[#This Row],[GroupByKey]])*ContinuousStatsTable[Average])),0)</f>
        <v>4.0588719153078524E-2</v>
      </c>
      <c r="P53" s="5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2.3271584618520549E-2</v>
      </c>
      <c r="Q53" s="5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1.6647488769739371E-2</v>
      </c>
      <c r="S53" s="5" cm="1">
        <f t="array" ref="S53">MIN(IF((ContinuousStatsTable[GroupByKey]=ContinuousStatsTable[[#This Row],[GroupByKey]]),(ContinuousStatsTable[GroupByKey]=ContinuousStatsTable[[#This Row],[GroupByKey]])*ContinuousStatsTable[Average]))</f>
        <v>1.58912341215269E-2</v>
      </c>
      <c r="T53" s="5" cm="1">
        <f t="array" ref="T53">MAX(IF((ContinuousStatsTable[GroupByKey]=ContinuousStatsTable[[#This Row],[GroupByKey]]),(ContinuousStatsTable[GroupByKey]=ContinuousStatsTable[[#This Row],[GroupByKey]])*ContinuousStatsTable[Average]))</f>
        <v>9.0065456910795705E-2</v>
      </c>
      <c r="U53" s="5">
        <f>IF((ContinuousStatsTable[[#This Row],[RepsRequested]]&gt;1),ContinuousStatsTable[[#This Row],[HalfWidth]],ContinuousStatsTable[[#This Row],[BatchMeansHalfWidth]])</f>
        <v>1.6647488769739371E-2</v>
      </c>
    </row>
    <row r="54" spans="1:21" x14ac:dyDescent="0.4">
      <c r="A54" t="s">
        <v>66</v>
      </c>
      <c r="B54" t="s">
        <v>69</v>
      </c>
      <c r="C54">
        <v>3</v>
      </c>
      <c r="D54" t="s">
        <v>70</v>
      </c>
      <c r="E54" t="s">
        <v>93</v>
      </c>
      <c r="F54" t="s">
        <v>72</v>
      </c>
      <c r="G54">
        <v>9.5134854029509093</v>
      </c>
      <c r="H54">
        <v>3E+20</v>
      </c>
      <c r="I54">
        <v>0</v>
      </c>
      <c r="J54">
        <v>21</v>
      </c>
      <c r="K54">
        <v>0</v>
      </c>
      <c r="L54">
        <v>0</v>
      </c>
      <c r="M54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54" s="5" cm="1">
        <f t="array" ref="N54">MAX(IF((ProjectInfoTable[ProjectName]=ContinuousStatsTable[[#This Row],[ProjectName]]),(ProjectInfoTable[ProjectName]=ContinuousStatsTable[[#This Row],[ProjectName]])*ProjectInfoTable[NumberOfReplications]))</f>
        <v>10</v>
      </c>
      <c r="O54" s="5" cm="1">
        <f t="array" ref="O54">IFERROR(AVERAGE(IF((ContinuousStatsTable[GroupByKey]=ContinuousStatsTable[[#This Row],[GroupByKey]]),(ContinuousStatsTable[GroupByKey]=ContinuousStatsTable[[#This Row],[GroupByKey]])*ContinuousStatsTable[Average])),0)</f>
        <v>6.6735315353875011</v>
      </c>
      <c r="P54" s="5" cm="1">
        <f t="array" ref="P54">IFERROR(_xlfn.STDEV.S(IF((ContinuousStatsTable[GroupByKey]=ContinuousStatsTable[[#This Row],[GroupByKey]]),(ContinuousStatsTable[GroupByKey]=ContinuousStatsTable[[#This Row],[GroupByKey]])*ContinuousStatsTable[Average])),0)</f>
        <v>1.4829188547421246</v>
      </c>
      <c r="Q54" s="5" cm="1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1.0608162437338877</v>
      </c>
      <c r="S54" s="5" cm="1">
        <f t="array" ref="S54">MIN(IF((ContinuousStatsTable[GroupByKey]=ContinuousStatsTable[[#This Row],[GroupByKey]]),(ContinuousStatsTable[GroupByKey]=ContinuousStatsTable[[#This Row],[GroupByKey]])*ContinuousStatsTable[Average]))</f>
        <v>4.5894957727661101</v>
      </c>
      <c r="T54" s="5" cm="1">
        <f t="array" ref="T54">MAX(IF((ContinuousStatsTable[GroupByKey]=ContinuousStatsTable[[#This Row],[GroupByKey]]),(ContinuousStatsTable[GroupByKey]=ContinuousStatsTable[[#This Row],[GroupByKey]])*ContinuousStatsTable[Average]))</f>
        <v>9.5134854029509093</v>
      </c>
      <c r="U54" s="5">
        <f>IF((ContinuousStatsTable[[#This Row],[RepsRequested]]&gt;1),ContinuousStatsTable[[#This Row],[HalfWidth]],ContinuousStatsTable[[#This Row],[BatchMeansHalfWidth]])</f>
        <v>1.0608162437338877</v>
      </c>
    </row>
    <row r="55" spans="1:21" x14ac:dyDescent="0.4">
      <c r="A55" t="s">
        <v>66</v>
      </c>
      <c r="B55" t="s">
        <v>69</v>
      </c>
      <c r="C55">
        <v>3</v>
      </c>
      <c r="D55" t="s">
        <v>78</v>
      </c>
      <c r="E55" t="s">
        <v>94</v>
      </c>
      <c r="F55" t="s">
        <v>80</v>
      </c>
      <c r="G55">
        <v>0</v>
      </c>
      <c r="H55">
        <v>2E+20</v>
      </c>
      <c r="I55">
        <v>0</v>
      </c>
      <c r="J55">
        <v>0</v>
      </c>
      <c r="K55">
        <v>0</v>
      </c>
      <c r="L55">
        <v>0</v>
      </c>
      <c r="M55" s="5" t="str">
        <f>ContinuousStatsTable[[#This Row],[ProjectName]]&amp;ContinuousStatsTable[[#This Row],[Name]]&amp;ContinuousStatsTable[[#This Row],[Type]]&amp;ContinuousStatsTable[[#This Row],[Source]]</f>
        <v>Unnamed ProjectHold M1.QueueNumber WaitingQueue</v>
      </c>
      <c r="N55" s="5" cm="1">
        <f t="array" ref="N55">MAX(IF((ProjectInfoTable[ProjectName]=ContinuousStatsTable[[#This Row],[ProjectName]]),(ProjectInfoTable[ProjectName]=ContinuousStatsTable[[#This Row],[ProjectName]])*ProjectInfoTable[NumberOfReplications]))</f>
        <v>10</v>
      </c>
      <c r="O55" s="5" cm="1">
        <f t="array" ref="O55">IFERROR(AVERAGE(IF((ContinuousStatsTable[GroupByKey]=ContinuousStatsTable[[#This Row],[GroupByKey]]),(ContinuousStatsTable[GroupByKey]=ContinuousStatsTable[[#This Row],[GroupByKey]])*ContinuousStatsTable[Average])),0)</f>
        <v>0</v>
      </c>
      <c r="P55" s="5" cm="1">
        <f t="array" ref="P55">IFERROR(_xlfn.STDEV.S(IF((ContinuousStatsTable[GroupByKey]=ContinuousStatsTable[[#This Row],[GroupByKey]]),(ContinuousStatsTable[GroupByKey]=ContinuousStatsTable[[#This Row],[GroupByKey]])*ContinuousStatsTable[Average])),0)</f>
        <v>0</v>
      </c>
      <c r="Q55" s="5" cm="1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" s="5" cm="1">
        <f t="array" ref="S55">MIN(IF((ContinuousStatsTable[GroupByKey]=ContinuousStatsTable[[#This Row],[GroupByKey]]),(ContinuousStatsTable[GroupByKey]=ContinuousStatsTable[[#This Row],[GroupByKey]])*ContinuousStatsTable[Average]))</f>
        <v>0</v>
      </c>
      <c r="T55" s="5" cm="1">
        <f t="array" ref="T55">MAX(IF((ContinuousStatsTable[GroupByKey]=ContinuousStatsTable[[#This Row],[GroupByKey]]),(ContinuousStatsTable[GroupByKey]=ContinuousStatsTable[[#This Row],[GroupByKey]])*ContinuousStatsTable[Average]))</f>
        <v>0</v>
      </c>
      <c r="U55" s="5">
        <f>IF((ContinuousStatsTable[[#This Row],[RepsRequested]]&gt;1),ContinuousStatsTable[[#This Row],[HalfWidth]],ContinuousStatsTable[[#This Row],[BatchMeansHalfWidth]])</f>
        <v>0</v>
      </c>
    </row>
    <row r="56" spans="1:21" x14ac:dyDescent="0.4">
      <c r="A56" t="s">
        <v>66</v>
      </c>
      <c r="B56" t="s">
        <v>69</v>
      </c>
      <c r="C56">
        <v>3</v>
      </c>
      <c r="D56" t="s">
        <v>81</v>
      </c>
      <c r="E56" t="s">
        <v>94</v>
      </c>
      <c r="F56" t="s">
        <v>80</v>
      </c>
      <c r="G56">
        <v>0</v>
      </c>
      <c r="H56">
        <v>2E+20</v>
      </c>
      <c r="I56">
        <v>0</v>
      </c>
      <c r="J56">
        <v>0</v>
      </c>
      <c r="K56">
        <v>0</v>
      </c>
      <c r="L56">
        <v>0</v>
      </c>
      <c r="M56" s="5" t="str">
        <f>ContinuousStatsTable[[#This Row],[ProjectName]]&amp;ContinuousStatsTable[[#This Row],[Name]]&amp;ContinuousStatsTable[[#This Row],[Type]]&amp;ContinuousStatsTable[[#This Row],[Source]]</f>
        <v>Unnamed ProjectHold M2.QueueNumber WaitingQueue</v>
      </c>
      <c r="N56" s="5" cm="1">
        <f t="array" ref="N56">MAX(IF((ProjectInfoTable[ProjectName]=ContinuousStatsTable[[#This Row],[ProjectName]]),(ProjectInfoTable[ProjectName]=ContinuousStatsTable[[#This Row],[ProjectName]])*ProjectInfoTable[NumberOfReplications]))</f>
        <v>10</v>
      </c>
      <c r="O56" s="5" cm="1">
        <f t="array" ref="O56">IFERROR(AVERAGE(IF((ContinuousStatsTable[GroupByKey]=ContinuousStatsTable[[#This Row],[GroupByKey]]),(ContinuousStatsTable[GroupByKey]=ContinuousStatsTable[[#This Row],[GroupByKey]])*ContinuousStatsTable[Average])),0)</f>
        <v>0</v>
      </c>
      <c r="P56" s="5" cm="1">
        <f t="array" ref="P56">IFERROR(_xlfn.STDEV.S(IF((ContinuousStatsTable[GroupByKey]=ContinuousStatsTable[[#This Row],[GroupByKey]]),(ContinuousStatsTable[GroupByKey]=ContinuousStatsTable[[#This Row],[GroupByKey]])*ContinuousStatsTable[Average])),0)</f>
        <v>0</v>
      </c>
      <c r="Q56" s="5" cm="1">
        <f t="array" ref="Q56">MAX(IF((ProjectInfoTable[ProjectName]=ContinuousStatsTable[[#This Row],[ProjectName]]),(ProjectInfoTable[ProjectName]=ContinuousStatsTable[[#This Row],[ProjectName]])*ProjectInfoTable[ConfidenceInterval]))</f>
        <v>0.95</v>
      </c>
      <c r="R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" s="5" cm="1">
        <f t="array" ref="S56">MIN(IF((ContinuousStatsTable[GroupByKey]=ContinuousStatsTable[[#This Row],[GroupByKey]]),(ContinuousStatsTable[GroupByKey]=ContinuousStatsTable[[#This Row],[GroupByKey]])*ContinuousStatsTable[Average]))</f>
        <v>0</v>
      </c>
      <c r="T56" s="5" cm="1">
        <f t="array" ref="T56">MAX(IF((ContinuousStatsTable[GroupByKey]=ContinuousStatsTable[[#This Row],[GroupByKey]]),(ContinuousStatsTable[GroupByKey]=ContinuousStatsTable[[#This Row],[GroupByKey]])*ContinuousStatsTable[Average]))</f>
        <v>0</v>
      </c>
      <c r="U56" s="5">
        <f>IF((ContinuousStatsTable[[#This Row],[RepsRequested]]&gt;1),ContinuousStatsTable[[#This Row],[HalfWidth]],ContinuousStatsTable[[#This Row],[BatchMeansHalfWidth]])</f>
        <v>0</v>
      </c>
    </row>
    <row r="57" spans="1:21" x14ac:dyDescent="0.4">
      <c r="A57" t="s">
        <v>66</v>
      </c>
      <c r="B57" t="s">
        <v>69</v>
      </c>
      <c r="C57">
        <v>3</v>
      </c>
      <c r="D57" t="s">
        <v>82</v>
      </c>
      <c r="E57" t="s">
        <v>94</v>
      </c>
      <c r="F57" t="s">
        <v>80</v>
      </c>
      <c r="G57">
        <v>0</v>
      </c>
      <c r="H57">
        <v>2E+20</v>
      </c>
      <c r="I57">
        <v>0</v>
      </c>
      <c r="J57">
        <v>0</v>
      </c>
      <c r="K57">
        <v>0</v>
      </c>
      <c r="L57">
        <v>0</v>
      </c>
      <c r="M57" s="5" t="str">
        <f>ContinuousStatsTable[[#This Row],[ProjectName]]&amp;ContinuousStatsTable[[#This Row],[Name]]&amp;ContinuousStatsTable[[#This Row],[Type]]&amp;ContinuousStatsTable[[#This Row],[Source]]</f>
        <v>Unnamed ProjectHold M3.QueueNumber WaitingQueue</v>
      </c>
      <c r="N57" s="5" cm="1">
        <f t="array" ref="N57">MAX(IF((ProjectInfoTable[ProjectName]=ContinuousStatsTable[[#This Row],[ProjectName]]),(ProjectInfoTable[ProjectName]=ContinuousStatsTable[[#This Row],[ProjectName]])*ProjectInfoTable[NumberOfReplications]))</f>
        <v>10</v>
      </c>
      <c r="O57" s="5" cm="1">
        <f t="array" ref="O57">IFERROR(AVERAGE(IF((ContinuousStatsTable[GroupByKey]=ContinuousStatsTable[[#This Row],[GroupByKey]]),(ContinuousStatsTable[GroupByKey]=ContinuousStatsTable[[#This Row],[GroupByKey]])*ContinuousStatsTable[Average])),0)</f>
        <v>0</v>
      </c>
      <c r="P57" s="5" cm="1">
        <f t="array" ref="P57">IFERROR(_xlfn.STDEV.S(IF((ContinuousStatsTable[GroupByKey]=ContinuousStatsTable[[#This Row],[GroupByKey]]),(ContinuousStatsTable[GroupByKey]=ContinuousStatsTable[[#This Row],[GroupByKey]])*ContinuousStatsTable[Average])),0)</f>
        <v>0</v>
      </c>
      <c r="Q57" s="5" cm="1">
        <f t="array" ref="Q57">MAX(IF((ProjectInfoTable[ProjectName]=ContinuousStatsTable[[#This Row],[ProjectName]]),(ProjectInfoTable[ProjectName]=ContinuousStatsTable[[#This Row],[ProjectName]])*ProjectInfoTable[ConfidenceInterval]))</f>
        <v>0.95</v>
      </c>
      <c r="R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" s="5" cm="1">
        <f t="array" ref="S57">MIN(IF((ContinuousStatsTable[GroupByKey]=ContinuousStatsTable[[#This Row],[GroupByKey]]),(ContinuousStatsTable[GroupByKey]=ContinuousStatsTable[[#This Row],[GroupByKey]])*ContinuousStatsTable[Average]))</f>
        <v>0</v>
      </c>
      <c r="T57" s="5" cm="1">
        <f t="array" ref="T57">MAX(IF((ContinuousStatsTable[GroupByKey]=ContinuousStatsTable[[#This Row],[GroupByKey]]),(ContinuousStatsTable[GroupByKey]=ContinuousStatsTable[[#This Row],[GroupByKey]])*ContinuousStatsTable[Average]))</f>
        <v>0</v>
      </c>
      <c r="U57" s="5">
        <f>IF((ContinuousStatsTable[[#This Row],[RepsRequested]]&gt;1),ContinuousStatsTable[[#This Row],[HalfWidth]],ContinuousStatsTable[[#This Row],[BatchMeansHalfWidth]])</f>
        <v>0</v>
      </c>
    </row>
    <row r="58" spans="1:21" x14ac:dyDescent="0.4">
      <c r="A58" t="s">
        <v>66</v>
      </c>
      <c r="B58" t="s">
        <v>69</v>
      </c>
      <c r="C58">
        <v>3</v>
      </c>
      <c r="D58" t="s">
        <v>83</v>
      </c>
      <c r="E58" t="s">
        <v>94</v>
      </c>
      <c r="F58" t="s">
        <v>80</v>
      </c>
      <c r="G58">
        <v>0</v>
      </c>
      <c r="H58">
        <v>2E+20</v>
      </c>
      <c r="I58">
        <v>0</v>
      </c>
      <c r="J58">
        <v>0</v>
      </c>
      <c r="K58">
        <v>0</v>
      </c>
      <c r="L58">
        <v>0</v>
      </c>
      <c r="M58" s="5" t="str">
        <f>ContinuousStatsTable[[#This Row],[ProjectName]]&amp;ContinuousStatsTable[[#This Row],[Name]]&amp;ContinuousStatsTable[[#This Row],[Type]]&amp;ContinuousStatsTable[[#This Row],[Source]]</f>
        <v>Unnamed ProjectHold M4.QueueNumber WaitingQueue</v>
      </c>
      <c r="N58" s="5" cm="1">
        <f t="array" ref="N58">MAX(IF((ProjectInfoTable[ProjectName]=ContinuousStatsTable[[#This Row],[ProjectName]]),(ProjectInfoTable[ProjectName]=ContinuousStatsTable[[#This Row],[ProjectName]])*ProjectInfoTable[NumberOfReplications]))</f>
        <v>10</v>
      </c>
      <c r="O58" s="5" cm="1">
        <f t="array" ref="O58">IFERROR(AVERAGE(IF((ContinuousStatsTable[GroupByKey]=ContinuousStatsTable[[#This Row],[GroupByKey]]),(ContinuousStatsTable[GroupByKey]=ContinuousStatsTable[[#This Row],[GroupByKey]])*ContinuousStatsTable[Average])),0)</f>
        <v>0</v>
      </c>
      <c r="P58" s="5" cm="1">
        <f t="array" ref="P58">IFERROR(_xlfn.STDEV.S(IF((ContinuousStatsTable[GroupByKey]=ContinuousStatsTable[[#This Row],[GroupByKey]]),(ContinuousStatsTable[GroupByKey]=ContinuousStatsTable[[#This Row],[GroupByKey]])*ContinuousStatsTable[Average])),0)</f>
        <v>0</v>
      </c>
      <c r="Q58" s="5" cm="1">
        <f t="array" ref="Q58">MAX(IF((ProjectInfoTable[ProjectName]=ContinuousStatsTable[[#This Row],[ProjectName]]),(ProjectInfoTable[ProjectName]=ContinuousStatsTable[[#This Row],[ProjectName]])*ProjectInfoTable[ConfidenceInterval]))</f>
        <v>0.95</v>
      </c>
      <c r="R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8" s="5" cm="1">
        <f t="array" ref="S58">MIN(IF((ContinuousStatsTable[GroupByKey]=ContinuousStatsTable[[#This Row],[GroupByKey]]),(ContinuousStatsTable[GroupByKey]=ContinuousStatsTable[[#This Row],[GroupByKey]])*ContinuousStatsTable[Average]))</f>
        <v>0</v>
      </c>
      <c r="T58" s="5" cm="1">
        <f t="array" ref="T58">MAX(IF((ContinuousStatsTable[GroupByKey]=ContinuousStatsTable[[#This Row],[GroupByKey]]),(ContinuousStatsTable[GroupByKey]=ContinuousStatsTable[[#This Row],[GroupByKey]])*ContinuousStatsTable[Average]))</f>
        <v>0</v>
      </c>
      <c r="U58" s="5">
        <f>IF((ContinuousStatsTable[[#This Row],[RepsRequested]]&gt;1),ContinuousStatsTable[[#This Row],[HalfWidth]],ContinuousStatsTable[[#This Row],[BatchMeansHalfWidth]])</f>
        <v>0</v>
      </c>
    </row>
    <row r="59" spans="1:21" x14ac:dyDescent="0.4">
      <c r="A59" t="s">
        <v>66</v>
      </c>
      <c r="B59" t="s">
        <v>69</v>
      </c>
      <c r="C59">
        <v>3</v>
      </c>
      <c r="D59" t="s">
        <v>84</v>
      </c>
      <c r="E59" t="s">
        <v>94</v>
      </c>
      <c r="F59" t="s">
        <v>80</v>
      </c>
      <c r="G59">
        <v>0</v>
      </c>
      <c r="H59">
        <v>2E+20</v>
      </c>
      <c r="I59">
        <v>0</v>
      </c>
      <c r="J59">
        <v>0</v>
      </c>
      <c r="K59">
        <v>0</v>
      </c>
      <c r="L59">
        <v>0</v>
      </c>
      <c r="M59" s="5" t="str">
        <f>ContinuousStatsTable[[#This Row],[ProjectName]]&amp;ContinuousStatsTable[[#This Row],[Name]]&amp;ContinuousStatsTable[[#This Row],[Type]]&amp;ContinuousStatsTable[[#This Row],[Source]]</f>
        <v>Unnamed ProjectHold M5.QueueNumber WaitingQueue</v>
      </c>
      <c r="N59" s="5" cm="1">
        <f t="array" ref="N59">MAX(IF((ProjectInfoTable[ProjectName]=ContinuousStatsTable[[#This Row],[ProjectName]]),(ProjectInfoTable[ProjectName]=ContinuousStatsTable[[#This Row],[ProjectName]])*ProjectInfoTable[NumberOfReplications]))</f>
        <v>10</v>
      </c>
      <c r="O59" s="5" cm="1">
        <f t="array" ref="O59">IFERROR(AVERAGE(IF((ContinuousStatsTable[GroupByKey]=ContinuousStatsTable[[#This Row],[GroupByKey]]),(ContinuousStatsTable[GroupByKey]=ContinuousStatsTable[[#This Row],[GroupByKey]])*ContinuousStatsTable[Average])),0)</f>
        <v>0</v>
      </c>
      <c r="P59" s="5" cm="1">
        <f t="array" ref="P59">IFERROR(_xlfn.STDEV.S(IF((ContinuousStatsTable[GroupByKey]=ContinuousStatsTable[[#This Row],[GroupByKey]]),(ContinuousStatsTable[GroupByKey]=ContinuousStatsTable[[#This Row],[GroupByKey]])*ContinuousStatsTable[Average])),0)</f>
        <v>0</v>
      </c>
      <c r="Q59" s="5" cm="1">
        <f t="array" ref="Q59">MAX(IF((ProjectInfoTable[ProjectName]=ContinuousStatsTable[[#This Row],[ProjectName]]),(ProjectInfoTable[ProjectName]=ContinuousStatsTable[[#This Row],[ProjectName]])*ProjectInfoTable[ConfidenceInterval]))</f>
        <v>0.95</v>
      </c>
      <c r="R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" s="5" cm="1">
        <f t="array" ref="S59">MIN(IF((ContinuousStatsTable[GroupByKey]=ContinuousStatsTable[[#This Row],[GroupByKey]]),(ContinuousStatsTable[GroupByKey]=ContinuousStatsTable[[#This Row],[GroupByKey]])*ContinuousStatsTable[Average]))</f>
        <v>0</v>
      </c>
      <c r="T59" s="5" cm="1">
        <f t="array" ref="T59">MAX(IF((ContinuousStatsTable[GroupByKey]=ContinuousStatsTable[[#This Row],[GroupByKey]]),(ContinuousStatsTable[GroupByKey]=ContinuousStatsTable[[#This Row],[GroupByKey]])*ContinuousStatsTable[Average]))</f>
        <v>0</v>
      </c>
      <c r="U59" s="5">
        <f>IF((ContinuousStatsTable[[#This Row],[RepsRequested]]&gt;1),ContinuousStatsTable[[#This Row],[HalfWidth]],ContinuousStatsTable[[#This Row],[BatchMeansHalfWidth]])</f>
        <v>0</v>
      </c>
    </row>
    <row r="60" spans="1:21" x14ac:dyDescent="0.4">
      <c r="A60" t="s">
        <v>66</v>
      </c>
      <c r="B60" t="s">
        <v>69</v>
      </c>
      <c r="C60">
        <v>3</v>
      </c>
      <c r="D60" t="s">
        <v>95</v>
      </c>
      <c r="E60" t="s">
        <v>96</v>
      </c>
      <c r="F60" t="s">
        <v>97</v>
      </c>
      <c r="G60">
        <v>0.37410580793237402</v>
      </c>
      <c r="H60">
        <v>2E+20</v>
      </c>
      <c r="I60">
        <v>0</v>
      </c>
      <c r="J60">
        <v>1</v>
      </c>
      <c r="K60">
        <v>0</v>
      </c>
      <c r="L60">
        <v>0</v>
      </c>
      <c r="M60" s="5" t="str">
        <f>ContinuousStatsTable[[#This Row],[ProjectName]]&amp;ContinuousStatsTable[[#This Row],[Name]]&amp;ContinuousStatsTable[[#This Row],[Type]]&amp;ContinuousStatsTable[[#This Row],[Source]]</f>
        <v>Unnamed ProjectM1Instantaneous UtilizationResource</v>
      </c>
      <c r="N60" s="5" cm="1">
        <f t="array" ref="N60">MAX(IF((ProjectInfoTable[ProjectName]=ContinuousStatsTable[[#This Row],[ProjectName]]),(ProjectInfoTable[ProjectName]=ContinuousStatsTable[[#This Row],[ProjectName]])*ProjectInfoTable[NumberOfReplications]))</f>
        <v>10</v>
      </c>
      <c r="O60" s="5" cm="1">
        <f t="array" ref="O60">IFERROR(AVERAGE(IF((ContinuousStatsTable[GroupByKey]=ContinuousStatsTable[[#This Row],[GroupByKey]]),(ContinuousStatsTable[GroupByKey]=ContinuousStatsTable[[#This Row],[GroupByKey]])*ContinuousStatsTable[Average])),0)</f>
        <v>0.35418637725041224</v>
      </c>
      <c r="P60" s="5" cm="1">
        <f t="array" ref="P60">IFERROR(_xlfn.STDEV.S(IF((ContinuousStatsTable[GroupByKey]=ContinuousStatsTable[[#This Row],[GroupByKey]]),(ContinuousStatsTable[GroupByKey]=ContinuousStatsTable[[#This Row],[GroupByKey]])*ContinuousStatsTable[Average])),0)</f>
        <v>3.3453936231241439E-2</v>
      </c>
      <c r="Q60" s="5" cm="1">
        <f t="array" ref="Q60">MAX(IF((ProjectInfoTable[ProjectName]=ContinuousStatsTable[[#This Row],[ProjectName]]),(ProjectInfoTable[ProjectName]=ContinuousStatsTable[[#This Row],[ProjectName]])*ProjectInfoTable[ConfidenceInterval]))</f>
        <v>0.95</v>
      </c>
      <c r="R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2.3931504314920794E-2</v>
      </c>
      <c r="S60" s="5" cm="1">
        <f t="array" ref="S60">MIN(IF((ContinuousStatsTable[GroupByKey]=ContinuousStatsTable[[#This Row],[GroupByKey]]),(ContinuousStatsTable[GroupByKey]=ContinuousStatsTable[[#This Row],[GroupByKey]])*ContinuousStatsTable[Average]))</f>
        <v>0.29539806709730798</v>
      </c>
      <c r="T60" s="5" cm="1">
        <f t="array" ref="T60">MAX(IF((ContinuousStatsTable[GroupByKey]=ContinuousStatsTable[[#This Row],[GroupByKey]]),(ContinuousStatsTable[GroupByKey]=ContinuousStatsTable[[#This Row],[GroupByKey]])*ContinuousStatsTable[Average]))</f>
        <v>0.39865120046345498</v>
      </c>
      <c r="U60" s="5">
        <f>IF((ContinuousStatsTable[[#This Row],[RepsRequested]]&gt;1),ContinuousStatsTable[[#This Row],[HalfWidth]],ContinuousStatsTable[[#This Row],[BatchMeansHalfWidth]])</f>
        <v>2.3931504314920794E-2</v>
      </c>
    </row>
    <row r="61" spans="1:21" x14ac:dyDescent="0.4">
      <c r="A61" t="s">
        <v>66</v>
      </c>
      <c r="B61" t="s">
        <v>69</v>
      </c>
      <c r="C61">
        <v>3</v>
      </c>
      <c r="D61" t="s">
        <v>95</v>
      </c>
      <c r="E61" t="s">
        <v>98</v>
      </c>
      <c r="F61" t="s">
        <v>97</v>
      </c>
      <c r="G61">
        <v>0.74821161586474705</v>
      </c>
      <c r="H61">
        <v>2E+20</v>
      </c>
      <c r="I61">
        <v>0</v>
      </c>
      <c r="J61">
        <v>2</v>
      </c>
      <c r="K61">
        <v>0</v>
      </c>
      <c r="L61">
        <v>0</v>
      </c>
      <c r="M61" s="5" t="str">
        <f>ContinuousStatsTable[[#This Row],[ProjectName]]&amp;ContinuousStatsTable[[#This Row],[Name]]&amp;ContinuousStatsTable[[#This Row],[Type]]&amp;ContinuousStatsTable[[#This Row],[Source]]</f>
        <v>Unnamed ProjectM1Number BusyResource</v>
      </c>
      <c r="N61" s="5" cm="1">
        <f t="array" ref="N61">MAX(IF((ProjectInfoTable[ProjectName]=ContinuousStatsTable[[#This Row],[ProjectName]]),(ProjectInfoTable[ProjectName]=ContinuousStatsTable[[#This Row],[ProjectName]])*ProjectInfoTable[NumberOfReplications]))</f>
        <v>10</v>
      </c>
      <c r="O61" s="5" cm="1">
        <f t="array" ref="O61">IFERROR(AVERAGE(IF((ContinuousStatsTable[GroupByKey]=ContinuousStatsTable[[#This Row],[GroupByKey]]),(ContinuousStatsTable[GroupByKey]=ContinuousStatsTable[[#This Row],[GroupByKey]])*ContinuousStatsTable[Average])),0)</f>
        <v>0.70837275450082438</v>
      </c>
      <c r="P61" s="5" cm="1">
        <f t="array" ref="P61">IFERROR(_xlfn.STDEV.S(IF((ContinuousStatsTable[GroupByKey]=ContinuousStatsTable[[#This Row],[GroupByKey]]),(ContinuousStatsTable[GroupByKey]=ContinuousStatsTable[[#This Row],[GroupByKey]])*ContinuousStatsTable[Average])),0)</f>
        <v>6.6907872462483045E-2</v>
      </c>
      <c r="Q61" s="5" cm="1">
        <f t="array" ref="Q61">MAX(IF((ProjectInfoTable[ProjectName]=ContinuousStatsTable[[#This Row],[ProjectName]]),(ProjectInfoTable[ProjectName]=ContinuousStatsTable[[#This Row],[ProjectName]])*ProjectInfoTable[ConfidenceInterval]))</f>
        <v>0.95</v>
      </c>
      <c r="R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4.7863008629841705E-2</v>
      </c>
      <c r="S61" s="5" cm="1">
        <f t="array" ref="S61">MIN(IF((ContinuousStatsTable[GroupByKey]=ContinuousStatsTable[[#This Row],[GroupByKey]]),(ContinuousStatsTable[GroupByKey]=ContinuousStatsTable[[#This Row],[GroupByKey]])*ContinuousStatsTable[Average]))</f>
        <v>0.59079613419461596</v>
      </c>
      <c r="T61" s="5" cm="1">
        <f t="array" ref="T61">MAX(IF((ContinuousStatsTable[GroupByKey]=ContinuousStatsTable[[#This Row],[GroupByKey]]),(ContinuousStatsTable[GroupByKey]=ContinuousStatsTable[[#This Row],[GroupByKey]])*ContinuousStatsTable[Average]))</f>
        <v>0.79730240092691096</v>
      </c>
      <c r="U61" s="5">
        <f>IF((ContinuousStatsTable[[#This Row],[RepsRequested]]&gt;1),ContinuousStatsTable[[#This Row],[HalfWidth]],ContinuousStatsTable[[#This Row],[BatchMeansHalfWidth]])</f>
        <v>4.7863008629841705E-2</v>
      </c>
    </row>
    <row r="62" spans="1:21" x14ac:dyDescent="0.4">
      <c r="A62" t="s">
        <v>66</v>
      </c>
      <c r="B62" t="s">
        <v>69</v>
      </c>
      <c r="C62">
        <v>3</v>
      </c>
      <c r="D62" t="s">
        <v>95</v>
      </c>
      <c r="E62" t="s">
        <v>99</v>
      </c>
      <c r="F62" t="s">
        <v>97</v>
      </c>
      <c r="G62">
        <v>2</v>
      </c>
      <c r="H62">
        <v>2E+20</v>
      </c>
      <c r="I62">
        <v>2</v>
      </c>
      <c r="J62">
        <v>2</v>
      </c>
      <c r="K62">
        <v>2</v>
      </c>
      <c r="L62">
        <v>0</v>
      </c>
      <c r="M62" s="5" t="str">
        <f>ContinuousStatsTable[[#This Row],[ProjectName]]&amp;ContinuousStatsTable[[#This Row],[Name]]&amp;ContinuousStatsTable[[#This Row],[Type]]&amp;ContinuousStatsTable[[#This Row],[Source]]</f>
        <v>Unnamed ProjectM1Number ScheduledResource</v>
      </c>
      <c r="N62" s="5" cm="1">
        <f t="array" ref="N62">MAX(IF((ProjectInfoTable[ProjectName]=ContinuousStatsTable[[#This Row],[ProjectName]]),(ProjectInfoTable[ProjectName]=ContinuousStatsTable[[#This Row],[ProjectName]])*ProjectInfoTable[NumberOfReplications]))</f>
        <v>10</v>
      </c>
      <c r="O62" s="5" cm="1">
        <f t="array" ref="O62">IFERROR(AVERAGE(IF((ContinuousStatsTable[GroupByKey]=ContinuousStatsTable[[#This Row],[GroupByKey]]),(ContinuousStatsTable[GroupByKey]=ContinuousStatsTable[[#This Row],[GroupByKey]])*ContinuousStatsTable[Average])),0)</f>
        <v>2</v>
      </c>
      <c r="P62" s="5" cm="1">
        <f t="array" ref="P62">IFERROR(_xlfn.STDEV.S(IF((ContinuousStatsTable[GroupByKey]=ContinuousStatsTable[[#This Row],[GroupByKey]]),(ContinuousStatsTable[GroupByKey]=ContinuousStatsTable[[#This Row],[GroupByKey]])*ContinuousStatsTable[Average])),0)</f>
        <v>0</v>
      </c>
      <c r="Q62" s="5" cm="1">
        <f t="array" ref="Q62">MAX(IF((ProjectInfoTable[ProjectName]=ContinuousStatsTable[[#This Row],[ProjectName]]),(ProjectInfoTable[ProjectName]=ContinuousStatsTable[[#This Row],[ProjectName]])*ProjectInfoTable[ConfidenceInterval]))</f>
        <v>0.95</v>
      </c>
      <c r="R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" s="5" cm="1">
        <f t="array" ref="S62">MIN(IF((ContinuousStatsTable[GroupByKey]=ContinuousStatsTable[[#This Row],[GroupByKey]]),(ContinuousStatsTable[GroupByKey]=ContinuousStatsTable[[#This Row],[GroupByKey]])*ContinuousStatsTable[Average]))</f>
        <v>2</v>
      </c>
      <c r="T62" s="5" cm="1">
        <f t="array" ref="T62">MAX(IF((ContinuousStatsTable[GroupByKey]=ContinuousStatsTable[[#This Row],[GroupByKey]]),(ContinuousStatsTable[GroupByKey]=ContinuousStatsTable[[#This Row],[GroupByKey]])*ContinuousStatsTable[Average]))</f>
        <v>2</v>
      </c>
      <c r="U62" s="5">
        <f>IF((ContinuousStatsTable[[#This Row],[RepsRequested]]&gt;1),ContinuousStatsTable[[#This Row],[HalfWidth]],ContinuousStatsTable[[#This Row],[BatchMeansHalfWidth]])</f>
        <v>0</v>
      </c>
    </row>
    <row r="63" spans="1:21" x14ac:dyDescent="0.4">
      <c r="A63" t="s">
        <v>66</v>
      </c>
      <c r="B63" t="s">
        <v>69</v>
      </c>
      <c r="C63">
        <v>3</v>
      </c>
      <c r="D63" t="s">
        <v>85</v>
      </c>
      <c r="E63" t="s">
        <v>94</v>
      </c>
      <c r="F63" t="s">
        <v>80</v>
      </c>
      <c r="G63">
        <v>0.10878068130863899</v>
      </c>
      <c r="H63">
        <v>2E+20</v>
      </c>
      <c r="I63">
        <v>0</v>
      </c>
      <c r="J63">
        <v>3</v>
      </c>
      <c r="K63">
        <v>0</v>
      </c>
      <c r="L63">
        <v>0</v>
      </c>
      <c r="M63" s="5" t="str">
        <f>ContinuousStatsTable[[#This Row],[ProjectName]]&amp;ContinuousStatsTable[[#This Row],[Name]]&amp;ContinuousStatsTable[[#This Row],[Type]]&amp;ContinuousStatsTable[[#This Row],[Source]]</f>
        <v>Unnamed ProjectM1.QNumber WaitingQueue</v>
      </c>
      <c r="N63" s="5" cm="1">
        <f t="array" ref="N63">MAX(IF((ProjectInfoTable[ProjectName]=ContinuousStatsTable[[#This Row],[ProjectName]]),(ProjectInfoTable[ProjectName]=ContinuousStatsTable[[#This Row],[ProjectName]])*ProjectInfoTable[NumberOfReplications]))</f>
        <v>10</v>
      </c>
      <c r="O63" s="5" cm="1">
        <f t="array" ref="O63">IFERROR(AVERAGE(IF((ContinuousStatsTable[GroupByKey]=ContinuousStatsTable[[#This Row],[GroupByKey]]),(ContinuousStatsTable[GroupByKey]=ContinuousStatsTable[[#This Row],[GroupByKey]])*ContinuousStatsTable[Average])),0)</f>
        <v>8.2638825969756052E-2</v>
      </c>
      <c r="P63" s="5" cm="1">
        <f t="array" ref="P63">IFERROR(_xlfn.STDEV.S(IF((ContinuousStatsTable[GroupByKey]=ContinuousStatsTable[[#This Row],[GroupByKey]]),(ContinuousStatsTable[GroupByKey]=ContinuousStatsTable[[#This Row],[GroupByKey]])*ContinuousStatsTable[Average])),0)</f>
        <v>2.9983492659856659E-2</v>
      </c>
      <c r="Q63" s="5" cm="1">
        <f t="array" ref="Q63">MAX(IF((ProjectInfoTable[ProjectName]=ContinuousStatsTable[[#This Row],[ProjectName]]),(ProjectInfoTable[ProjectName]=ContinuousStatsTable[[#This Row],[ProjectName]])*ProjectInfoTable[ConfidenceInterval]))</f>
        <v>0.95</v>
      </c>
      <c r="R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2.1448898539349195E-2</v>
      </c>
      <c r="S63" s="5" cm="1">
        <f t="array" ref="S63">MIN(IF((ContinuousStatsTable[GroupByKey]=ContinuousStatsTable[[#This Row],[GroupByKey]]),(ContinuousStatsTable[GroupByKey]=ContinuousStatsTable[[#This Row],[GroupByKey]])*ContinuousStatsTable[Average]))</f>
        <v>3.4990004496426703E-2</v>
      </c>
      <c r="T63" s="5" cm="1">
        <f t="array" ref="T63">MAX(IF((ContinuousStatsTable[GroupByKey]=ContinuousStatsTable[[#This Row],[GroupByKey]]),(ContinuousStatsTable[GroupByKey]=ContinuousStatsTable[[#This Row],[GroupByKey]])*ContinuousStatsTable[Average]))</f>
        <v>0.13146637852281401</v>
      </c>
      <c r="U63" s="5">
        <f>IF((ContinuousStatsTable[[#This Row],[RepsRequested]]&gt;1),ContinuousStatsTable[[#This Row],[HalfWidth]],ContinuousStatsTable[[#This Row],[BatchMeansHalfWidth]])</f>
        <v>2.1448898539349195E-2</v>
      </c>
    </row>
    <row r="64" spans="1:21" x14ac:dyDescent="0.4">
      <c r="A64" t="s">
        <v>66</v>
      </c>
      <c r="B64" t="s">
        <v>69</v>
      </c>
      <c r="C64">
        <v>3</v>
      </c>
      <c r="D64" t="s">
        <v>100</v>
      </c>
      <c r="E64" t="s">
        <v>96</v>
      </c>
      <c r="F64" t="s">
        <v>97</v>
      </c>
      <c r="G64">
        <v>0.84140710301871302</v>
      </c>
      <c r="H64">
        <v>2E+20</v>
      </c>
      <c r="I64">
        <v>0</v>
      </c>
      <c r="J64">
        <v>1</v>
      </c>
      <c r="K64">
        <v>0</v>
      </c>
      <c r="L64">
        <v>0</v>
      </c>
      <c r="M64" s="5" t="str">
        <f>ContinuousStatsTable[[#This Row],[ProjectName]]&amp;ContinuousStatsTable[[#This Row],[Name]]&amp;ContinuousStatsTable[[#This Row],[Type]]&amp;ContinuousStatsTable[[#This Row],[Source]]</f>
        <v>Unnamed ProjectM2Instantaneous UtilizationResource</v>
      </c>
      <c r="N64" s="5" cm="1">
        <f t="array" ref="N64">MAX(IF((ProjectInfoTable[ProjectName]=ContinuousStatsTable[[#This Row],[ProjectName]]),(ProjectInfoTable[ProjectName]=ContinuousStatsTable[[#This Row],[ProjectName]])*ProjectInfoTable[NumberOfReplications]))</f>
        <v>10</v>
      </c>
      <c r="O64" s="5" cm="1">
        <f t="array" ref="O64">IFERROR(AVERAGE(IF((ContinuousStatsTable[GroupByKey]=ContinuousStatsTable[[#This Row],[GroupByKey]]),(ContinuousStatsTable[GroupByKey]=ContinuousStatsTable[[#This Row],[GroupByKey]])*ContinuousStatsTable[Average])),0)</f>
        <v>0.79069410142096264</v>
      </c>
      <c r="P64" s="5" cm="1">
        <f t="array" ref="P64">IFERROR(_xlfn.STDEV.S(IF((ContinuousStatsTable[GroupByKey]=ContinuousStatsTable[[#This Row],[GroupByKey]]),(ContinuousStatsTable[GroupByKey]=ContinuousStatsTable[[#This Row],[GroupByKey]])*ContinuousStatsTable[Average])),0)</f>
        <v>8.4677985904895448E-2</v>
      </c>
      <c r="Q64" s="5" cm="1">
        <f t="array" ref="Q64">MAX(IF((ProjectInfoTable[ProjectName]=ContinuousStatsTable[[#This Row],[ProjectName]]),(ProjectInfoTable[ProjectName]=ContinuousStatsTable[[#This Row],[ProjectName]])*ProjectInfoTable[ConfidenceInterval]))</f>
        <v>0.95</v>
      </c>
      <c r="R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6.0574982000753563E-2</v>
      </c>
      <c r="S64" s="5" cm="1">
        <f t="array" ref="S64">MIN(IF((ContinuousStatsTable[GroupByKey]=ContinuousStatsTable[[#This Row],[GroupByKey]]),(ContinuousStatsTable[GroupByKey]=ContinuousStatsTable[[#This Row],[GroupByKey]])*ContinuousStatsTable[Average]))</f>
        <v>0.62412916158771403</v>
      </c>
      <c r="T64" s="5" cm="1">
        <f t="array" ref="T64">MAX(IF((ContinuousStatsTable[GroupByKey]=ContinuousStatsTable[[#This Row],[GroupByKey]]),(ContinuousStatsTable[GroupByKey]=ContinuousStatsTable[[#This Row],[GroupByKey]])*ContinuousStatsTable[Average]))</f>
        <v>0.92247891730008102</v>
      </c>
      <c r="U64" s="5">
        <f>IF((ContinuousStatsTable[[#This Row],[RepsRequested]]&gt;1),ContinuousStatsTable[[#This Row],[HalfWidth]],ContinuousStatsTable[[#This Row],[BatchMeansHalfWidth]])</f>
        <v>6.0574982000753563E-2</v>
      </c>
    </row>
    <row r="65" spans="1:21" x14ac:dyDescent="0.4">
      <c r="A65" t="s">
        <v>66</v>
      </c>
      <c r="B65" t="s">
        <v>69</v>
      </c>
      <c r="C65">
        <v>3</v>
      </c>
      <c r="D65" t="s">
        <v>100</v>
      </c>
      <c r="E65" t="s">
        <v>98</v>
      </c>
      <c r="F65" t="s">
        <v>97</v>
      </c>
      <c r="G65">
        <v>0.84140710301871302</v>
      </c>
      <c r="H65">
        <v>2E+20</v>
      </c>
      <c r="I65">
        <v>0</v>
      </c>
      <c r="J65">
        <v>1</v>
      </c>
      <c r="K65">
        <v>0</v>
      </c>
      <c r="L65">
        <v>0</v>
      </c>
      <c r="M65" s="5" t="str">
        <f>ContinuousStatsTable[[#This Row],[ProjectName]]&amp;ContinuousStatsTable[[#This Row],[Name]]&amp;ContinuousStatsTable[[#This Row],[Type]]&amp;ContinuousStatsTable[[#This Row],[Source]]</f>
        <v>Unnamed ProjectM2Number BusyResource</v>
      </c>
      <c r="N65" s="5" cm="1">
        <f t="array" ref="N65">MAX(IF((ProjectInfoTable[ProjectName]=ContinuousStatsTable[[#This Row],[ProjectName]]),(ProjectInfoTable[ProjectName]=ContinuousStatsTable[[#This Row],[ProjectName]])*ProjectInfoTable[NumberOfReplications]))</f>
        <v>10</v>
      </c>
      <c r="O65" s="5" cm="1">
        <f t="array" ref="O65">IFERROR(AVERAGE(IF((ContinuousStatsTable[GroupByKey]=ContinuousStatsTable[[#This Row],[GroupByKey]]),(ContinuousStatsTable[GroupByKey]=ContinuousStatsTable[[#This Row],[GroupByKey]])*ContinuousStatsTable[Average])),0)</f>
        <v>0.79069410142096264</v>
      </c>
      <c r="P65" s="5" cm="1">
        <f t="array" ref="P65">IFERROR(_xlfn.STDEV.S(IF((ContinuousStatsTable[GroupByKey]=ContinuousStatsTable[[#This Row],[GroupByKey]]),(ContinuousStatsTable[GroupByKey]=ContinuousStatsTable[[#This Row],[GroupByKey]])*ContinuousStatsTable[Average])),0)</f>
        <v>8.4677985904895448E-2</v>
      </c>
      <c r="Q65" s="5" cm="1">
        <f t="array" ref="Q65">MAX(IF((ProjectInfoTable[ProjectName]=ContinuousStatsTable[[#This Row],[ProjectName]]),(ProjectInfoTable[ProjectName]=ContinuousStatsTable[[#This Row],[ProjectName]])*ProjectInfoTable[ConfidenceInterval]))</f>
        <v>0.95</v>
      </c>
      <c r="R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6.0574982000753563E-2</v>
      </c>
      <c r="S65" s="5" cm="1">
        <f t="array" ref="S65">MIN(IF((ContinuousStatsTable[GroupByKey]=ContinuousStatsTable[[#This Row],[GroupByKey]]),(ContinuousStatsTable[GroupByKey]=ContinuousStatsTable[[#This Row],[GroupByKey]])*ContinuousStatsTable[Average]))</f>
        <v>0.62412916158771403</v>
      </c>
      <c r="T65" s="5" cm="1">
        <f t="array" ref="T65">MAX(IF((ContinuousStatsTable[GroupByKey]=ContinuousStatsTable[[#This Row],[GroupByKey]]),(ContinuousStatsTable[GroupByKey]=ContinuousStatsTable[[#This Row],[GroupByKey]])*ContinuousStatsTable[Average]))</f>
        <v>0.92247891730008102</v>
      </c>
      <c r="U65" s="5">
        <f>IF((ContinuousStatsTable[[#This Row],[RepsRequested]]&gt;1),ContinuousStatsTable[[#This Row],[HalfWidth]],ContinuousStatsTable[[#This Row],[BatchMeansHalfWidth]])</f>
        <v>6.0574982000753563E-2</v>
      </c>
    </row>
    <row r="66" spans="1:21" x14ac:dyDescent="0.4">
      <c r="A66" t="s">
        <v>66</v>
      </c>
      <c r="B66" t="s">
        <v>69</v>
      </c>
      <c r="C66">
        <v>3</v>
      </c>
      <c r="D66" t="s">
        <v>100</v>
      </c>
      <c r="E66" t="s">
        <v>99</v>
      </c>
      <c r="F66" t="s">
        <v>97</v>
      </c>
      <c r="G66">
        <v>1</v>
      </c>
      <c r="H66">
        <v>2E+20</v>
      </c>
      <c r="I66">
        <v>1</v>
      </c>
      <c r="J66">
        <v>1</v>
      </c>
      <c r="K66">
        <v>1</v>
      </c>
      <c r="L66">
        <v>0</v>
      </c>
      <c r="M66" s="5" t="str">
        <f>ContinuousStatsTable[[#This Row],[ProjectName]]&amp;ContinuousStatsTable[[#This Row],[Name]]&amp;ContinuousStatsTable[[#This Row],[Type]]&amp;ContinuousStatsTable[[#This Row],[Source]]</f>
        <v>Unnamed ProjectM2Number ScheduledResource</v>
      </c>
      <c r="N66" s="5" cm="1">
        <f t="array" ref="N66">MAX(IF((ProjectInfoTable[ProjectName]=ContinuousStatsTable[[#This Row],[ProjectName]]),(ProjectInfoTable[ProjectName]=ContinuousStatsTable[[#This Row],[ProjectName]])*ProjectInfoTable[NumberOfReplications]))</f>
        <v>10</v>
      </c>
      <c r="O66" s="5" cm="1">
        <f t="array" ref="O66">IFERROR(AVERAGE(IF((ContinuousStatsTable[GroupByKey]=ContinuousStatsTable[[#This Row],[GroupByKey]]),(ContinuousStatsTable[GroupByKey]=ContinuousStatsTable[[#This Row],[GroupByKey]])*ContinuousStatsTable[Average])),0)</f>
        <v>1</v>
      </c>
      <c r="P66" s="5" cm="1">
        <f t="array" ref="P66">IFERROR(_xlfn.STDEV.S(IF((ContinuousStatsTable[GroupByKey]=ContinuousStatsTable[[#This Row],[GroupByKey]]),(ContinuousStatsTable[GroupByKey]=ContinuousStatsTable[[#This Row],[GroupByKey]])*ContinuousStatsTable[Average])),0)</f>
        <v>0</v>
      </c>
      <c r="Q66" s="5" cm="1">
        <f t="array" ref="Q66">MAX(IF((ProjectInfoTable[ProjectName]=ContinuousStatsTable[[#This Row],[ProjectName]]),(ProjectInfoTable[ProjectName]=ContinuousStatsTable[[#This Row],[ProjectName]])*ProjectInfoTable[ConfidenceInterval]))</f>
        <v>0.95</v>
      </c>
      <c r="R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6" s="5" cm="1">
        <f t="array" ref="S66">MIN(IF((ContinuousStatsTable[GroupByKey]=ContinuousStatsTable[[#This Row],[GroupByKey]]),(ContinuousStatsTable[GroupByKey]=ContinuousStatsTable[[#This Row],[GroupByKey]])*ContinuousStatsTable[Average]))</f>
        <v>1</v>
      </c>
      <c r="T66" s="5" cm="1">
        <f t="array" ref="T66">MAX(IF((ContinuousStatsTable[GroupByKey]=ContinuousStatsTable[[#This Row],[GroupByKey]]),(ContinuousStatsTable[GroupByKey]=ContinuousStatsTable[[#This Row],[GroupByKey]])*ContinuousStatsTable[Average]))</f>
        <v>1</v>
      </c>
      <c r="U66" s="5">
        <f>IF((ContinuousStatsTable[[#This Row],[RepsRequested]]&gt;1),ContinuousStatsTable[[#This Row],[HalfWidth]],ContinuousStatsTable[[#This Row],[BatchMeansHalfWidth]])</f>
        <v>0</v>
      </c>
    </row>
    <row r="67" spans="1:21" x14ac:dyDescent="0.4">
      <c r="A67" t="s">
        <v>66</v>
      </c>
      <c r="B67" t="s">
        <v>69</v>
      </c>
      <c r="C67">
        <v>3</v>
      </c>
      <c r="D67" t="s">
        <v>86</v>
      </c>
      <c r="E67" t="s">
        <v>94</v>
      </c>
      <c r="F67" t="s">
        <v>80</v>
      </c>
      <c r="G67">
        <v>3.96038812902029</v>
      </c>
      <c r="H67">
        <v>2E+20</v>
      </c>
      <c r="I67">
        <v>0</v>
      </c>
      <c r="J67">
        <v>15</v>
      </c>
      <c r="K67">
        <v>0</v>
      </c>
      <c r="L67">
        <v>0</v>
      </c>
      <c r="M67" s="5" t="str">
        <f>ContinuousStatsTable[[#This Row],[ProjectName]]&amp;ContinuousStatsTable[[#This Row],[Name]]&amp;ContinuousStatsTable[[#This Row],[Type]]&amp;ContinuousStatsTable[[#This Row],[Source]]</f>
        <v>Unnamed ProjectM2.QNumber WaitingQueue</v>
      </c>
      <c r="N67" s="5" cm="1">
        <f t="array" ref="N67">MAX(IF((ProjectInfoTable[ProjectName]=ContinuousStatsTable[[#This Row],[ProjectName]]),(ProjectInfoTable[ProjectName]=ContinuousStatsTable[[#This Row],[ProjectName]])*ProjectInfoTable[NumberOfReplications]))</f>
        <v>10</v>
      </c>
      <c r="O67" s="5" cm="1">
        <f t="array" ref="O67">IFERROR(AVERAGE(IF((ContinuousStatsTable[GroupByKey]=ContinuousStatsTable[[#This Row],[GroupByKey]]),(ContinuousStatsTable[GroupByKey]=ContinuousStatsTable[[#This Row],[GroupByKey]])*ContinuousStatsTable[Average])),0)</f>
        <v>1.9414248775037748</v>
      </c>
      <c r="P67" s="5" cm="1">
        <f t="array" ref="P67">IFERROR(_xlfn.STDEV.S(IF((ContinuousStatsTable[GroupByKey]=ContinuousStatsTable[[#This Row],[GroupByKey]]),(ContinuousStatsTable[GroupByKey]=ContinuousStatsTable[[#This Row],[GroupByKey]])*ContinuousStatsTable[Average])),0)</f>
        <v>1.0999712931753487</v>
      </c>
      <c r="Q67" s="5" cm="1">
        <f t="array" ref="Q67">MAX(IF((ProjectInfoTable[ProjectName]=ContinuousStatsTable[[#This Row],[ProjectName]]),(ProjectInfoTable[ProjectName]=ContinuousStatsTable[[#This Row],[ProjectName]])*ProjectInfoTable[ConfidenceInterval]))</f>
        <v>0.95</v>
      </c>
      <c r="R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0.78687206094246831</v>
      </c>
      <c r="S67" s="5" cm="1">
        <f t="array" ref="S67">MIN(IF((ContinuousStatsTable[GroupByKey]=ContinuousStatsTable[[#This Row],[GroupByKey]]),(ContinuousStatsTable[GroupByKey]=ContinuousStatsTable[[#This Row],[GroupByKey]])*ContinuousStatsTable[Average]))</f>
        <v>0.64368437614034602</v>
      </c>
      <c r="T67" s="5" cm="1">
        <f t="array" ref="T67">MAX(IF((ContinuousStatsTable[GroupByKey]=ContinuousStatsTable[[#This Row],[GroupByKey]]),(ContinuousStatsTable[GroupByKey]=ContinuousStatsTable[[#This Row],[GroupByKey]])*ContinuousStatsTable[Average]))</f>
        <v>3.96038812902029</v>
      </c>
      <c r="U67" s="5">
        <f>IF((ContinuousStatsTable[[#This Row],[RepsRequested]]&gt;1),ContinuousStatsTable[[#This Row],[HalfWidth]],ContinuousStatsTable[[#This Row],[BatchMeansHalfWidth]])</f>
        <v>0.78687206094246831</v>
      </c>
    </row>
    <row r="68" spans="1:21" x14ac:dyDescent="0.4">
      <c r="A68" t="s">
        <v>66</v>
      </c>
      <c r="B68" t="s">
        <v>69</v>
      </c>
      <c r="C68">
        <v>3</v>
      </c>
      <c r="D68" t="s">
        <v>101</v>
      </c>
      <c r="E68" t="s">
        <v>96</v>
      </c>
      <c r="F68" t="s">
        <v>97</v>
      </c>
      <c r="G68">
        <v>0.41804638971782199</v>
      </c>
      <c r="H68">
        <v>4.4015430209533003E-2</v>
      </c>
      <c r="I68">
        <v>0</v>
      </c>
      <c r="J68">
        <v>1</v>
      </c>
      <c r="K68">
        <v>0</v>
      </c>
      <c r="L68">
        <v>0</v>
      </c>
      <c r="M68" s="5" t="str">
        <f>ContinuousStatsTable[[#This Row],[ProjectName]]&amp;ContinuousStatsTable[[#This Row],[Name]]&amp;ContinuousStatsTable[[#This Row],[Type]]&amp;ContinuousStatsTable[[#This Row],[Source]]</f>
        <v>Unnamed ProjectM3Instantaneous UtilizationResource</v>
      </c>
      <c r="N68" s="5" cm="1">
        <f t="array" ref="N68">MAX(IF((ProjectInfoTable[ProjectName]=ContinuousStatsTable[[#This Row],[ProjectName]]),(ProjectInfoTable[ProjectName]=ContinuousStatsTable[[#This Row],[ProjectName]])*ProjectInfoTable[NumberOfReplications]))</f>
        <v>10</v>
      </c>
      <c r="O68" s="5" cm="1">
        <f t="array" ref="O68">IFERROR(AVERAGE(IF((ContinuousStatsTable[GroupByKey]=ContinuousStatsTable[[#This Row],[GroupByKey]]),(ContinuousStatsTable[GroupByKey]=ContinuousStatsTable[[#This Row],[GroupByKey]])*ContinuousStatsTable[Average])),0)</f>
        <v>0.38204498745219106</v>
      </c>
      <c r="P68" s="5" cm="1">
        <f t="array" ref="P68">IFERROR(_xlfn.STDEV.S(IF((ContinuousStatsTable[GroupByKey]=ContinuousStatsTable[[#This Row],[GroupByKey]]),(ContinuousStatsTable[GroupByKey]=ContinuousStatsTable[[#This Row],[GroupByKey]])*ContinuousStatsTable[Average])),0)</f>
        <v>2.9603647703352595E-2</v>
      </c>
      <c r="Q68" s="5" cm="1">
        <f t="array" ref="Q68">MAX(IF((ProjectInfoTable[ProjectName]=ContinuousStatsTable[[#This Row],[ProjectName]]),(ProjectInfoTable[ProjectName]=ContinuousStatsTable[[#This Row],[ProjectName]])*ProjectInfoTable[ConfidenceInterval]))</f>
        <v>0.95</v>
      </c>
      <c r="R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2.1177173826515884E-2</v>
      </c>
      <c r="S68" s="5" cm="1">
        <f t="array" ref="S68">MIN(IF((ContinuousStatsTable[GroupByKey]=ContinuousStatsTable[[#This Row],[GroupByKey]]),(ContinuousStatsTable[GroupByKey]=ContinuousStatsTable[[#This Row],[GroupByKey]])*ContinuousStatsTable[Average]))</f>
        <v>0.32566726436532201</v>
      </c>
      <c r="T68" s="5" cm="1">
        <f t="array" ref="T68">MAX(IF((ContinuousStatsTable[GroupByKey]=ContinuousStatsTable[[#This Row],[GroupByKey]]),(ContinuousStatsTable[GroupByKey]=ContinuousStatsTable[[#This Row],[GroupByKey]])*ContinuousStatsTable[Average]))</f>
        <v>0.42511230467838501</v>
      </c>
      <c r="U68" s="5">
        <f>IF((ContinuousStatsTable[[#This Row],[RepsRequested]]&gt;1),ContinuousStatsTable[[#This Row],[HalfWidth]],ContinuousStatsTable[[#This Row],[BatchMeansHalfWidth]])</f>
        <v>2.1177173826515884E-2</v>
      </c>
    </row>
    <row r="69" spans="1:21" x14ac:dyDescent="0.4">
      <c r="A69" t="s">
        <v>66</v>
      </c>
      <c r="B69" t="s">
        <v>69</v>
      </c>
      <c r="C69">
        <v>3</v>
      </c>
      <c r="D69" t="s">
        <v>101</v>
      </c>
      <c r="E69" t="s">
        <v>98</v>
      </c>
      <c r="F69" t="s">
        <v>97</v>
      </c>
      <c r="G69">
        <v>0.83609277943564397</v>
      </c>
      <c r="H69">
        <v>8.8030860419066007E-2</v>
      </c>
      <c r="I69">
        <v>0</v>
      </c>
      <c r="J69">
        <v>2</v>
      </c>
      <c r="K69">
        <v>0</v>
      </c>
      <c r="L69">
        <v>0</v>
      </c>
      <c r="M69" s="5" t="str">
        <f>ContinuousStatsTable[[#This Row],[ProjectName]]&amp;ContinuousStatsTable[[#This Row],[Name]]&amp;ContinuousStatsTable[[#This Row],[Type]]&amp;ContinuousStatsTable[[#This Row],[Source]]</f>
        <v>Unnamed ProjectM3Number BusyResource</v>
      </c>
      <c r="N69" s="5" cm="1">
        <f t="array" ref="N69">MAX(IF((ProjectInfoTable[ProjectName]=ContinuousStatsTable[[#This Row],[ProjectName]]),(ProjectInfoTable[ProjectName]=ContinuousStatsTable[[#This Row],[ProjectName]])*ProjectInfoTable[NumberOfReplications]))</f>
        <v>10</v>
      </c>
      <c r="O69" s="5" cm="1">
        <f t="array" ref="O69">IFERROR(AVERAGE(IF((ContinuousStatsTable[GroupByKey]=ContinuousStatsTable[[#This Row],[GroupByKey]]),(ContinuousStatsTable[GroupByKey]=ContinuousStatsTable[[#This Row],[GroupByKey]])*ContinuousStatsTable[Average])),0)</f>
        <v>0.76408997490438202</v>
      </c>
      <c r="P69" s="5" cm="1">
        <f t="array" ref="P69">IFERROR(_xlfn.STDEV.S(IF((ContinuousStatsTable[GroupByKey]=ContinuousStatsTable[[#This Row],[GroupByKey]]),(ContinuousStatsTable[GroupByKey]=ContinuousStatsTable[[#This Row],[GroupByKey]])*ContinuousStatsTable[Average])),0)</f>
        <v>5.9207295406705232E-2</v>
      </c>
      <c r="Q69" s="5" cm="1">
        <f t="array" ref="Q69">MAX(IF((ProjectInfoTable[ProjectName]=ContinuousStatsTable[[#This Row],[ProjectName]]),(ProjectInfoTable[ProjectName]=ContinuousStatsTable[[#This Row],[ProjectName]])*ProjectInfoTable[ConfidenceInterval]))</f>
        <v>0.95</v>
      </c>
      <c r="R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4.2354347653031796E-2</v>
      </c>
      <c r="S69" s="5" cm="1">
        <f t="array" ref="S69">MIN(IF((ContinuousStatsTable[GroupByKey]=ContinuousStatsTable[[#This Row],[GroupByKey]]),(ContinuousStatsTable[GroupByKey]=ContinuousStatsTable[[#This Row],[GroupByKey]])*ContinuousStatsTable[Average]))</f>
        <v>0.65133452873064301</v>
      </c>
      <c r="T69" s="5" cm="1">
        <f t="array" ref="T69">MAX(IF((ContinuousStatsTable[GroupByKey]=ContinuousStatsTable[[#This Row],[GroupByKey]]),(ContinuousStatsTable[GroupByKey]=ContinuousStatsTable[[#This Row],[GroupByKey]])*ContinuousStatsTable[Average]))</f>
        <v>0.85022460935677002</v>
      </c>
      <c r="U69" s="5">
        <f>IF((ContinuousStatsTable[[#This Row],[RepsRequested]]&gt;1),ContinuousStatsTable[[#This Row],[HalfWidth]],ContinuousStatsTable[[#This Row],[BatchMeansHalfWidth]])</f>
        <v>4.2354347653031796E-2</v>
      </c>
    </row>
    <row r="70" spans="1:21" x14ac:dyDescent="0.4">
      <c r="A70" t="s">
        <v>66</v>
      </c>
      <c r="B70" t="s">
        <v>69</v>
      </c>
      <c r="C70">
        <v>3</v>
      </c>
      <c r="D70" t="s">
        <v>101</v>
      </c>
      <c r="E70" t="s">
        <v>99</v>
      </c>
      <c r="F70" t="s">
        <v>97</v>
      </c>
      <c r="G70">
        <v>2</v>
      </c>
      <c r="H70">
        <v>2E+20</v>
      </c>
      <c r="I70">
        <v>2</v>
      </c>
      <c r="J70">
        <v>2</v>
      </c>
      <c r="K70">
        <v>2</v>
      </c>
      <c r="L70">
        <v>0</v>
      </c>
      <c r="M70" s="5" t="str">
        <f>ContinuousStatsTable[[#This Row],[ProjectName]]&amp;ContinuousStatsTable[[#This Row],[Name]]&amp;ContinuousStatsTable[[#This Row],[Type]]&amp;ContinuousStatsTable[[#This Row],[Source]]</f>
        <v>Unnamed ProjectM3Number ScheduledResource</v>
      </c>
      <c r="N70" s="5" cm="1">
        <f t="array" ref="N70">MAX(IF((ProjectInfoTable[ProjectName]=ContinuousStatsTable[[#This Row],[ProjectName]]),(ProjectInfoTable[ProjectName]=ContinuousStatsTable[[#This Row],[ProjectName]])*ProjectInfoTable[NumberOfReplications]))</f>
        <v>10</v>
      </c>
      <c r="O70" s="5" cm="1">
        <f t="array" ref="O70">IFERROR(AVERAGE(IF((ContinuousStatsTable[GroupByKey]=ContinuousStatsTable[[#This Row],[GroupByKey]]),(ContinuousStatsTable[GroupByKey]=ContinuousStatsTable[[#This Row],[GroupByKey]])*ContinuousStatsTable[Average])),0)</f>
        <v>2</v>
      </c>
      <c r="P70" s="5" cm="1">
        <f t="array" ref="P70">IFERROR(_xlfn.STDEV.S(IF((ContinuousStatsTable[GroupByKey]=ContinuousStatsTable[[#This Row],[GroupByKey]]),(ContinuousStatsTable[GroupByKey]=ContinuousStatsTable[[#This Row],[GroupByKey]])*ContinuousStatsTable[Average])),0)</f>
        <v>0</v>
      </c>
      <c r="Q70" s="5" cm="1">
        <f t="array" ref="Q70">MAX(IF((ProjectInfoTable[ProjectName]=ContinuousStatsTable[[#This Row],[ProjectName]]),(ProjectInfoTable[ProjectName]=ContinuousStatsTable[[#This Row],[ProjectName]])*ProjectInfoTable[ConfidenceInterval]))</f>
        <v>0.95</v>
      </c>
      <c r="R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0" s="5" cm="1">
        <f t="array" ref="S70">MIN(IF((ContinuousStatsTable[GroupByKey]=ContinuousStatsTable[[#This Row],[GroupByKey]]),(ContinuousStatsTable[GroupByKey]=ContinuousStatsTable[[#This Row],[GroupByKey]])*ContinuousStatsTable[Average]))</f>
        <v>2</v>
      </c>
      <c r="T70" s="5" cm="1">
        <f t="array" ref="T70">MAX(IF((ContinuousStatsTable[GroupByKey]=ContinuousStatsTable[[#This Row],[GroupByKey]]),(ContinuousStatsTable[GroupByKey]=ContinuousStatsTable[[#This Row],[GroupByKey]])*ContinuousStatsTable[Average]))</f>
        <v>2</v>
      </c>
      <c r="U70" s="5">
        <f>IF((ContinuousStatsTable[[#This Row],[RepsRequested]]&gt;1),ContinuousStatsTable[[#This Row],[HalfWidth]],ContinuousStatsTable[[#This Row],[BatchMeansHalfWidth]])</f>
        <v>0</v>
      </c>
    </row>
    <row r="71" spans="1:21" x14ac:dyDescent="0.4">
      <c r="A71" t="s">
        <v>66</v>
      </c>
      <c r="B71" t="s">
        <v>69</v>
      </c>
      <c r="C71">
        <v>3</v>
      </c>
      <c r="D71" t="s">
        <v>87</v>
      </c>
      <c r="E71" t="s">
        <v>94</v>
      </c>
      <c r="F71" t="s">
        <v>80</v>
      </c>
      <c r="G71">
        <v>3.3093677405251203E-2</v>
      </c>
      <c r="H71">
        <v>2E+20</v>
      </c>
      <c r="I71">
        <v>0</v>
      </c>
      <c r="J71">
        <v>2</v>
      </c>
      <c r="K71">
        <v>0</v>
      </c>
      <c r="L71">
        <v>0</v>
      </c>
      <c r="M71" s="5" t="str">
        <f>ContinuousStatsTable[[#This Row],[ProjectName]]&amp;ContinuousStatsTable[[#This Row],[Name]]&amp;ContinuousStatsTable[[#This Row],[Type]]&amp;ContinuousStatsTable[[#This Row],[Source]]</f>
        <v>Unnamed ProjectM3.QNumber WaitingQueue</v>
      </c>
      <c r="N71" s="5" cm="1">
        <f t="array" ref="N71">MAX(IF((ProjectInfoTable[ProjectName]=ContinuousStatsTable[[#This Row],[ProjectName]]),(ProjectInfoTable[ProjectName]=ContinuousStatsTable[[#This Row],[ProjectName]])*ProjectInfoTable[NumberOfReplications]))</f>
        <v>10</v>
      </c>
      <c r="O71" s="5" cm="1">
        <f t="array" ref="O71">IFERROR(AVERAGE(IF((ContinuousStatsTable[GroupByKey]=ContinuousStatsTable[[#This Row],[GroupByKey]]),(ContinuousStatsTable[GroupByKey]=ContinuousStatsTable[[#This Row],[GroupByKey]])*ContinuousStatsTable[Average])),0)</f>
        <v>2.5183140573256935E-2</v>
      </c>
      <c r="P71" s="5" cm="1">
        <f t="array" ref="P71">IFERROR(_xlfn.STDEV.S(IF((ContinuousStatsTable[GroupByKey]=ContinuousStatsTable[[#This Row],[GroupByKey]]),(ContinuousStatsTable[GroupByKey]=ContinuousStatsTable[[#This Row],[GroupByKey]])*ContinuousStatsTable[Average])),0)</f>
        <v>6.5933898933538881E-3</v>
      </c>
      <c r="Q71" s="5" cm="1">
        <f t="array" ref="Q71">MAX(IF((ProjectInfoTable[ProjectName]=ContinuousStatsTable[[#This Row],[ProjectName]]),(ProjectInfoTable[ProjectName]=ContinuousStatsTable[[#This Row],[ProjectName]])*ProjectInfoTable[ConfidenceInterval]))</f>
        <v>0.95</v>
      </c>
      <c r="R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4.7166269939678878E-3</v>
      </c>
      <c r="S71" s="5" cm="1">
        <f t="array" ref="S71">MIN(IF((ContinuousStatsTable[GroupByKey]=ContinuousStatsTable[[#This Row],[GroupByKey]]),(ContinuousStatsTable[GroupByKey]=ContinuousStatsTable[[#This Row],[GroupByKey]])*ContinuousStatsTable[Average]))</f>
        <v>1.7183032756251101E-2</v>
      </c>
      <c r="T71" s="5" cm="1">
        <f t="array" ref="T71">MAX(IF((ContinuousStatsTable[GroupByKey]=ContinuousStatsTable[[#This Row],[GroupByKey]]),(ContinuousStatsTable[GroupByKey]=ContinuousStatsTable[[#This Row],[GroupByKey]])*ContinuousStatsTable[Average]))</f>
        <v>3.3093677405251203E-2</v>
      </c>
      <c r="U71" s="5">
        <f>IF((ContinuousStatsTable[[#This Row],[RepsRequested]]&gt;1),ContinuousStatsTable[[#This Row],[HalfWidth]],ContinuousStatsTable[[#This Row],[BatchMeansHalfWidth]])</f>
        <v>4.7166269939678878E-3</v>
      </c>
    </row>
    <row r="72" spans="1:21" x14ac:dyDescent="0.4">
      <c r="A72" t="s">
        <v>66</v>
      </c>
      <c r="B72" t="s">
        <v>69</v>
      </c>
      <c r="C72">
        <v>3</v>
      </c>
      <c r="D72" t="s">
        <v>102</v>
      </c>
      <c r="E72" t="s">
        <v>96</v>
      </c>
      <c r="F72" t="s">
        <v>97</v>
      </c>
      <c r="G72">
        <v>0.81511052462014799</v>
      </c>
      <c r="H72">
        <v>2E+20</v>
      </c>
      <c r="I72">
        <v>0</v>
      </c>
      <c r="J72">
        <v>1</v>
      </c>
      <c r="K72">
        <v>0</v>
      </c>
      <c r="L72">
        <v>0</v>
      </c>
      <c r="M72" s="5" t="str">
        <f>ContinuousStatsTable[[#This Row],[ProjectName]]&amp;ContinuousStatsTable[[#This Row],[Name]]&amp;ContinuousStatsTable[[#This Row],[Type]]&amp;ContinuousStatsTable[[#This Row],[Source]]</f>
        <v>Unnamed ProjectM4Instantaneous UtilizationResource</v>
      </c>
      <c r="N72" s="5" cm="1">
        <f t="array" ref="N72">MAX(IF((ProjectInfoTable[ProjectName]=ContinuousStatsTable[[#This Row],[ProjectName]]),(ProjectInfoTable[ProjectName]=ContinuousStatsTable[[#This Row],[ProjectName]])*ProjectInfoTable[NumberOfReplications]))</f>
        <v>10</v>
      </c>
      <c r="O72" s="5" cm="1">
        <f t="array" ref="O72">IFERROR(AVERAGE(IF((ContinuousStatsTable[GroupByKey]=ContinuousStatsTable[[#This Row],[GroupByKey]]),(ContinuousStatsTable[GroupByKey]=ContinuousStatsTable[[#This Row],[GroupByKey]])*ContinuousStatsTable[Average])),0)</f>
        <v>0.68948907951108873</v>
      </c>
      <c r="P72" s="5" cm="1">
        <f t="array" ref="P72">IFERROR(_xlfn.STDEV.S(IF((ContinuousStatsTable[GroupByKey]=ContinuousStatsTable[[#This Row],[GroupByKey]]),(ContinuousStatsTable[GroupByKey]=ContinuousStatsTable[[#This Row],[GroupByKey]])*ContinuousStatsTable[Average])),0)</f>
        <v>7.0099805521104841E-2</v>
      </c>
      <c r="Q72" s="5" cm="1">
        <f t="array" ref="Q72">MAX(IF((ProjectInfoTable[ProjectName]=ContinuousStatsTable[[#This Row],[ProjectName]]),(ProjectInfoTable[ProjectName]=ContinuousStatsTable[[#This Row],[ProjectName]])*ProjectInfoTable[ConfidenceInterval]))</f>
        <v>0.95</v>
      </c>
      <c r="R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5.0146379986722875E-2</v>
      </c>
      <c r="S72" s="5" cm="1">
        <f t="array" ref="S72">MIN(IF((ContinuousStatsTable[GroupByKey]=ContinuousStatsTable[[#This Row],[GroupByKey]]),(ContinuousStatsTable[GroupByKey]=ContinuousStatsTable[[#This Row],[GroupByKey]])*ContinuousStatsTable[Average]))</f>
        <v>0.59708526729729605</v>
      </c>
      <c r="T72" s="5" cm="1">
        <f t="array" ref="T72">MAX(IF((ContinuousStatsTable[GroupByKey]=ContinuousStatsTable[[#This Row],[GroupByKey]]),(ContinuousStatsTable[GroupByKey]=ContinuousStatsTable[[#This Row],[GroupByKey]])*ContinuousStatsTable[Average]))</f>
        <v>0.81511052462014799</v>
      </c>
      <c r="U72" s="5">
        <f>IF((ContinuousStatsTable[[#This Row],[RepsRequested]]&gt;1),ContinuousStatsTable[[#This Row],[HalfWidth]],ContinuousStatsTable[[#This Row],[BatchMeansHalfWidth]])</f>
        <v>5.0146379986722875E-2</v>
      </c>
    </row>
    <row r="73" spans="1:21" x14ac:dyDescent="0.4">
      <c r="A73" t="s">
        <v>66</v>
      </c>
      <c r="B73" t="s">
        <v>69</v>
      </c>
      <c r="C73">
        <v>3</v>
      </c>
      <c r="D73" t="s">
        <v>102</v>
      </c>
      <c r="E73" t="s">
        <v>98</v>
      </c>
      <c r="F73" t="s">
        <v>97</v>
      </c>
      <c r="G73">
        <v>0.81511052462014799</v>
      </c>
      <c r="H73">
        <v>2E+20</v>
      </c>
      <c r="I73">
        <v>0</v>
      </c>
      <c r="J73">
        <v>1</v>
      </c>
      <c r="K73">
        <v>0</v>
      </c>
      <c r="L73">
        <v>0</v>
      </c>
      <c r="M73" s="5" t="str">
        <f>ContinuousStatsTable[[#This Row],[ProjectName]]&amp;ContinuousStatsTable[[#This Row],[Name]]&amp;ContinuousStatsTable[[#This Row],[Type]]&amp;ContinuousStatsTable[[#This Row],[Source]]</f>
        <v>Unnamed ProjectM4Number BusyResource</v>
      </c>
      <c r="N73" s="5" cm="1">
        <f t="array" ref="N73">MAX(IF((ProjectInfoTable[ProjectName]=ContinuousStatsTable[[#This Row],[ProjectName]]),(ProjectInfoTable[ProjectName]=ContinuousStatsTable[[#This Row],[ProjectName]])*ProjectInfoTable[NumberOfReplications]))</f>
        <v>10</v>
      </c>
      <c r="O73" s="5" cm="1">
        <f t="array" ref="O73">IFERROR(AVERAGE(IF((ContinuousStatsTable[GroupByKey]=ContinuousStatsTable[[#This Row],[GroupByKey]]),(ContinuousStatsTable[GroupByKey]=ContinuousStatsTable[[#This Row],[GroupByKey]])*ContinuousStatsTable[Average])),0)</f>
        <v>0.68948907951108873</v>
      </c>
      <c r="P73" s="5" cm="1">
        <f t="array" ref="P73">IFERROR(_xlfn.STDEV.S(IF((ContinuousStatsTable[GroupByKey]=ContinuousStatsTable[[#This Row],[GroupByKey]]),(ContinuousStatsTable[GroupByKey]=ContinuousStatsTable[[#This Row],[GroupByKey]])*ContinuousStatsTable[Average])),0)</f>
        <v>7.0099805521104841E-2</v>
      </c>
      <c r="Q73" s="5" cm="1">
        <f t="array" ref="Q73">MAX(IF((ProjectInfoTable[ProjectName]=ContinuousStatsTable[[#This Row],[ProjectName]]),(ProjectInfoTable[ProjectName]=ContinuousStatsTable[[#This Row],[ProjectName]])*ProjectInfoTable[ConfidenceInterval]))</f>
        <v>0.95</v>
      </c>
      <c r="R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5.0146379986722875E-2</v>
      </c>
      <c r="S73" s="5" cm="1">
        <f t="array" ref="S73">MIN(IF((ContinuousStatsTable[GroupByKey]=ContinuousStatsTable[[#This Row],[GroupByKey]]),(ContinuousStatsTable[GroupByKey]=ContinuousStatsTable[[#This Row],[GroupByKey]])*ContinuousStatsTable[Average]))</f>
        <v>0.59708526729729605</v>
      </c>
      <c r="T73" s="5" cm="1">
        <f t="array" ref="T73">MAX(IF((ContinuousStatsTable[GroupByKey]=ContinuousStatsTable[[#This Row],[GroupByKey]]),(ContinuousStatsTable[GroupByKey]=ContinuousStatsTable[[#This Row],[GroupByKey]])*ContinuousStatsTable[Average]))</f>
        <v>0.81511052462014799</v>
      </c>
      <c r="U73" s="5">
        <f>IF((ContinuousStatsTable[[#This Row],[RepsRequested]]&gt;1),ContinuousStatsTable[[#This Row],[HalfWidth]],ContinuousStatsTable[[#This Row],[BatchMeansHalfWidth]])</f>
        <v>5.0146379986722875E-2</v>
      </c>
    </row>
    <row r="74" spans="1:21" x14ac:dyDescent="0.4">
      <c r="A74" t="s">
        <v>66</v>
      </c>
      <c r="B74" t="s">
        <v>69</v>
      </c>
      <c r="C74">
        <v>3</v>
      </c>
      <c r="D74" t="s">
        <v>102</v>
      </c>
      <c r="E74" t="s">
        <v>99</v>
      </c>
      <c r="F74" t="s">
        <v>97</v>
      </c>
      <c r="G74">
        <v>1</v>
      </c>
      <c r="H74">
        <v>2E+20</v>
      </c>
      <c r="I74">
        <v>1</v>
      </c>
      <c r="J74">
        <v>1</v>
      </c>
      <c r="K74">
        <v>1</v>
      </c>
      <c r="L74">
        <v>0</v>
      </c>
      <c r="M74" s="5" t="str">
        <f>ContinuousStatsTable[[#This Row],[ProjectName]]&amp;ContinuousStatsTable[[#This Row],[Name]]&amp;ContinuousStatsTable[[#This Row],[Type]]&amp;ContinuousStatsTable[[#This Row],[Source]]</f>
        <v>Unnamed ProjectM4Number ScheduledResource</v>
      </c>
      <c r="N74" s="5" cm="1">
        <f t="array" ref="N74">MAX(IF((ProjectInfoTable[ProjectName]=ContinuousStatsTable[[#This Row],[ProjectName]]),(ProjectInfoTable[ProjectName]=ContinuousStatsTable[[#This Row],[ProjectName]])*ProjectInfoTable[NumberOfReplications]))</f>
        <v>10</v>
      </c>
      <c r="O74" s="5" cm="1">
        <f t="array" ref="O74">IFERROR(AVERAGE(IF((ContinuousStatsTable[GroupByKey]=ContinuousStatsTable[[#This Row],[GroupByKey]]),(ContinuousStatsTable[GroupByKey]=ContinuousStatsTable[[#This Row],[GroupByKey]])*ContinuousStatsTable[Average])),0)</f>
        <v>1</v>
      </c>
      <c r="P74" s="5" cm="1">
        <f t="array" ref="P74">IFERROR(_xlfn.STDEV.S(IF((ContinuousStatsTable[GroupByKey]=ContinuousStatsTable[[#This Row],[GroupByKey]]),(ContinuousStatsTable[GroupByKey]=ContinuousStatsTable[[#This Row],[GroupByKey]])*ContinuousStatsTable[Average])),0)</f>
        <v>0</v>
      </c>
      <c r="Q74" s="5" cm="1">
        <f t="array" ref="Q74">MAX(IF((ProjectInfoTable[ProjectName]=ContinuousStatsTable[[#This Row],[ProjectName]]),(ProjectInfoTable[ProjectName]=ContinuousStatsTable[[#This Row],[ProjectName]])*ProjectInfoTable[ConfidenceInterval]))</f>
        <v>0.95</v>
      </c>
      <c r="R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4" s="5" cm="1">
        <f t="array" ref="S74">MIN(IF((ContinuousStatsTable[GroupByKey]=ContinuousStatsTable[[#This Row],[GroupByKey]]),(ContinuousStatsTable[GroupByKey]=ContinuousStatsTable[[#This Row],[GroupByKey]])*ContinuousStatsTable[Average]))</f>
        <v>1</v>
      </c>
      <c r="T74" s="5" cm="1">
        <f t="array" ref="T74">MAX(IF((ContinuousStatsTable[GroupByKey]=ContinuousStatsTable[[#This Row],[GroupByKey]]),(ContinuousStatsTable[GroupByKey]=ContinuousStatsTable[[#This Row],[GroupByKey]])*ContinuousStatsTable[Average]))</f>
        <v>1</v>
      </c>
      <c r="U74" s="5">
        <f>IF((ContinuousStatsTable[[#This Row],[RepsRequested]]&gt;1),ContinuousStatsTable[[#This Row],[HalfWidth]],ContinuousStatsTable[[#This Row],[BatchMeansHalfWidth]])</f>
        <v>0</v>
      </c>
    </row>
    <row r="75" spans="1:21" x14ac:dyDescent="0.4">
      <c r="A75" t="s">
        <v>66</v>
      </c>
      <c r="B75" t="s">
        <v>69</v>
      </c>
      <c r="C75">
        <v>3</v>
      </c>
      <c r="D75" t="s">
        <v>88</v>
      </c>
      <c r="E75" t="s">
        <v>94</v>
      </c>
      <c r="F75" t="s">
        <v>80</v>
      </c>
      <c r="G75">
        <v>1.4060201140591599</v>
      </c>
      <c r="H75">
        <v>2E+20</v>
      </c>
      <c r="I75">
        <v>0</v>
      </c>
      <c r="J75">
        <v>8</v>
      </c>
      <c r="K75">
        <v>0</v>
      </c>
      <c r="L75">
        <v>0</v>
      </c>
      <c r="M75" s="5" t="str">
        <f>ContinuousStatsTable[[#This Row],[ProjectName]]&amp;ContinuousStatsTable[[#This Row],[Name]]&amp;ContinuousStatsTable[[#This Row],[Type]]&amp;ContinuousStatsTable[[#This Row],[Source]]</f>
        <v>Unnamed ProjectM4.QNumber WaitingQueue</v>
      </c>
      <c r="N75" s="5" cm="1">
        <f t="array" ref="N75">MAX(IF((ProjectInfoTable[ProjectName]=ContinuousStatsTable[[#This Row],[ProjectName]]),(ProjectInfoTable[ProjectName]=ContinuousStatsTable[[#This Row],[ProjectName]])*ProjectInfoTable[NumberOfReplications]))</f>
        <v>10</v>
      </c>
      <c r="O75" s="5" cm="1">
        <f t="array" ref="O75">IFERROR(AVERAGE(IF((ContinuousStatsTable[GroupByKey]=ContinuousStatsTable[[#This Row],[GroupByKey]]),(ContinuousStatsTable[GroupByKey]=ContinuousStatsTable[[#This Row],[GroupByKey]])*ContinuousStatsTable[Average])),0)</f>
        <v>0.92596780474390472</v>
      </c>
      <c r="P75" s="5" cm="1">
        <f t="array" ref="P75">IFERROR(_xlfn.STDEV.S(IF((ContinuousStatsTable[GroupByKey]=ContinuousStatsTable[[#This Row],[GroupByKey]]),(ContinuousStatsTable[GroupByKey]=ContinuousStatsTable[[#This Row],[GroupByKey]])*ContinuousStatsTable[Average])),0)</f>
        <v>0.23565784373506599</v>
      </c>
      <c r="Q75" s="5" cm="1">
        <f t="array" ref="Q75">MAX(IF((ProjectInfoTable[ProjectName]=ContinuousStatsTable[[#This Row],[ProjectName]]),(ProjectInfoTable[ProjectName]=ContinuousStatsTable[[#This Row],[ProjectName]])*ProjectInfoTable[ConfidenceInterval]))</f>
        <v>0.95</v>
      </c>
      <c r="R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0.16857946596203516</v>
      </c>
      <c r="S75" s="5" cm="1">
        <f t="array" ref="S75">MIN(IF((ContinuousStatsTable[GroupByKey]=ContinuousStatsTable[[#This Row],[GroupByKey]]),(ContinuousStatsTable[GroupByKey]=ContinuousStatsTable[[#This Row],[GroupByKey]])*ContinuousStatsTable[Average]))</f>
        <v>0.61954382246291895</v>
      </c>
      <c r="T75" s="5" cm="1">
        <f t="array" ref="T75">MAX(IF((ContinuousStatsTable[GroupByKey]=ContinuousStatsTable[[#This Row],[GroupByKey]]),(ContinuousStatsTable[GroupByKey]=ContinuousStatsTable[[#This Row],[GroupByKey]])*ContinuousStatsTable[Average]))</f>
        <v>1.4060201140591599</v>
      </c>
      <c r="U75" s="5">
        <f>IF((ContinuousStatsTable[[#This Row],[RepsRequested]]&gt;1),ContinuousStatsTable[[#This Row],[HalfWidth]],ContinuousStatsTable[[#This Row],[BatchMeansHalfWidth]])</f>
        <v>0.16857946596203516</v>
      </c>
    </row>
    <row r="76" spans="1:21" x14ac:dyDescent="0.4">
      <c r="A76" t="s">
        <v>66</v>
      </c>
      <c r="B76" t="s">
        <v>69</v>
      </c>
      <c r="C76">
        <v>3</v>
      </c>
      <c r="D76" t="s">
        <v>103</v>
      </c>
      <c r="E76" t="s">
        <v>96</v>
      </c>
      <c r="F76" t="s">
        <v>97</v>
      </c>
      <c r="G76">
        <v>0.36499970126903097</v>
      </c>
      <c r="H76">
        <v>4.4968976535676199E-2</v>
      </c>
      <c r="I76">
        <v>0</v>
      </c>
      <c r="J76">
        <v>1</v>
      </c>
      <c r="K76">
        <v>0</v>
      </c>
      <c r="L76">
        <v>0</v>
      </c>
      <c r="M76" s="5" t="str">
        <f>ContinuousStatsTable[[#This Row],[ProjectName]]&amp;ContinuousStatsTable[[#This Row],[Name]]&amp;ContinuousStatsTable[[#This Row],[Type]]&amp;ContinuousStatsTable[[#This Row],[Source]]</f>
        <v>Unnamed ProjectM5Instantaneous UtilizationResource</v>
      </c>
      <c r="N76" s="5" cm="1">
        <f t="array" ref="N76">MAX(IF((ProjectInfoTable[ProjectName]=ContinuousStatsTable[[#This Row],[ProjectName]]),(ProjectInfoTable[ProjectName]=ContinuousStatsTable[[#This Row],[ProjectName]])*ProjectInfoTable[NumberOfReplications]))</f>
        <v>10</v>
      </c>
      <c r="O76" s="5" cm="1">
        <f t="array" ref="O76">IFERROR(AVERAGE(IF((ContinuousStatsTable[GroupByKey]=ContinuousStatsTable[[#This Row],[GroupByKey]]),(ContinuousStatsTable[GroupByKey]=ContinuousStatsTable[[#This Row],[GroupByKey]])*ContinuousStatsTable[Average])),0)</f>
        <v>0.35254112855323727</v>
      </c>
      <c r="P76" s="5" cm="1">
        <f t="array" ref="P76">IFERROR(_xlfn.STDEV.S(IF((ContinuousStatsTable[GroupByKey]=ContinuousStatsTable[[#This Row],[GroupByKey]]),(ContinuousStatsTable[GroupByKey]=ContinuousStatsTable[[#This Row],[GroupByKey]])*ContinuousStatsTable[Average])),0)</f>
        <v>2.0819740340978523E-2</v>
      </c>
      <c r="Q76" s="5" cm="1">
        <f t="array" ref="Q76">MAX(IF((ProjectInfoTable[ProjectName]=ContinuousStatsTable[[#This Row],[ProjectName]]),(ProjectInfoTable[ProjectName]=ContinuousStatsTable[[#This Row],[ProjectName]])*ProjectInfoTable[ConfidenceInterval]))</f>
        <v>0.95</v>
      </c>
      <c r="R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1.4893545033435028E-2</v>
      </c>
      <c r="S76" s="5" cm="1">
        <f t="array" ref="S76">MIN(IF((ContinuousStatsTable[GroupByKey]=ContinuousStatsTable[[#This Row],[GroupByKey]]),(ContinuousStatsTable[GroupByKey]=ContinuousStatsTable[[#This Row],[GroupByKey]])*ContinuousStatsTable[Average]))</f>
        <v>0.319082016284436</v>
      </c>
      <c r="T76" s="5" cm="1">
        <f t="array" ref="T76">MAX(IF((ContinuousStatsTable[GroupByKey]=ContinuousStatsTable[[#This Row],[GroupByKey]]),(ContinuousStatsTable[GroupByKey]=ContinuousStatsTable[[#This Row],[GroupByKey]])*ContinuousStatsTable[Average]))</f>
        <v>0.391918845838306</v>
      </c>
      <c r="U76" s="5">
        <f>IF((ContinuousStatsTable[[#This Row],[RepsRequested]]&gt;1),ContinuousStatsTable[[#This Row],[HalfWidth]],ContinuousStatsTable[[#This Row],[BatchMeansHalfWidth]])</f>
        <v>1.4893545033435028E-2</v>
      </c>
    </row>
    <row r="77" spans="1:21" x14ac:dyDescent="0.4">
      <c r="A77" t="s">
        <v>66</v>
      </c>
      <c r="B77" t="s">
        <v>69</v>
      </c>
      <c r="C77">
        <v>3</v>
      </c>
      <c r="D77" t="s">
        <v>103</v>
      </c>
      <c r="E77" t="s">
        <v>98</v>
      </c>
      <c r="F77" t="s">
        <v>97</v>
      </c>
      <c r="G77">
        <v>0.72999940253806095</v>
      </c>
      <c r="H77">
        <v>8.99379530713523E-2</v>
      </c>
      <c r="I77">
        <v>0</v>
      </c>
      <c r="J77">
        <v>2</v>
      </c>
      <c r="K77">
        <v>0</v>
      </c>
      <c r="L77">
        <v>0</v>
      </c>
      <c r="M77" s="5" t="str">
        <f>ContinuousStatsTable[[#This Row],[ProjectName]]&amp;ContinuousStatsTable[[#This Row],[Name]]&amp;ContinuousStatsTable[[#This Row],[Type]]&amp;ContinuousStatsTable[[#This Row],[Source]]</f>
        <v>Unnamed ProjectM5Number BusyResource</v>
      </c>
      <c r="N77" s="5" cm="1">
        <f t="array" ref="N77">MAX(IF((ProjectInfoTable[ProjectName]=ContinuousStatsTable[[#This Row],[ProjectName]]),(ProjectInfoTable[ProjectName]=ContinuousStatsTable[[#This Row],[ProjectName]])*ProjectInfoTable[NumberOfReplications]))</f>
        <v>10</v>
      </c>
      <c r="O77" s="5" cm="1">
        <f t="array" ref="O77">IFERROR(AVERAGE(IF((ContinuousStatsTable[GroupByKey]=ContinuousStatsTable[[#This Row],[GroupByKey]]),(ContinuousStatsTable[GroupByKey]=ContinuousStatsTable[[#This Row],[GroupByKey]])*ContinuousStatsTable[Average])),0)</f>
        <v>0.70508225710647443</v>
      </c>
      <c r="P77" s="5" cm="1">
        <f t="array" ref="P77">IFERROR(_xlfn.STDEV.S(IF((ContinuousStatsTable[GroupByKey]=ContinuousStatsTable[[#This Row],[GroupByKey]]),(ContinuousStatsTable[GroupByKey]=ContinuousStatsTable[[#This Row],[GroupByKey]])*ContinuousStatsTable[Average])),0)</f>
        <v>4.1639480681956775E-2</v>
      </c>
      <c r="Q77" s="5" cm="1">
        <f t="array" ref="Q77">MAX(IF((ProjectInfoTable[ProjectName]=ContinuousStatsTable[[#This Row],[ProjectName]]),(ProjectInfoTable[ProjectName]=ContinuousStatsTable[[#This Row],[ProjectName]])*ProjectInfoTable[ConfidenceInterval]))</f>
        <v>0.95</v>
      </c>
      <c r="R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2.9787090066869859E-2</v>
      </c>
      <c r="S77" s="5" cm="1">
        <f t="array" ref="S77">MIN(IF((ContinuousStatsTable[GroupByKey]=ContinuousStatsTable[[#This Row],[GroupByKey]]),(ContinuousStatsTable[GroupByKey]=ContinuousStatsTable[[#This Row],[GroupByKey]])*ContinuousStatsTable[Average]))</f>
        <v>0.638164032568872</v>
      </c>
      <c r="T77" s="5" cm="1">
        <f t="array" ref="T77">MAX(IF((ContinuousStatsTable[GroupByKey]=ContinuousStatsTable[[#This Row],[GroupByKey]]),(ContinuousStatsTable[GroupByKey]=ContinuousStatsTable[[#This Row],[GroupByKey]])*ContinuousStatsTable[Average]))</f>
        <v>0.78383769167661099</v>
      </c>
      <c r="U77" s="5">
        <f>IF((ContinuousStatsTable[[#This Row],[RepsRequested]]&gt;1),ContinuousStatsTable[[#This Row],[HalfWidth]],ContinuousStatsTable[[#This Row],[BatchMeansHalfWidth]])</f>
        <v>2.9787090066869859E-2</v>
      </c>
    </row>
    <row r="78" spans="1:21" x14ac:dyDescent="0.4">
      <c r="A78" t="s">
        <v>66</v>
      </c>
      <c r="B78" t="s">
        <v>69</v>
      </c>
      <c r="C78">
        <v>3</v>
      </c>
      <c r="D78" t="s">
        <v>103</v>
      </c>
      <c r="E78" t="s">
        <v>99</v>
      </c>
      <c r="F78" t="s">
        <v>97</v>
      </c>
      <c r="G78">
        <v>2</v>
      </c>
      <c r="H78">
        <v>2E+20</v>
      </c>
      <c r="I78">
        <v>2</v>
      </c>
      <c r="J78">
        <v>2</v>
      </c>
      <c r="K78">
        <v>2</v>
      </c>
      <c r="L78">
        <v>0</v>
      </c>
      <c r="M78" s="5" t="str">
        <f>ContinuousStatsTable[[#This Row],[ProjectName]]&amp;ContinuousStatsTable[[#This Row],[Name]]&amp;ContinuousStatsTable[[#This Row],[Type]]&amp;ContinuousStatsTable[[#This Row],[Source]]</f>
        <v>Unnamed ProjectM5Number ScheduledResource</v>
      </c>
      <c r="N78" s="5" cm="1">
        <f t="array" ref="N78">MAX(IF((ProjectInfoTable[ProjectName]=ContinuousStatsTable[[#This Row],[ProjectName]]),(ProjectInfoTable[ProjectName]=ContinuousStatsTable[[#This Row],[ProjectName]])*ProjectInfoTable[NumberOfReplications]))</f>
        <v>10</v>
      </c>
      <c r="O78" s="5" cm="1">
        <f t="array" ref="O78">IFERROR(AVERAGE(IF((ContinuousStatsTable[GroupByKey]=ContinuousStatsTable[[#This Row],[GroupByKey]]),(ContinuousStatsTable[GroupByKey]=ContinuousStatsTable[[#This Row],[GroupByKey]])*ContinuousStatsTable[Average])),0)</f>
        <v>2</v>
      </c>
      <c r="P78" s="5" cm="1">
        <f t="array" ref="P78">IFERROR(_xlfn.STDEV.S(IF((ContinuousStatsTable[GroupByKey]=ContinuousStatsTable[[#This Row],[GroupByKey]]),(ContinuousStatsTable[GroupByKey]=ContinuousStatsTable[[#This Row],[GroupByKey]])*ContinuousStatsTable[Average])),0)</f>
        <v>0</v>
      </c>
      <c r="Q78" s="5" cm="1">
        <f t="array" ref="Q78">MAX(IF((ProjectInfoTable[ProjectName]=ContinuousStatsTable[[#This Row],[ProjectName]]),(ProjectInfoTable[ProjectName]=ContinuousStatsTable[[#This Row],[ProjectName]])*ProjectInfoTable[ConfidenceInterval]))</f>
        <v>0.95</v>
      </c>
      <c r="R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8" s="5" cm="1">
        <f t="array" ref="S78">MIN(IF((ContinuousStatsTable[GroupByKey]=ContinuousStatsTable[[#This Row],[GroupByKey]]),(ContinuousStatsTable[GroupByKey]=ContinuousStatsTable[[#This Row],[GroupByKey]])*ContinuousStatsTable[Average]))</f>
        <v>2</v>
      </c>
      <c r="T78" s="5" cm="1">
        <f t="array" ref="T78">MAX(IF((ContinuousStatsTable[GroupByKey]=ContinuousStatsTable[[#This Row],[GroupByKey]]),(ContinuousStatsTable[GroupByKey]=ContinuousStatsTable[[#This Row],[GroupByKey]])*ContinuousStatsTable[Average]))</f>
        <v>2</v>
      </c>
      <c r="U78" s="5">
        <f>IF((ContinuousStatsTable[[#This Row],[RepsRequested]]&gt;1),ContinuousStatsTable[[#This Row],[HalfWidth]],ContinuousStatsTable[[#This Row],[BatchMeansHalfWidth]])</f>
        <v>0</v>
      </c>
    </row>
    <row r="79" spans="1:21" x14ac:dyDescent="0.4">
      <c r="A79" t="s">
        <v>66</v>
      </c>
      <c r="B79" t="s">
        <v>69</v>
      </c>
      <c r="C79">
        <v>3</v>
      </c>
      <c r="D79" t="s">
        <v>89</v>
      </c>
      <c r="E79" t="s">
        <v>94</v>
      </c>
      <c r="F79" t="s">
        <v>80</v>
      </c>
      <c r="G79">
        <v>3.4381375680261901E-2</v>
      </c>
      <c r="H79">
        <v>2E+20</v>
      </c>
      <c r="I79">
        <v>0</v>
      </c>
      <c r="J79">
        <v>2</v>
      </c>
      <c r="K79">
        <v>0</v>
      </c>
      <c r="L79">
        <v>0</v>
      </c>
      <c r="M79" s="5" t="str">
        <f>ContinuousStatsTable[[#This Row],[ProjectName]]&amp;ContinuousStatsTable[[#This Row],[Name]]&amp;ContinuousStatsTable[[#This Row],[Type]]&amp;ContinuousStatsTable[[#This Row],[Source]]</f>
        <v>Unnamed ProjectM5.QNumber WaitingQueue</v>
      </c>
      <c r="N79" s="5" cm="1">
        <f t="array" ref="N79">MAX(IF((ProjectInfoTable[ProjectName]=ContinuousStatsTable[[#This Row],[ProjectName]]),(ProjectInfoTable[ProjectName]=ContinuousStatsTable[[#This Row],[ProjectName]])*ProjectInfoTable[NumberOfReplications]))</f>
        <v>10</v>
      </c>
      <c r="O79" s="5" cm="1">
        <f t="array" ref="O79">IFERROR(AVERAGE(IF((ContinuousStatsTable[GroupByKey]=ContinuousStatsTable[[#This Row],[GroupByKey]]),(ContinuousStatsTable[GroupByKey]=ContinuousStatsTable[[#This Row],[GroupByKey]])*ContinuousStatsTable[Average])),0)</f>
        <v>4.0588719153078524E-2</v>
      </c>
      <c r="P79" s="5" cm="1">
        <f t="array" ref="P79">IFERROR(_xlfn.STDEV.S(IF((ContinuousStatsTable[GroupByKey]=ContinuousStatsTable[[#This Row],[GroupByKey]]),(ContinuousStatsTable[GroupByKey]=ContinuousStatsTable[[#This Row],[GroupByKey]])*ContinuousStatsTable[Average])),0)</f>
        <v>2.3271584618520549E-2</v>
      </c>
      <c r="Q79" s="5" cm="1">
        <f t="array" ref="Q79">MAX(IF((ProjectInfoTable[ProjectName]=ContinuousStatsTable[[#This Row],[ProjectName]]),(ProjectInfoTable[ProjectName]=ContinuousStatsTable[[#This Row],[ProjectName]])*ProjectInfoTable[ConfidenceInterval]))</f>
        <v>0.95</v>
      </c>
      <c r="R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1.6647488769739371E-2</v>
      </c>
      <c r="S79" s="5" cm="1">
        <f t="array" ref="S79">MIN(IF((ContinuousStatsTable[GroupByKey]=ContinuousStatsTable[[#This Row],[GroupByKey]]),(ContinuousStatsTable[GroupByKey]=ContinuousStatsTable[[#This Row],[GroupByKey]])*ContinuousStatsTable[Average]))</f>
        <v>1.58912341215269E-2</v>
      </c>
      <c r="T79" s="5" cm="1">
        <f t="array" ref="T79">MAX(IF((ContinuousStatsTable[GroupByKey]=ContinuousStatsTable[[#This Row],[GroupByKey]]),(ContinuousStatsTable[GroupByKey]=ContinuousStatsTable[[#This Row],[GroupByKey]])*ContinuousStatsTable[Average]))</f>
        <v>9.0065456910795705E-2</v>
      </c>
      <c r="U79" s="5">
        <f>IF((ContinuousStatsTable[[#This Row],[RepsRequested]]&gt;1),ContinuousStatsTable[[#This Row],[HalfWidth]],ContinuousStatsTable[[#This Row],[BatchMeansHalfWidth]])</f>
        <v>1.6647488769739371E-2</v>
      </c>
    </row>
    <row r="80" spans="1:21" x14ac:dyDescent="0.4">
      <c r="A80" t="s">
        <v>66</v>
      </c>
      <c r="B80" t="s">
        <v>69</v>
      </c>
      <c r="C80">
        <v>4</v>
      </c>
      <c r="D80" t="s">
        <v>70</v>
      </c>
      <c r="E80" t="s">
        <v>93</v>
      </c>
      <c r="F80" t="s">
        <v>72</v>
      </c>
      <c r="G80">
        <v>7.5580498013511699</v>
      </c>
      <c r="H80">
        <v>3E+20</v>
      </c>
      <c r="I80">
        <v>0</v>
      </c>
      <c r="J80">
        <v>16</v>
      </c>
      <c r="K80">
        <v>5</v>
      </c>
      <c r="L80">
        <v>0</v>
      </c>
      <c r="M80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80" s="5" cm="1">
        <f t="array" ref="N80">MAX(IF((ProjectInfoTable[ProjectName]=ContinuousStatsTable[[#This Row],[ProjectName]]),(ProjectInfoTable[ProjectName]=ContinuousStatsTable[[#This Row],[ProjectName]])*ProjectInfoTable[NumberOfReplications]))</f>
        <v>10</v>
      </c>
      <c r="O80" s="5" cm="1">
        <f t="array" ref="O80">IFERROR(AVERAGE(IF((ContinuousStatsTable[GroupByKey]=ContinuousStatsTable[[#This Row],[GroupByKey]]),(ContinuousStatsTable[GroupByKey]=ContinuousStatsTable[[#This Row],[GroupByKey]])*ContinuousStatsTable[Average])),0)</f>
        <v>6.6735315353875011</v>
      </c>
      <c r="P80" s="5" cm="1">
        <f t="array" ref="P80">IFERROR(_xlfn.STDEV.S(IF((ContinuousStatsTable[GroupByKey]=ContinuousStatsTable[[#This Row],[GroupByKey]]),(ContinuousStatsTable[GroupByKey]=ContinuousStatsTable[[#This Row],[GroupByKey]])*ContinuousStatsTable[Average])),0)</f>
        <v>1.4829188547421246</v>
      </c>
      <c r="Q80" s="5" cm="1">
        <f t="array" ref="Q80">MAX(IF((ProjectInfoTable[ProjectName]=ContinuousStatsTable[[#This Row],[ProjectName]]),(ProjectInfoTable[ProjectName]=ContinuousStatsTable[[#This Row],[ProjectName]])*ProjectInfoTable[ConfidenceInterval]))</f>
        <v>0.95</v>
      </c>
      <c r="R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1.0608162437338877</v>
      </c>
      <c r="S80" s="5" cm="1">
        <f t="array" ref="S80">MIN(IF((ContinuousStatsTable[GroupByKey]=ContinuousStatsTable[[#This Row],[GroupByKey]]),(ContinuousStatsTable[GroupByKey]=ContinuousStatsTable[[#This Row],[GroupByKey]])*ContinuousStatsTable[Average]))</f>
        <v>4.5894957727661101</v>
      </c>
      <c r="T80" s="5" cm="1">
        <f t="array" ref="T80">MAX(IF((ContinuousStatsTable[GroupByKey]=ContinuousStatsTable[[#This Row],[GroupByKey]]),(ContinuousStatsTable[GroupByKey]=ContinuousStatsTable[[#This Row],[GroupByKey]])*ContinuousStatsTable[Average]))</f>
        <v>9.5134854029509093</v>
      </c>
      <c r="U80" s="5">
        <f>IF((ContinuousStatsTable[[#This Row],[RepsRequested]]&gt;1),ContinuousStatsTable[[#This Row],[HalfWidth]],ContinuousStatsTable[[#This Row],[BatchMeansHalfWidth]])</f>
        <v>1.0608162437338877</v>
      </c>
    </row>
    <row r="81" spans="1:21" x14ac:dyDescent="0.4">
      <c r="A81" t="s">
        <v>66</v>
      </c>
      <c r="B81" t="s">
        <v>69</v>
      </c>
      <c r="C81">
        <v>4</v>
      </c>
      <c r="D81" t="s">
        <v>78</v>
      </c>
      <c r="E81" t="s">
        <v>94</v>
      </c>
      <c r="F81" t="s">
        <v>80</v>
      </c>
      <c r="G81">
        <v>0</v>
      </c>
      <c r="H81">
        <v>2E+20</v>
      </c>
      <c r="I81">
        <v>0</v>
      </c>
      <c r="J81">
        <v>0</v>
      </c>
      <c r="K81">
        <v>0</v>
      </c>
      <c r="L81">
        <v>0</v>
      </c>
      <c r="M81" s="5" t="str">
        <f>ContinuousStatsTable[[#This Row],[ProjectName]]&amp;ContinuousStatsTable[[#This Row],[Name]]&amp;ContinuousStatsTable[[#This Row],[Type]]&amp;ContinuousStatsTable[[#This Row],[Source]]</f>
        <v>Unnamed ProjectHold M1.QueueNumber WaitingQueue</v>
      </c>
      <c r="N81" s="5" cm="1">
        <f t="array" ref="N81">MAX(IF((ProjectInfoTable[ProjectName]=ContinuousStatsTable[[#This Row],[ProjectName]]),(ProjectInfoTable[ProjectName]=ContinuousStatsTable[[#This Row],[ProjectName]])*ProjectInfoTable[NumberOfReplications]))</f>
        <v>10</v>
      </c>
      <c r="O81" s="5" cm="1">
        <f t="array" ref="O81">IFERROR(AVERAGE(IF((ContinuousStatsTable[GroupByKey]=ContinuousStatsTable[[#This Row],[GroupByKey]]),(ContinuousStatsTable[GroupByKey]=ContinuousStatsTable[[#This Row],[GroupByKey]])*ContinuousStatsTable[Average])),0)</f>
        <v>0</v>
      </c>
      <c r="P81" s="5" cm="1">
        <f t="array" ref="P81">IFERROR(_xlfn.STDEV.S(IF((ContinuousStatsTable[GroupByKey]=ContinuousStatsTable[[#This Row],[GroupByKey]]),(ContinuousStatsTable[GroupByKey]=ContinuousStatsTable[[#This Row],[GroupByKey]])*ContinuousStatsTable[Average])),0)</f>
        <v>0</v>
      </c>
      <c r="Q81" s="5" cm="1">
        <f t="array" ref="Q81">MAX(IF((ProjectInfoTable[ProjectName]=ContinuousStatsTable[[#This Row],[ProjectName]]),(ProjectInfoTable[ProjectName]=ContinuousStatsTable[[#This Row],[ProjectName]])*ProjectInfoTable[ConfidenceInterval]))</f>
        <v>0.95</v>
      </c>
      <c r="R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1" s="5" cm="1">
        <f t="array" ref="S81">MIN(IF((ContinuousStatsTable[GroupByKey]=ContinuousStatsTable[[#This Row],[GroupByKey]]),(ContinuousStatsTable[GroupByKey]=ContinuousStatsTable[[#This Row],[GroupByKey]])*ContinuousStatsTable[Average]))</f>
        <v>0</v>
      </c>
      <c r="T81" s="5" cm="1">
        <f t="array" ref="T81">MAX(IF((ContinuousStatsTable[GroupByKey]=ContinuousStatsTable[[#This Row],[GroupByKey]]),(ContinuousStatsTable[GroupByKey]=ContinuousStatsTable[[#This Row],[GroupByKey]])*ContinuousStatsTable[Average]))</f>
        <v>0</v>
      </c>
      <c r="U81" s="5">
        <f>IF((ContinuousStatsTable[[#This Row],[RepsRequested]]&gt;1),ContinuousStatsTable[[#This Row],[HalfWidth]],ContinuousStatsTable[[#This Row],[BatchMeansHalfWidth]])</f>
        <v>0</v>
      </c>
    </row>
    <row r="82" spans="1:21" x14ac:dyDescent="0.4">
      <c r="A82" t="s">
        <v>66</v>
      </c>
      <c r="B82" t="s">
        <v>69</v>
      </c>
      <c r="C82">
        <v>4</v>
      </c>
      <c r="D82" t="s">
        <v>81</v>
      </c>
      <c r="E82" t="s">
        <v>94</v>
      </c>
      <c r="F82" t="s">
        <v>80</v>
      </c>
      <c r="G82">
        <v>0</v>
      </c>
      <c r="H82">
        <v>2E+20</v>
      </c>
      <c r="I82">
        <v>0</v>
      </c>
      <c r="J82">
        <v>0</v>
      </c>
      <c r="K82">
        <v>0</v>
      </c>
      <c r="L82">
        <v>0</v>
      </c>
      <c r="M82" s="5" t="str">
        <f>ContinuousStatsTable[[#This Row],[ProjectName]]&amp;ContinuousStatsTable[[#This Row],[Name]]&amp;ContinuousStatsTable[[#This Row],[Type]]&amp;ContinuousStatsTable[[#This Row],[Source]]</f>
        <v>Unnamed ProjectHold M2.QueueNumber WaitingQueue</v>
      </c>
      <c r="N82" s="5" cm="1">
        <f t="array" ref="N82">MAX(IF((ProjectInfoTable[ProjectName]=ContinuousStatsTable[[#This Row],[ProjectName]]),(ProjectInfoTable[ProjectName]=ContinuousStatsTable[[#This Row],[ProjectName]])*ProjectInfoTable[NumberOfReplications]))</f>
        <v>10</v>
      </c>
      <c r="O82" s="5" cm="1">
        <f t="array" ref="O82">IFERROR(AVERAGE(IF((ContinuousStatsTable[GroupByKey]=ContinuousStatsTable[[#This Row],[GroupByKey]]),(ContinuousStatsTable[GroupByKey]=ContinuousStatsTable[[#This Row],[GroupByKey]])*ContinuousStatsTable[Average])),0)</f>
        <v>0</v>
      </c>
      <c r="P82" s="5" cm="1">
        <f t="array" ref="P82">IFERROR(_xlfn.STDEV.S(IF((ContinuousStatsTable[GroupByKey]=ContinuousStatsTable[[#This Row],[GroupByKey]]),(ContinuousStatsTable[GroupByKey]=ContinuousStatsTable[[#This Row],[GroupByKey]])*ContinuousStatsTable[Average])),0)</f>
        <v>0</v>
      </c>
      <c r="Q82" s="5" cm="1">
        <f t="array" ref="Q82">MAX(IF((ProjectInfoTable[ProjectName]=ContinuousStatsTable[[#This Row],[ProjectName]]),(ProjectInfoTable[ProjectName]=ContinuousStatsTable[[#This Row],[ProjectName]])*ProjectInfoTable[ConfidenceInterval]))</f>
        <v>0.95</v>
      </c>
      <c r="R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2" s="5" cm="1">
        <f t="array" ref="S82">MIN(IF((ContinuousStatsTable[GroupByKey]=ContinuousStatsTable[[#This Row],[GroupByKey]]),(ContinuousStatsTable[GroupByKey]=ContinuousStatsTable[[#This Row],[GroupByKey]])*ContinuousStatsTable[Average]))</f>
        <v>0</v>
      </c>
      <c r="T82" s="5" cm="1">
        <f t="array" ref="T82">MAX(IF((ContinuousStatsTable[GroupByKey]=ContinuousStatsTable[[#This Row],[GroupByKey]]),(ContinuousStatsTable[GroupByKey]=ContinuousStatsTable[[#This Row],[GroupByKey]])*ContinuousStatsTable[Average]))</f>
        <v>0</v>
      </c>
      <c r="U82" s="5">
        <f>IF((ContinuousStatsTable[[#This Row],[RepsRequested]]&gt;1),ContinuousStatsTable[[#This Row],[HalfWidth]],ContinuousStatsTable[[#This Row],[BatchMeansHalfWidth]])</f>
        <v>0</v>
      </c>
    </row>
    <row r="83" spans="1:21" x14ac:dyDescent="0.4">
      <c r="A83" t="s">
        <v>66</v>
      </c>
      <c r="B83" t="s">
        <v>69</v>
      </c>
      <c r="C83">
        <v>4</v>
      </c>
      <c r="D83" t="s">
        <v>82</v>
      </c>
      <c r="E83" t="s">
        <v>94</v>
      </c>
      <c r="F83" t="s">
        <v>80</v>
      </c>
      <c r="G83">
        <v>0</v>
      </c>
      <c r="H83">
        <v>2E+20</v>
      </c>
      <c r="I83">
        <v>0</v>
      </c>
      <c r="J83">
        <v>0</v>
      </c>
      <c r="K83">
        <v>0</v>
      </c>
      <c r="L83">
        <v>0</v>
      </c>
      <c r="M83" s="5" t="str">
        <f>ContinuousStatsTable[[#This Row],[ProjectName]]&amp;ContinuousStatsTable[[#This Row],[Name]]&amp;ContinuousStatsTable[[#This Row],[Type]]&amp;ContinuousStatsTable[[#This Row],[Source]]</f>
        <v>Unnamed ProjectHold M3.QueueNumber WaitingQueue</v>
      </c>
      <c r="N83" s="5" cm="1">
        <f t="array" ref="N83">MAX(IF((ProjectInfoTable[ProjectName]=ContinuousStatsTable[[#This Row],[ProjectName]]),(ProjectInfoTable[ProjectName]=ContinuousStatsTable[[#This Row],[ProjectName]])*ProjectInfoTable[NumberOfReplications]))</f>
        <v>10</v>
      </c>
      <c r="O83" s="5" cm="1">
        <f t="array" ref="O83">IFERROR(AVERAGE(IF((ContinuousStatsTable[GroupByKey]=ContinuousStatsTable[[#This Row],[GroupByKey]]),(ContinuousStatsTable[GroupByKey]=ContinuousStatsTable[[#This Row],[GroupByKey]])*ContinuousStatsTable[Average])),0)</f>
        <v>0</v>
      </c>
      <c r="P83" s="5" cm="1">
        <f t="array" ref="P83">IFERROR(_xlfn.STDEV.S(IF((ContinuousStatsTable[GroupByKey]=ContinuousStatsTable[[#This Row],[GroupByKey]]),(ContinuousStatsTable[GroupByKey]=ContinuousStatsTable[[#This Row],[GroupByKey]])*ContinuousStatsTable[Average])),0)</f>
        <v>0</v>
      </c>
      <c r="Q83" s="5" cm="1">
        <f t="array" ref="Q83">MAX(IF((ProjectInfoTable[ProjectName]=ContinuousStatsTable[[#This Row],[ProjectName]]),(ProjectInfoTable[ProjectName]=ContinuousStatsTable[[#This Row],[ProjectName]])*ProjectInfoTable[ConfidenceInterval]))</f>
        <v>0.95</v>
      </c>
      <c r="R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3" s="5" cm="1">
        <f t="array" ref="S83">MIN(IF((ContinuousStatsTable[GroupByKey]=ContinuousStatsTable[[#This Row],[GroupByKey]]),(ContinuousStatsTable[GroupByKey]=ContinuousStatsTable[[#This Row],[GroupByKey]])*ContinuousStatsTable[Average]))</f>
        <v>0</v>
      </c>
      <c r="T83" s="5" cm="1">
        <f t="array" ref="T83">MAX(IF((ContinuousStatsTable[GroupByKey]=ContinuousStatsTable[[#This Row],[GroupByKey]]),(ContinuousStatsTable[GroupByKey]=ContinuousStatsTable[[#This Row],[GroupByKey]])*ContinuousStatsTable[Average]))</f>
        <v>0</v>
      </c>
      <c r="U83" s="5">
        <f>IF((ContinuousStatsTable[[#This Row],[RepsRequested]]&gt;1),ContinuousStatsTable[[#This Row],[HalfWidth]],ContinuousStatsTable[[#This Row],[BatchMeansHalfWidth]])</f>
        <v>0</v>
      </c>
    </row>
    <row r="84" spans="1:21" x14ac:dyDescent="0.4">
      <c r="A84" t="s">
        <v>66</v>
      </c>
      <c r="B84" t="s">
        <v>69</v>
      </c>
      <c r="C84">
        <v>4</v>
      </c>
      <c r="D84" t="s">
        <v>83</v>
      </c>
      <c r="E84" t="s">
        <v>94</v>
      </c>
      <c r="F84" t="s">
        <v>80</v>
      </c>
      <c r="G84">
        <v>0</v>
      </c>
      <c r="H84">
        <v>2E+20</v>
      </c>
      <c r="I84">
        <v>0</v>
      </c>
      <c r="J84">
        <v>0</v>
      </c>
      <c r="K84">
        <v>0</v>
      </c>
      <c r="L84">
        <v>0</v>
      </c>
      <c r="M84" s="5" t="str">
        <f>ContinuousStatsTable[[#This Row],[ProjectName]]&amp;ContinuousStatsTable[[#This Row],[Name]]&amp;ContinuousStatsTable[[#This Row],[Type]]&amp;ContinuousStatsTable[[#This Row],[Source]]</f>
        <v>Unnamed ProjectHold M4.QueueNumber WaitingQueue</v>
      </c>
      <c r="N84" s="5" cm="1">
        <f t="array" ref="N84">MAX(IF((ProjectInfoTable[ProjectName]=ContinuousStatsTable[[#This Row],[ProjectName]]),(ProjectInfoTable[ProjectName]=ContinuousStatsTable[[#This Row],[ProjectName]])*ProjectInfoTable[NumberOfReplications]))</f>
        <v>10</v>
      </c>
      <c r="O84" s="5" cm="1">
        <f t="array" ref="O84">IFERROR(AVERAGE(IF((ContinuousStatsTable[GroupByKey]=ContinuousStatsTable[[#This Row],[GroupByKey]]),(ContinuousStatsTable[GroupByKey]=ContinuousStatsTable[[#This Row],[GroupByKey]])*ContinuousStatsTable[Average])),0)</f>
        <v>0</v>
      </c>
      <c r="P84" s="5" cm="1">
        <f t="array" ref="P84">IFERROR(_xlfn.STDEV.S(IF((ContinuousStatsTable[GroupByKey]=ContinuousStatsTable[[#This Row],[GroupByKey]]),(ContinuousStatsTable[GroupByKey]=ContinuousStatsTable[[#This Row],[GroupByKey]])*ContinuousStatsTable[Average])),0)</f>
        <v>0</v>
      </c>
      <c r="Q84" s="5" cm="1">
        <f t="array" ref="Q84">MAX(IF((ProjectInfoTable[ProjectName]=ContinuousStatsTable[[#This Row],[ProjectName]]),(ProjectInfoTable[ProjectName]=ContinuousStatsTable[[#This Row],[ProjectName]])*ProjectInfoTable[ConfidenceInterval]))</f>
        <v>0.95</v>
      </c>
      <c r="R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4" s="5" cm="1">
        <f t="array" ref="S84">MIN(IF((ContinuousStatsTable[GroupByKey]=ContinuousStatsTable[[#This Row],[GroupByKey]]),(ContinuousStatsTable[GroupByKey]=ContinuousStatsTable[[#This Row],[GroupByKey]])*ContinuousStatsTable[Average]))</f>
        <v>0</v>
      </c>
      <c r="T84" s="5" cm="1">
        <f t="array" ref="T84">MAX(IF((ContinuousStatsTable[GroupByKey]=ContinuousStatsTable[[#This Row],[GroupByKey]]),(ContinuousStatsTable[GroupByKey]=ContinuousStatsTable[[#This Row],[GroupByKey]])*ContinuousStatsTable[Average]))</f>
        <v>0</v>
      </c>
      <c r="U84" s="5">
        <f>IF((ContinuousStatsTable[[#This Row],[RepsRequested]]&gt;1),ContinuousStatsTable[[#This Row],[HalfWidth]],ContinuousStatsTable[[#This Row],[BatchMeansHalfWidth]])</f>
        <v>0</v>
      </c>
    </row>
    <row r="85" spans="1:21" x14ac:dyDescent="0.4">
      <c r="A85" t="s">
        <v>66</v>
      </c>
      <c r="B85" t="s">
        <v>69</v>
      </c>
      <c r="C85">
        <v>4</v>
      </c>
      <c r="D85" t="s">
        <v>84</v>
      </c>
      <c r="E85" t="s">
        <v>94</v>
      </c>
      <c r="F85" t="s">
        <v>80</v>
      </c>
      <c r="G85">
        <v>0</v>
      </c>
      <c r="H85">
        <v>2E+20</v>
      </c>
      <c r="I85">
        <v>0</v>
      </c>
      <c r="J85">
        <v>0</v>
      </c>
      <c r="K85">
        <v>0</v>
      </c>
      <c r="L85">
        <v>0</v>
      </c>
      <c r="M85" s="5" t="str">
        <f>ContinuousStatsTable[[#This Row],[ProjectName]]&amp;ContinuousStatsTable[[#This Row],[Name]]&amp;ContinuousStatsTable[[#This Row],[Type]]&amp;ContinuousStatsTable[[#This Row],[Source]]</f>
        <v>Unnamed ProjectHold M5.QueueNumber WaitingQueue</v>
      </c>
      <c r="N85" s="5" cm="1">
        <f t="array" ref="N85">MAX(IF((ProjectInfoTable[ProjectName]=ContinuousStatsTable[[#This Row],[ProjectName]]),(ProjectInfoTable[ProjectName]=ContinuousStatsTable[[#This Row],[ProjectName]])*ProjectInfoTable[NumberOfReplications]))</f>
        <v>10</v>
      </c>
      <c r="O85" s="5" cm="1">
        <f t="array" ref="O85">IFERROR(AVERAGE(IF((ContinuousStatsTable[GroupByKey]=ContinuousStatsTable[[#This Row],[GroupByKey]]),(ContinuousStatsTable[GroupByKey]=ContinuousStatsTable[[#This Row],[GroupByKey]])*ContinuousStatsTable[Average])),0)</f>
        <v>0</v>
      </c>
      <c r="P85" s="5" cm="1">
        <f t="array" ref="P85">IFERROR(_xlfn.STDEV.S(IF((ContinuousStatsTable[GroupByKey]=ContinuousStatsTable[[#This Row],[GroupByKey]]),(ContinuousStatsTable[GroupByKey]=ContinuousStatsTable[[#This Row],[GroupByKey]])*ContinuousStatsTable[Average])),0)</f>
        <v>0</v>
      </c>
      <c r="Q85" s="5" cm="1">
        <f t="array" ref="Q85">MAX(IF((ProjectInfoTable[ProjectName]=ContinuousStatsTable[[#This Row],[ProjectName]]),(ProjectInfoTable[ProjectName]=ContinuousStatsTable[[#This Row],[ProjectName]])*ProjectInfoTable[ConfidenceInterval]))</f>
        <v>0.95</v>
      </c>
      <c r="R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5" s="5" cm="1">
        <f t="array" ref="S85">MIN(IF((ContinuousStatsTable[GroupByKey]=ContinuousStatsTable[[#This Row],[GroupByKey]]),(ContinuousStatsTable[GroupByKey]=ContinuousStatsTable[[#This Row],[GroupByKey]])*ContinuousStatsTable[Average]))</f>
        <v>0</v>
      </c>
      <c r="T85" s="5" cm="1">
        <f t="array" ref="T85">MAX(IF((ContinuousStatsTable[GroupByKey]=ContinuousStatsTable[[#This Row],[GroupByKey]]),(ContinuousStatsTable[GroupByKey]=ContinuousStatsTable[[#This Row],[GroupByKey]])*ContinuousStatsTable[Average]))</f>
        <v>0</v>
      </c>
      <c r="U85" s="5">
        <f>IF((ContinuousStatsTable[[#This Row],[RepsRequested]]&gt;1),ContinuousStatsTable[[#This Row],[HalfWidth]],ContinuousStatsTable[[#This Row],[BatchMeansHalfWidth]])</f>
        <v>0</v>
      </c>
    </row>
    <row r="86" spans="1:21" x14ac:dyDescent="0.4">
      <c r="A86" t="s">
        <v>66</v>
      </c>
      <c r="B86" t="s">
        <v>69</v>
      </c>
      <c r="C86">
        <v>4</v>
      </c>
      <c r="D86" t="s">
        <v>95</v>
      </c>
      <c r="E86" t="s">
        <v>96</v>
      </c>
      <c r="F86" t="s">
        <v>97</v>
      </c>
      <c r="G86">
        <v>0.34358290173219702</v>
      </c>
      <c r="H86">
        <v>2E+20</v>
      </c>
      <c r="I86">
        <v>0</v>
      </c>
      <c r="J86">
        <v>1</v>
      </c>
      <c r="K86">
        <v>0</v>
      </c>
      <c r="L86">
        <v>0</v>
      </c>
      <c r="M86" s="5" t="str">
        <f>ContinuousStatsTable[[#This Row],[ProjectName]]&amp;ContinuousStatsTable[[#This Row],[Name]]&amp;ContinuousStatsTable[[#This Row],[Type]]&amp;ContinuousStatsTable[[#This Row],[Source]]</f>
        <v>Unnamed ProjectM1Instantaneous UtilizationResource</v>
      </c>
      <c r="N86" s="5" cm="1">
        <f t="array" ref="N86">MAX(IF((ProjectInfoTable[ProjectName]=ContinuousStatsTable[[#This Row],[ProjectName]]),(ProjectInfoTable[ProjectName]=ContinuousStatsTable[[#This Row],[ProjectName]])*ProjectInfoTable[NumberOfReplications]))</f>
        <v>10</v>
      </c>
      <c r="O86" s="5" cm="1">
        <f t="array" ref="O86">IFERROR(AVERAGE(IF((ContinuousStatsTable[GroupByKey]=ContinuousStatsTable[[#This Row],[GroupByKey]]),(ContinuousStatsTable[GroupByKey]=ContinuousStatsTable[[#This Row],[GroupByKey]])*ContinuousStatsTable[Average])),0)</f>
        <v>0.35418637725041224</v>
      </c>
      <c r="P86" s="5" cm="1">
        <f t="array" ref="P86">IFERROR(_xlfn.STDEV.S(IF((ContinuousStatsTable[GroupByKey]=ContinuousStatsTable[[#This Row],[GroupByKey]]),(ContinuousStatsTable[GroupByKey]=ContinuousStatsTable[[#This Row],[GroupByKey]])*ContinuousStatsTable[Average])),0)</f>
        <v>3.3453936231241439E-2</v>
      </c>
      <c r="Q86" s="5" cm="1">
        <f t="array" ref="Q86">MAX(IF((ProjectInfoTable[ProjectName]=ContinuousStatsTable[[#This Row],[ProjectName]]),(ProjectInfoTable[ProjectName]=ContinuousStatsTable[[#This Row],[ProjectName]])*ProjectInfoTable[ConfidenceInterval]))</f>
        <v>0.95</v>
      </c>
      <c r="R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2.3931504314920794E-2</v>
      </c>
      <c r="S86" s="5" cm="1">
        <f t="array" ref="S86">MIN(IF((ContinuousStatsTable[GroupByKey]=ContinuousStatsTable[[#This Row],[GroupByKey]]),(ContinuousStatsTable[GroupByKey]=ContinuousStatsTable[[#This Row],[GroupByKey]])*ContinuousStatsTable[Average]))</f>
        <v>0.29539806709730798</v>
      </c>
      <c r="T86" s="5" cm="1">
        <f t="array" ref="T86">MAX(IF((ContinuousStatsTable[GroupByKey]=ContinuousStatsTable[[#This Row],[GroupByKey]]),(ContinuousStatsTable[GroupByKey]=ContinuousStatsTable[[#This Row],[GroupByKey]])*ContinuousStatsTable[Average]))</f>
        <v>0.39865120046345498</v>
      </c>
      <c r="U86" s="5">
        <f>IF((ContinuousStatsTable[[#This Row],[RepsRequested]]&gt;1),ContinuousStatsTable[[#This Row],[HalfWidth]],ContinuousStatsTable[[#This Row],[BatchMeansHalfWidth]])</f>
        <v>2.3931504314920794E-2</v>
      </c>
    </row>
    <row r="87" spans="1:21" x14ac:dyDescent="0.4">
      <c r="A87" t="s">
        <v>66</v>
      </c>
      <c r="B87" t="s">
        <v>69</v>
      </c>
      <c r="C87">
        <v>4</v>
      </c>
      <c r="D87" t="s">
        <v>95</v>
      </c>
      <c r="E87" t="s">
        <v>98</v>
      </c>
      <c r="F87" t="s">
        <v>97</v>
      </c>
      <c r="G87">
        <v>0.68716580346439404</v>
      </c>
      <c r="H87">
        <v>2E+20</v>
      </c>
      <c r="I87">
        <v>0</v>
      </c>
      <c r="J87">
        <v>2</v>
      </c>
      <c r="K87">
        <v>0</v>
      </c>
      <c r="L87">
        <v>0</v>
      </c>
      <c r="M87" s="5" t="str">
        <f>ContinuousStatsTable[[#This Row],[ProjectName]]&amp;ContinuousStatsTable[[#This Row],[Name]]&amp;ContinuousStatsTable[[#This Row],[Type]]&amp;ContinuousStatsTable[[#This Row],[Source]]</f>
        <v>Unnamed ProjectM1Number BusyResource</v>
      </c>
      <c r="N87" s="5" cm="1">
        <f t="array" ref="N87">MAX(IF((ProjectInfoTable[ProjectName]=ContinuousStatsTable[[#This Row],[ProjectName]]),(ProjectInfoTable[ProjectName]=ContinuousStatsTable[[#This Row],[ProjectName]])*ProjectInfoTable[NumberOfReplications]))</f>
        <v>10</v>
      </c>
      <c r="O87" s="5" cm="1">
        <f t="array" ref="O87">IFERROR(AVERAGE(IF((ContinuousStatsTable[GroupByKey]=ContinuousStatsTable[[#This Row],[GroupByKey]]),(ContinuousStatsTable[GroupByKey]=ContinuousStatsTable[[#This Row],[GroupByKey]])*ContinuousStatsTable[Average])),0)</f>
        <v>0.70837275450082438</v>
      </c>
      <c r="P87" s="5" cm="1">
        <f t="array" ref="P87">IFERROR(_xlfn.STDEV.S(IF((ContinuousStatsTable[GroupByKey]=ContinuousStatsTable[[#This Row],[GroupByKey]]),(ContinuousStatsTable[GroupByKey]=ContinuousStatsTable[[#This Row],[GroupByKey]])*ContinuousStatsTable[Average])),0)</f>
        <v>6.6907872462483045E-2</v>
      </c>
      <c r="Q87" s="5" cm="1">
        <f t="array" ref="Q87">MAX(IF((ProjectInfoTable[ProjectName]=ContinuousStatsTable[[#This Row],[ProjectName]]),(ProjectInfoTable[ProjectName]=ContinuousStatsTable[[#This Row],[ProjectName]])*ProjectInfoTable[ConfidenceInterval]))</f>
        <v>0.95</v>
      </c>
      <c r="R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4.7863008629841705E-2</v>
      </c>
      <c r="S87" s="5" cm="1">
        <f t="array" ref="S87">MIN(IF((ContinuousStatsTable[GroupByKey]=ContinuousStatsTable[[#This Row],[GroupByKey]]),(ContinuousStatsTable[GroupByKey]=ContinuousStatsTable[[#This Row],[GroupByKey]])*ContinuousStatsTable[Average]))</f>
        <v>0.59079613419461596</v>
      </c>
      <c r="T87" s="5" cm="1">
        <f t="array" ref="T87">MAX(IF((ContinuousStatsTable[GroupByKey]=ContinuousStatsTable[[#This Row],[GroupByKey]]),(ContinuousStatsTable[GroupByKey]=ContinuousStatsTable[[#This Row],[GroupByKey]])*ContinuousStatsTable[Average]))</f>
        <v>0.79730240092691096</v>
      </c>
      <c r="U87" s="5">
        <f>IF((ContinuousStatsTable[[#This Row],[RepsRequested]]&gt;1),ContinuousStatsTable[[#This Row],[HalfWidth]],ContinuousStatsTable[[#This Row],[BatchMeansHalfWidth]])</f>
        <v>4.7863008629841705E-2</v>
      </c>
    </row>
    <row r="88" spans="1:21" x14ac:dyDescent="0.4">
      <c r="A88" t="s">
        <v>66</v>
      </c>
      <c r="B88" t="s">
        <v>69</v>
      </c>
      <c r="C88">
        <v>4</v>
      </c>
      <c r="D88" t="s">
        <v>95</v>
      </c>
      <c r="E88" t="s">
        <v>99</v>
      </c>
      <c r="F88" t="s">
        <v>97</v>
      </c>
      <c r="G88">
        <v>2</v>
      </c>
      <c r="H88">
        <v>2E+20</v>
      </c>
      <c r="I88">
        <v>2</v>
      </c>
      <c r="J88">
        <v>2</v>
      </c>
      <c r="K88">
        <v>2</v>
      </c>
      <c r="L88">
        <v>0</v>
      </c>
      <c r="M88" s="5" t="str">
        <f>ContinuousStatsTable[[#This Row],[ProjectName]]&amp;ContinuousStatsTable[[#This Row],[Name]]&amp;ContinuousStatsTable[[#This Row],[Type]]&amp;ContinuousStatsTable[[#This Row],[Source]]</f>
        <v>Unnamed ProjectM1Number ScheduledResource</v>
      </c>
      <c r="N88" s="5" cm="1">
        <f t="array" ref="N88">MAX(IF((ProjectInfoTable[ProjectName]=ContinuousStatsTable[[#This Row],[ProjectName]]),(ProjectInfoTable[ProjectName]=ContinuousStatsTable[[#This Row],[ProjectName]])*ProjectInfoTable[NumberOfReplications]))</f>
        <v>10</v>
      </c>
      <c r="O88" s="5" cm="1">
        <f t="array" ref="O88">IFERROR(AVERAGE(IF((ContinuousStatsTable[GroupByKey]=ContinuousStatsTable[[#This Row],[GroupByKey]]),(ContinuousStatsTable[GroupByKey]=ContinuousStatsTable[[#This Row],[GroupByKey]])*ContinuousStatsTable[Average])),0)</f>
        <v>2</v>
      </c>
      <c r="P88" s="5" cm="1">
        <f t="array" ref="P88">IFERROR(_xlfn.STDEV.S(IF((ContinuousStatsTable[GroupByKey]=ContinuousStatsTable[[#This Row],[GroupByKey]]),(ContinuousStatsTable[GroupByKey]=ContinuousStatsTable[[#This Row],[GroupByKey]])*ContinuousStatsTable[Average])),0)</f>
        <v>0</v>
      </c>
      <c r="Q88" s="5" cm="1">
        <f t="array" ref="Q88">MAX(IF((ProjectInfoTable[ProjectName]=ContinuousStatsTable[[#This Row],[ProjectName]]),(ProjectInfoTable[ProjectName]=ContinuousStatsTable[[#This Row],[ProjectName]])*ProjectInfoTable[ConfidenceInterval]))</f>
        <v>0.95</v>
      </c>
      <c r="R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8" s="5" cm="1">
        <f t="array" ref="S88">MIN(IF((ContinuousStatsTable[GroupByKey]=ContinuousStatsTable[[#This Row],[GroupByKey]]),(ContinuousStatsTable[GroupByKey]=ContinuousStatsTable[[#This Row],[GroupByKey]])*ContinuousStatsTable[Average]))</f>
        <v>2</v>
      </c>
      <c r="T88" s="5" cm="1">
        <f t="array" ref="T88">MAX(IF((ContinuousStatsTable[GroupByKey]=ContinuousStatsTable[[#This Row],[GroupByKey]]),(ContinuousStatsTable[GroupByKey]=ContinuousStatsTable[[#This Row],[GroupByKey]])*ContinuousStatsTable[Average]))</f>
        <v>2</v>
      </c>
      <c r="U88" s="5">
        <f>IF((ContinuousStatsTable[[#This Row],[RepsRequested]]&gt;1),ContinuousStatsTable[[#This Row],[HalfWidth]],ContinuousStatsTable[[#This Row],[BatchMeansHalfWidth]])</f>
        <v>0</v>
      </c>
    </row>
    <row r="89" spans="1:21" x14ac:dyDescent="0.4">
      <c r="A89" t="s">
        <v>66</v>
      </c>
      <c r="B89" t="s">
        <v>69</v>
      </c>
      <c r="C89">
        <v>4</v>
      </c>
      <c r="D89" t="s">
        <v>85</v>
      </c>
      <c r="E89" t="s">
        <v>94</v>
      </c>
      <c r="F89" t="s">
        <v>80</v>
      </c>
      <c r="G89">
        <v>7.7447952154727107E-2</v>
      </c>
      <c r="H89">
        <v>2E+20</v>
      </c>
      <c r="I89">
        <v>0</v>
      </c>
      <c r="J89">
        <v>3</v>
      </c>
      <c r="K89">
        <v>0</v>
      </c>
      <c r="L89">
        <v>0</v>
      </c>
      <c r="M89" s="5" t="str">
        <f>ContinuousStatsTable[[#This Row],[ProjectName]]&amp;ContinuousStatsTable[[#This Row],[Name]]&amp;ContinuousStatsTable[[#This Row],[Type]]&amp;ContinuousStatsTable[[#This Row],[Source]]</f>
        <v>Unnamed ProjectM1.QNumber WaitingQueue</v>
      </c>
      <c r="N89" s="5" cm="1">
        <f t="array" ref="N89">MAX(IF((ProjectInfoTable[ProjectName]=ContinuousStatsTable[[#This Row],[ProjectName]]),(ProjectInfoTable[ProjectName]=ContinuousStatsTable[[#This Row],[ProjectName]])*ProjectInfoTable[NumberOfReplications]))</f>
        <v>10</v>
      </c>
      <c r="O89" s="5" cm="1">
        <f t="array" ref="O89">IFERROR(AVERAGE(IF((ContinuousStatsTable[GroupByKey]=ContinuousStatsTable[[#This Row],[GroupByKey]]),(ContinuousStatsTable[GroupByKey]=ContinuousStatsTable[[#This Row],[GroupByKey]])*ContinuousStatsTable[Average])),0)</f>
        <v>8.2638825969756052E-2</v>
      </c>
      <c r="P89" s="5" cm="1">
        <f t="array" ref="P89">IFERROR(_xlfn.STDEV.S(IF((ContinuousStatsTable[GroupByKey]=ContinuousStatsTable[[#This Row],[GroupByKey]]),(ContinuousStatsTable[GroupByKey]=ContinuousStatsTable[[#This Row],[GroupByKey]])*ContinuousStatsTable[Average])),0)</f>
        <v>2.9983492659856659E-2</v>
      </c>
      <c r="Q89" s="5" cm="1">
        <f t="array" ref="Q89">MAX(IF((ProjectInfoTable[ProjectName]=ContinuousStatsTable[[#This Row],[ProjectName]]),(ProjectInfoTable[ProjectName]=ContinuousStatsTable[[#This Row],[ProjectName]])*ProjectInfoTable[ConfidenceInterval]))</f>
        <v>0.95</v>
      </c>
      <c r="R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2.1448898539349195E-2</v>
      </c>
      <c r="S89" s="5" cm="1">
        <f t="array" ref="S89">MIN(IF((ContinuousStatsTable[GroupByKey]=ContinuousStatsTable[[#This Row],[GroupByKey]]),(ContinuousStatsTable[GroupByKey]=ContinuousStatsTable[[#This Row],[GroupByKey]])*ContinuousStatsTable[Average]))</f>
        <v>3.4990004496426703E-2</v>
      </c>
      <c r="T89" s="5" cm="1">
        <f t="array" ref="T89">MAX(IF((ContinuousStatsTable[GroupByKey]=ContinuousStatsTable[[#This Row],[GroupByKey]]),(ContinuousStatsTable[GroupByKey]=ContinuousStatsTable[[#This Row],[GroupByKey]])*ContinuousStatsTable[Average]))</f>
        <v>0.13146637852281401</v>
      </c>
      <c r="U89" s="5">
        <f>IF((ContinuousStatsTable[[#This Row],[RepsRequested]]&gt;1),ContinuousStatsTable[[#This Row],[HalfWidth]],ContinuousStatsTable[[#This Row],[BatchMeansHalfWidth]])</f>
        <v>2.1448898539349195E-2</v>
      </c>
    </row>
    <row r="90" spans="1:21" x14ac:dyDescent="0.4">
      <c r="A90" t="s">
        <v>66</v>
      </c>
      <c r="B90" t="s">
        <v>69</v>
      </c>
      <c r="C90">
        <v>4</v>
      </c>
      <c r="D90" t="s">
        <v>100</v>
      </c>
      <c r="E90" t="s">
        <v>96</v>
      </c>
      <c r="F90" t="s">
        <v>97</v>
      </c>
      <c r="G90">
        <v>0.92247891730008102</v>
      </c>
      <c r="H90">
        <v>2E+20</v>
      </c>
      <c r="I90">
        <v>0</v>
      </c>
      <c r="J90">
        <v>1</v>
      </c>
      <c r="K90">
        <v>0</v>
      </c>
      <c r="L90">
        <v>0</v>
      </c>
      <c r="M90" s="5" t="str">
        <f>ContinuousStatsTable[[#This Row],[ProjectName]]&amp;ContinuousStatsTable[[#This Row],[Name]]&amp;ContinuousStatsTable[[#This Row],[Type]]&amp;ContinuousStatsTable[[#This Row],[Source]]</f>
        <v>Unnamed ProjectM2Instantaneous UtilizationResource</v>
      </c>
      <c r="N90" s="5" cm="1">
        <f t="array" ref="N90">MAX(IF((ProjectInfoTable[ProjectName]=ContinuousStatsTable[[#This Row],[ProjectName]]),(ProjectInfoTable[ProjectName]=ContinuousStatsTable[[#This Row],[ProjectName]])*ProjectInfoTable[NumberOfReplications]))</f>
        <v>10</v>
      </c>
      <c r="O90" s="5" cm="1">
        <f t="array" ref="O90">IFERROR(AVERAGE(IF((ContinuousStatsTable[GroupByKey]=ContinuousStatsTable[[#This Row],[GroupByKey]]),(ContinuousStatsTable[GroupByKey]=ContinuousStatsTable[[#This Row],[GroupByKey]])*ContinuousStatsTable[Average])),0)</f>
        <v>0.79069410142096264</v>
      </c>
      <c r="P90" s="5" cm="1">
        <f t="array" ref="P90">IFERROR(_xlfn.STDEV.S(IF((ContinuousStatsTable[GroupByKey]=ContinuousStatsTable[[#This Row],[GroupByKey]]),(ContinuousStatsTable[GroupByKey]=ContinuousStatsTable[[#This Row],[GroupByKey]])*ContinuousStatsTable[Average])),0)</f>
        <v>8.4677985904895448E-2</v>
      </c>
      <c r="Q90" s="5" cm="1">
        <f t="array" ref="Q90">MAX(IF((ProjectInfoTable[ProjectName]=ContinuousStatsTable[[#This Row],[ProjectName]]),(ProjectInfoTable[ProjectName]=ContinuousStatsTable[[#This Row],[ProjectName]])*ProjectInfoTable[ConfidenceInterval]))</f>
        <v>0.95</v>
      </c>
      <c r="R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6.0574982000753563E-2</v>
      </c>
      <c r="S90" s="5" cm="1">
        <f t="array" ref="S90">MIN(IF((ContinuousStatsTable[GroupByKey]=ContinuousStatsTable[[#This Row],[GroupByKey]]),(ContinuousStatsTable[GroupByKey]=ContinuousStatsTable[[#This Row],[GroupByKey]])*ContinuousStatsTable[Average]))</f>
        <v>0.62412916158771403</v>
      </c>
      <c r="T90" s="5" cm="1">
        <f t="array" ref="T90">MAX(IF((ContinuousStatsTable[GroupByKey]=ContinuousStatsTable[[#This Row],[GroupByKey]]),(ContinuousStatsTable[GroupByKey]=ContinuousStatsTable[[#This Row],[GroupByKey]])*ContinuousStatsTable[Average]))</f>
        <v>0.92247891730008102</v>
      </c>
      <c r="U90" s="5">
        <f>IF((ContinuousStatsTable[[#This Row],[RepsRequested]]&gt;1),ContinuousStatsTable[[#This Row],[HalfWidth]],ContinuousStatsTable[[#This Row],[BatchMeansHalfWidth]])</f>
        <v>6.0574982000753563E-2</v>
      </c>
    </row>
    <row r="91" spans="1:21" x14ac:dyDescent="0.4">
      <c r="A91" t="s">
        <v>66</v>
      </c>
      <c r="B91" t="s">
        <v>69</v>
      </c>
      <c r="C91">
        <v>4</v>
      </c>
      <c r="D91" t="s">
        <v>100</v>
      </c>
      <c r="E91" t="s">
        <v>98</v>
      </c>
      <c r="F91" t="s">
        <v>97</v>
      </c>
      <c r="G91">
        <v>0.92247891730008102</v>
      </c>
      <c r="H91">
        <v>2E+20</v>
      </c>
      <c r="I91">
        <v>0</v>
      </c>
      <c r="J91">
        <v>1</v>
      </c>
      <c r="K91">
        <v>0</v>
      </c>
      <c r="L91">
        <v>0</v>
      </c>
      <c r="M91" s="5" t="str">
        <f>ContinuousStatsTable[[#This Row],[ProjectName]]&amp;ContinuousStatsTable[[#This Row],[Name]]&amp;ContinuousStatsTable[[#This Row],[Type]]&amp;ContinuousStatsTable[[#This Row],[Source]]</f>
        <v>Unnamed ProjectM2Number BusyResource</v>
      </c>
      <c r="N91" s="5" cm="1">
        <f t="array" ref="N91">MAX(IF((ProjectInfoTable[ProjectName]=ContinuousStatsTable[[#This Row],[ProjectName]]),(ProjectInfoTable[ProjectName]=ContinuousStatsTable[[#This Row],[ProjectName]])*ProjectInfoTable[NumberOfReplications]))</f>
        <v>10</v>
      </c>
      <c r="O91" s="5" cm="1">
        <f t="array" ref="O91">IFERROR(AVERAGE(IF((ContinuousStatsTable[GroupByKey]=ContinuousStatsTable[[#This Row],[GroupByKey]]),(ContinuousStatsTable[GroupByKey]=ContinuousStatsTable[[#This Row],[GroupByKey]])*ContinuousStatsTable[Average])),0)</f>
        <v>0.79069410142096264</v>
      </c>
      <c r="P91" s="5" cm="1">
        <f t="array" ref="P91">IFERROR(_xlfn.STDEV.S(IF((ContinuousStatsTable[GroupByKey]=ContinuousStatsTable[[#This Row],[GroupByKey]]),(ContinuousStatsTable[GroupByKey]=ContinuousStatsTable[[#This Row],[GroupByKey]])*ContinuousStatsTable[Average])),0)</f>
        <v>8.4677985904895448E-2</v>
      </c>
      <c r="Q91" s="5" cm="1">
        <f t="array" ref="Q91">MAX(IF((ProjectInfoTable[ProjectName]=ContinuousStatsTable[[#This Row],[ProjectName]]),(ProjectInfoTable[ProjectName]=ContinuousStatsTable[[#This Row],[ProjectName]])*ProjectInfoTable[ConfidenceInterval]))</f>
        <v>0.95</v>
      </c>
      <c r="R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6.0574982000753563E-2</v>
      </c>
      <c r="S91" s="5" cm="1">
        <f t="array" ref="S91">MIN(IF((ContinuousStatsTable[GroupByKey]=ContinuousStatsTable[[#This Row],[GroupByKey]]),(ContinuousStatsTable[GroupByKey]=ContinuousStatsTable[[#This Row],[GroupByKey]])*ContinuousStatsTable[Average]))</f>
        <v>0.62412916158771403</v>
      </c>
      <c r="T91" s="5" cm="1">
        <f t="array" ref="T91">MAX(IF((ContinuousStatsTable[GroupByKey]=ContinuousStatsTable[[#This Row],[GroupByKey]]),(ContinuousStatsTable[GroupByKey]=ContinuousStatsTable[[#This Row],[GroupByKey]])*ContinuousStatsTable[Average]))</f>
        <v>0.92247891730008102</v>
      </c>
      <c r="U91" s="5">
        <f>IF((ContinuousStatsTable[[#This Row],[RepsRequested]]&gt;1),ContinuousStatsTable[[#This Row],[HalfWidth]],ContinuousStatsTable[[#This Row],[BatchMeansHalfWidth]])</f>
        <v>6.0574982000753563E-2</v>
      </c>
    </row>
    <row r="92" spans="1:21" x14ac:dyDescent="0.4">
      <c r="A92" t="s">
        <v>66</v>
      </c>
      <c r="B92" t="s">
        <v>69</v>
      </c>
      <c r="C92">
        <v>4</v>
      </c>
      <c r="D92" t="s">
        <v>100</v>
      </c>
      <c r="E92" t="s">
        <v>99</v>
      </c>
      <c r="F92" t="s">
        <v>97</v>
      </c>
      <c r="G92">
        <v>1</v>
      </c>
      <c r="H92">
        <v>2E+20</v>
      </c>
      <c r="I92">
        <v>1</v>
      </c>
      <c r="J92">
        <v>1</v>
      </c>
      <c r="K92">
        <v>1</v>
      </c>
      <c r="L92">
        <v>0</v>
      </c>
      <c r="M92" s="5" t="str">
        <f>ContinuousStatsTable[[#This Row],[ProjectName]]&amp;ContinuousStatsTable[[#This Row],[Name]]&amp;ContinuousStatsTable[[#This Row],[Type]]&amp;ContinuousStatsTable[[#This Row],[Source]]</f>
        <v>Unnamed ProjectM2Number ScheduledResource</v>
      </c>
      <c r="N92" s="5" cm="1">
        <f t="array" ref="N92">MAX(IF((ProjectInfoTable[ProjectName]=ContinuousStatsTable[[#This Row],[ProjectName]]),(ProjectInfoTable[ProjectName]=ContinuousStatsTable[[#This Row],[ProjectName]])*ProjectInfoTable[NumberOfReplications]))</f>
        <v>10</v>
      </c>
      <c r="O92" s="5" cm="1">
        <f t="array" ref="O92">IFERROR(AVERAGE(IF((ContinuousStatsTable[GroupByKey]=ContinuousStatsTable[[#This Row],[GroupByKey]]),(ContinuousStatsTable[GroupByKey]=ContinuousStatsTable[[#This Row],[GroupByKey]])*ContinuousStatsTable[Average])),0)</f>
        <v>1</v>
      </c>
      <c r="P92" s="5" cm="1">
        <f t="array" ref="P92">IFERROR(_xlfn.STDEV.S(IF((ContinuousStatsTable[GroupByKey]=ContinuousStatsTable[[#This Row],[GroupByKey]]),(ContinuousStatsTable[GroupByKey]=ContinuousStatsTable[[#This Row],[GroupByKey]])*ContinuousStatsTable[Average])),0)</f>
        <v>0</v>
      </c>
      <c r="Q92" s="5" cm="1">
        <f t="array" ref="Q92">MAX(IF((ProjectInfoTable[ProjectName]=ContinuousStatsTable[[#This Row],[ProjectName]]),(ProjectInfoTable[ProjectName]=ContinuousStatsTable[[#This Row],[ProjectName]])*ProjectInfoTable[ConfidenceInterval]))</f>
        <v>0.95</v>
      </c>
      <c r="R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2" s="5" cm="1">
        <f t="array" ref="S92">MIN(IF((ContinuousStatsTable[GroupByKey]=ContinuousStatsTable[[#This Row],[GroupByKey]]),(ContinuousStatsTable[GroupByKey]=ContinuousStatsTable[[#This Row],[GroupByKey]])*ContinuousStatsTable[Average]))</f>
        <v>1</v>
      </c>
      <c r="T92" s="5" cm="1">
        <f t="array" ref="T92">MAX(IF((ContinuousStatsTable[GroupByKey]=ContinuousStatsTable[[#This Row],[GroupByKey]]),(ContinuousStatsTable[GroupByKey]=ContinuousStatsTable[[#This Row],[GroupByKey]])*ContinuousStatsTable[Average]))</f>
        <v>1</v>
      </c>
      <c r="U92" s="5">
        <f>IF((ContinuousStatsTable[[#This Row],[RepsRequested]]&gt;1),ContinuousStatsTable[[#This Row],[HalfWidth]],ContinuousStatsTable[[#This Row],[BatchMeansHalfWidth]])</f>
        <v>0</v>
      </c>
    </row>
    <row r="93" spans="1:21" x14ac:dyDescent="0.4">
      <c r="A93" t="s">
        <v>66</v>
      </c>
      <c r="B93" t="s">
        <v>69</v>
      </c>
      <c r="C93">
        <v>4</v>
      </c>
      <c r="D93" t="s">
        <v>86</v>
      </c>
      <c r="E93" t="s">
        <v>94</v>
      </c>
      <c r="F93" t="s">
        <v>80</v>
      </c>
      <c r="G93">
        <v>2.5280485046261498</v>
      </c>
      <c r="H93">
        <v>2E+20</v>
      </c>
      <c r="I93">
        <v>0</v>
      </c>
      <c r="J93">
        <v>8</v>
      </c>
      <c r="K93">
        <v>0</v>
      </c>
      <c r="L93">
        <v>0</v>
      </c>
      <c r="M93" s="5" t="str">
        <f>ContinuousStatsTable[[#This Row],[ProjectName]]&amp;ContinuousStatsTable[[#This Row],[Name]]&amp;ContinuousStatsTable[[#This Row],[Type]]&amp;ContinuousStatsTable[[#This Row],[Source]]</f>
        <v>Unnamed ProjectM2.QNumber WaitingQueue</v>
      </c>
      <c r="N93" s="5" cm="1">
        <f t="array" ref="N93">MAX(IF((ProjectInfoTable[ProjectName]=ContinuousStatsTable[[#This Row],[ProjectName]]),(ProjectInfoTable[ProjectName]=ContinuousStatsTable[[#This Row],[ProjectName]])*ProjectInfoTable[NumberOfReplications]))</f>
        <v>10</v>
      </c>
      <c r="O93" s="5" cm="1">
        <f t="array" ref="O93">IFERROR(AVERAGE(IF((ContinuousStatsTable[GroupByKey]=ContinuousStatsTable[[#This Row],[GroupByKey]]),(ContinuousStatsTable[GroupByKey]=ContinuousStatsTable[[#This Row],[GroupByKey]])*ContinuousStatsTable[Average])),0)</f>
        <v>1.9414248775037748</v>
      </c>
      <c r="P93" s="5" cm="1">
        <f t="array" ref="P93">IFERROR(_xlfn.STDEV.S(IF((ContinuousStatsTable[GroupByKey]=ContinuousStatsTable[[#This Row],[GroupByKey]]),(ContinuousStatsTable[GroupByKey]=ContinuousStatsTable[[#This Row],[GroupByKey]])*ContinuousStatsTable[Average])),0)</f>
        <v>1.0999712931753487</v>
      </c>
      <c r="Q93" s="5" cm="1">
        <f t="array" ref="Q93">MAX(IF((ProjectInfoTable[ProjectName]=ContinuousStatsTable[[#This Row],[ProjectName]]),(ProjectInfoTable[ProjectName]=ContinuousStatsTable[[#This Row],[ProjectName]])*ProjectInfoTable[ConfidenceInterval]))</f>
        <v>0.95</v>
      </c>
      <c r="R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0.78687206094246831</v>
      </c>
      <c r="S93" s="5" cm="1">
        <f t="array" ref="S93">MIN(IF((ContinuousStatsTable[GroupByKey]=ContinuousStatsTable[[#This Row],[GroupByKey]]),(ContinuousStatsTable[GroupByKey]=ContinuousStatsTable[[#This Row],[GroupByKey]])*ContinuousStatsTable[Average]))</f>
        <v>0.64368437614034602</v>
      </c>
      <c r="T93" s="5" cm="1">
        <f t="array" ref="T93">MAX(IF((ContinuousStatsTable[GroupByKey]=ContinuousStatsTable[[#This Row],[GroupByKey]]),(ContinuousStatsTable[GroupByKey]=ContinuousStatsTable[[#This Row],[GroupByKey]])*ContinuousStatsTable[Average]))</f>
        <v>3.96038812902029</v>
      </c>
      <c r="U93" s="5">
        <f>IF((ContinuousStatsTable[[#This Row],[RepsRequested]]&gt;1),ContinuousStatsTable[[#This Row],[HalfWidth]],ContinuousStatsTable[[#This Row],[BatchMeansHalfWidth]])</f>
        <v>0.78687206094246831</v>
      </c>
    </row>
    <row r="94" spans="1:21" x14ac:dyDescent="0.4">
      <c r="A94" t="s">
        <v>66</v>
      </c>
      <c r="B94" t="s">
        <v>69</v>
      </c>
      <c r="C94">
        <v>4</v>
      </c>
      <c r="D94" t="s">
        <v>101</v>
      </c>
      <c r="E94" t="s">
        <v>96</v>
      </c>
      <c r="F94" t="s">
        <v>97</v>
      </c>
      <c r="G94">
        <v>0.42511230467838501</v>
      </c>
      <c r="H94">
        <v>3.9593484879993E-2</v>
      </c>
      <c r="I94">
        <v>0</v>
      </c>
      <c r="J94">
        <v>1</v>
      </c>
      <c r="K94">
        <v>1</v>
      </c>
      <c r="L94">
        <v>0</v>
      </c>
      <c r="M94" s="5" t="str">
        <f>ContinuousStatsTable[[#This Row],[ProjectName]]&amp;ContinuousStatsTable[[#This Row],[Name]]&amp;ContinuousStatsTable[[#This Row],[Type]]&amp;ContinuousStatsTable[[#This Row],[Source]]</f>
        <v>Unnamed ProjectM3Instantaneous UtilizationResource</v>
      </c>
      <c r="N94" s="5" cm="1">
        <f t="array" ref="N94">MAX(IF((ProjectInfoTable[ProjectName]=ContinuousStatsTable[[#This Row],[ProjectName]]),(ProjectInfoTable[ProjectName]=ContinuousStatsTable[[#This Row],[ProjectName]])*ProjectInfoTable[NumberOfReplications]))</f>
        <v>10</v>
      </c>
      <c r="O94" s="5" cm="1">
        <f t="array" ref="O94">IFERROR(AVERAGE(IF((ContinuousStatsTable[GroupByKey]=ContinuousStatsTable[[#This Row],[GroupByKey]]),(ContinuousStatsTable[GroupByKey]=ContinuousStatsTable[[#This Row],[GroupByKey]])*ContinuousStatsTable[Average])),0)</f>
        <v>0.38204498745219106</v>
      </c>
      <c r="P94" s="5" cm="1">
        <f t="array" ref="P94">IFERROR(_xlfn.STDEV.S(IF((ContinuousStatsTable[GroupByKey]=ContinuousStatsTable[[#This Row],[GroupByKey]]),(ContinuousStatsTable[GroupByKey]=ContinuousStatsTable[[#This Row],[GroupByKey]])*ContinuousStatsTable[Average])),0)</f>
        <v>2.9603647703352595E-2</v>
      </c>
      <c r="Q94" s="5" cm="1">
        <f t="array" ref="Q94">MAX(IF((ProjectInfoTable[ProjectName]=ContinuousStatsTable[[#This Row],[ProjectName]]),(ProjectInfoTable[ProjectName]=ContinuousStatsTable[[#This Row],[ProjectName]])*ProjectInfoTable[ConfidenceInterval]))</f>
        <v>0.95</v>
      </c>
      <c r="R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2.1177173826515884E-2</v>
      </c>
      <c r="S94" s="5" cm="1">
        <f t="array" ref="S94">MIN(IF((ContinuousStatsTable[GroupByKey]=ContinuousStatsTable[[#This Row],[GroupByKey]]),(ContinuousStatsTable[GroupByKey]=ContinuousStatsTable[[#This Row],[GroupByKey]])*ContinuousStatsTable[Average]))</f>
        <v>0.32566726436532201</v>
      </c>
      <c r="T94" s="5" cm="1">
        <f t="array" ref="T94">MAX(IF((ContinuousStatsTable[GroupByKey]=ContinuousStatsTable[[#This Row],[GroupByKey]]),(ContinuousStatsTable[GroupByKey]=ContinuousStatsTable[[#This Row],[GroupByKey]])*ContinuousStatsTable[Average]))</f>
        <v>0.42511230467838501</v>
      </c>
      <c r="U94" s="5">
        <f>IF((ContinuousStatsTable[[#This Row],[RepsRequested]]&gt;1),ContinuousStatsTable[[#This Row],[HalfWidth]],ContinuousStatsTable[[#This Row],[BatchMeansHalfWidth]])</f>
        <v>2.1177173826515884E-2</v>
      </c>
    </row>
    <row r="95" spans="1:21" x14ac:dyDescent="0.4">
      <c r="A95" t="s">
        <v>66</v>
      </c>
      <c r="B95" t="s">
        <v>69</v>
      </c>
      <c r="C95">
        <v>4</v>
      </c>
      <c r="D95" t="s">
        <v>101</v>
      </c>
      <c r="E95" t="s">
        <v>98</v>
      </c>
      <c r="F95" t="s">
        <v>97</v>
      </c>
      <c r="G95">
        <v>0.85022460935677002</v>
      </c>
      <c r="H95">
        <v>7.9186969759986001E-2</v>
      </c>
      <c r="I95">
        <v>0</v>
      </c>
      <c r="J95">
        <v>2</v>
      </c>
      <c r="K95">
        <v>2</v>
      </c>
      <c r="L95">
        <v>0</v>
      </c>
      <c r="M95" s="5" t="str">
        <f>ContinuousStatsTable[[#This Row],[ProjectName]]&amp;ContinuousStatsTable[[#This Row],[Name]]&amp;ContinuousStatsTable[[#This Row],[Type]]&amp;ContinuousStatsTable[[#This Row],[Source]]</f>
        <v>Unnamed ProjectM3Number BusyResource</v>
      </c>
      <c r="N95" s="5" cm="1">
        <f t="array" ref="N95">MAX(IF((ProjectInfoTable[ProjectName]=ContinuousStatsTable[[#This Row],[ProjectName]]),(ProjectInfoTable[ProjectName]=ContinuousStatsTable[[#This Row],[ProjectName]])*ProjectInfoTable[NumberOfReplications]))</f>
        <v>10</v>
      </c>
      <c r="O95" s="5" cm="1">
        <f t="array" ref="O95">IFERROR(AVERAGE(IF((ContinuousStatsTable[GroupByKey]=ContinuousStatsTable[[#This Row],[GroupByKey]]),(ContinuousStatsTable[GroupByKey]=ContinuousStatsTable[[#This Row],[GroupByKey]])*ContinuousStatsTable[Average])),0)</f>
        <v>0.76408997490438202</v>
      </c>
      <c r="P95" s="5" cm="1">
        <f t="array" ref="P95">IFERROR(_xlfn.STDEV.S(IF((ContinuousStatsTable[GroupByKey]=ContinuousStatsTable[[#This Row],[GroupByKey]]),(ContinuousStatsTable[GroupByKey]=ContinuousStatsTable[[#This Row],[GroupByKey]])*ContinuousStatsTable[Average])),0)</f>
        <v>5.9207295406705232E-2</v>
      </c>
      <c r="Q95" s="5" cm="1">
        <f t="array" ref="Q95">MAX(IF((ProjectInfoTable[ProjectName]=ContinuousStatsTable[[#This Row],[ProjectName]]),(ProjectInfoTable[ProjectName]=ContinuousStatsTable[[#This Row],[ProjectName]])*ProjectInfoTable[ConfidenceInterval]))</f>
        <v>0.95</v>
      </c>
      <c r="R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4.2354347653031796E-2</v>
      </c>
      <c r="S95" s="5" cm="1">
        <f t="array" ref="S95">MIN(IF((ContinuousStatsTable[GroupByKey]=ContinuousStatsTable[[#This Row],[GroupByKey]]),(ContinuousStatsTable[GroupByKey]=ContinuousStatsTable[[#This Row],[GroupByKey]])*ContinuousStatsTable[Average]))</f>
        <v>0.65133452873064301</v>
      </c>
      <c r="T95" s="5" cm="1">
        <f t="array" ref="T95">MAX(IF((ContinuousStatsTable[GroupByKey]=ContinuousStatsTable[[#This Row],[GroupByKey]]),(ContinuousStatsTable[GroupByKey]=ContinuousStatsTable[[#This Row],[GroupByKey]])*ContinuousStatsTable[Average]))</f>
        <v>0.85022460935677002</v>
      </c>
      <c r="U95" s="5">
        <f>IF((ContinuousStatsTable[[#This Row],[RepsRequested]]&gt;1),ContinuousStatsTable[[#This Row],[HalfWidth]],ContinuousStatsTable[[#This Row],[BatchMeansHalfWidth]])</f>
        <v>4.2354347653031796E-2</v>
      </c>
    </row>
    <row r="96" spans="1:21" x14ac:dyDescent="0.4">
      <c r="A96" t="s">
        <v>66</v>
      </c>
      <c r="B96" t="s">
        <v>69</v>
      </c>
      <c r="C96">
        <v>4</v>
      </c>
      <c r="D96" t="s">
        <v>101</v>
      </c>
      <c r="E96" t="s">
        <v>99</v>
      </c>
      <c r="F96" t="s">
        <v>97</v>
      </c>
      <c r="G96">
        <v>2</v>
      </c>
      <c r="H96">
        <v>2E+20</v>
      </c>
      <c r="I96">
        <v>2</v>
      </c>
      <c r="J96">
        <v>2</v>
      </c>
      <c r="K96">
        <v>2</v>
      </c>
      <c r="L96">
        <v>0</v>
      </c>
      <c r="M96" s="5" t="str">
        <f>ContinuousStatsTable[[#This Row],[ProjectName]]&amp;ContinuousStatsTable[[#This Row],[Name]]&amp;ContinuousStatsTable[[#This Row],[Type]]&amp;ContinuousStatsTable[[#This Row],[Source]]</f>
        <v>Unnamed ProjectM3Number ScheduledResource</v>
      </c>
      <c r="N96" s="5" cm="1">
        <f t="array" ref="N96">MAX(IF((ProjectInfoTable[ProjectName]=ContinuousStatsTable[[#This Row],[ProjectName]]),(ProjectInfoTable[ProjectName]=ContinuousStatsTable[[#This Row],[ProjectName]])*ProjectInfoTable[NumberOfReplications]))</f>
        <v>10</v>
      </c>
      <c r="O96" s="5" cm="1">
        <f t="array" ref="O96">IFERROR(AVERAGE(IF((ContinuousStatsTable[GroupByKey]=ContinuousStatsTable[[#This Row],[GroupByKey]]),(ContinuousStatsTable[GroupByKey]=ContinuousStatsTable[[#This Row],[GroupByKey]])*ContinuousStatsTable[Average])),0)</f>
        <v>2</v>
      </c>
      <c r="P96" s="5" cm="1">
        <f t="array" ref="P96">IFERROR(_xlfn.STDEV.S(IF((ContinuousStatsTable[GroupByKey]=ContinuousStatsTable[[#This Row],[GroupByKey]]),(ContinuousStatsTable[GroupByKey]=ContinuousStatsTable[[#This Row],[GroupByKey]])*ContinuousStatsTable[Average])),0)</f>
        <v>0</v>
      </c>
      <c r="Q96" s="5" cm="1">
        <f t="array" ref="Q96">MAX(IF((ProjectInfoTable[ProjectName]=ContinuousStatsTable[[#This Row],[ProjectName]]),(ProjectInfoTable[ProjectName]=ContinuousStatsTable[[#This Row],[ProjectName]])*ProjectInfoTable[ConfidenceInterval]))</f>
        <v>0.95</v>
      </c>
      <c r="R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6" s="5" cm="1">
        <f t="array" ref="S96">MIN(IF((ContinuousStatsTable[GroupByKey]=ContinuousStatsTable[[#This Row],[GroupByKey]]),(ContinuousStatsTable[GroupByKey]=ContinuousStatsTable[[#This Row],[GroupByKey]])*ContinuousStatsTable[Average]))</f>
        <v>2</v>
      </c>
      <c r="T96" s="5" cm="1">
        <f t="array" ref="T96">MAX(IF((ContinuousStatsTable[GroupByKey]=ContinuousStatsTable[[#This Row],[GroupByKey]]),(ContinuousStatsTable[GroupByKey]=ContinuousStatsTable[[#This Row],[GroupByKey]])*ContinuousStatsTable[Average]))</f>
        <v>2</v>
      </c>
      <c r="U96" s="5">
        <f>IF((ContinuousStatsTable[[#This Row],[RepsRequested]]&gt;1),ContinuousStatsTable[[#This Row],[HalfWidth]],ContinuousStatsTable[[#This Row],[BatchMeansHalfWidth]])</f>
        <v>0</v>
      </c>
    </row>
    <row r="97" spans="1:21" x14ac:dyDescent="0.4">
      <c r="A97" t="s">
        <v>66</v>
      </c>
      <c r="B97" t="s">
        <v>69</v>
      </c>
      <c r="C97">
        <v>4</v>
      </c>
      <c r="D97" t="s">
        <v>87</v>
      </c>
      <c r="E97" t="s">
        <v>94</v>
      </c>
      <c r="F97" t="s">
        <v>80</v>
      </c>
      <c r="G97">
        <v>2.5823409873283298E-2</v>
      </c>
      <c r="H97">
        <v>2E+20</v>
      </c>
      <c r="I97">
        <v>0</v>
      </c>
      <c r="J97">
        <v>2</v>
      </c>
      <c r="K97">
        <v>0</v>
      </c>
      <c r="L97">
        <v>0</v>
      </c>
      <c r="M97" s="5" t="str">
        <f>ContinuousStatsTable[[#This Row],[ProjectName]]&amp;ContinuousStatsTable[[#This Row],[Name]]&amp;ContinuousStatsTable[[#This Row],[Type]]&amp;ContinuousStatsTable[[#This Row],[Source]]</f>
        <v>Unnamed ProjectM3.QNumber WaitingQueue</v>
      </c>
      <c r="N97" s="5" cm="1">
        <f t="array" ref="N97">MAX(IF((ProjectInfoTable[ProjectName]=ContinuousStatsTable[[#This Row],[ProjectName]]),(ProjectInfoTable[ProjectName]=ContinuousStatsTable[[#This Row],[ProjectName]])*ProjectInfoTable[NumberOfReplications]))</f>
        <v>10</v>
      </c>
      <c r="O97" s="5" cm="1">
        <f t="array" ref="O97">IFERROR(AVERAGE(IF((ContinuousStatsTable[GroupByKey]=ContinuousStatsTable[[#This Row],[GroupByKey]]),(ContinuousStatsTable[GroupByKey]=ContinuousStatsTable[[#This Row],[GroupByKey]])*ContinuousStatsTable[Average])),0)</f>
        <v>2.5183140573256935E-2</v>
      </c>
      <c r="P97" s="5" cm="1">
        <f t="array" ref="P97">IFERROR(_xlfn.STDEV.S(IF((ContinuousStatsTable[GroupByKey]=ContinuousStatsTable[[#This Row],[GroupByKey]]),(ContinuousStatsTable[GroupByKey]=ContinuousStatsTable[[#This Row],[GroupByKey]])*ContinuousStatsTable[Average])),0)</f>
        <v>6.5933898933538881E-3</v>
      </c>
      <c r="Q97" s="5" cm="1">
        <f t="array" ref="Q97">MAX(IF((ProjectInfoTable[ProjectName]=ContinuousStatsTable[[#This Row],[ProjectName]]),(ProjectInfoTable[ProjectName]=ContinuousStatsTable[[#This Row],[ProjectName]])*ProjectInfoTable[ConfidenceInterval]))</f>
        <v>0.95</v>
      </c>
      <c r="R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4.7166269939678878E-3</v>
      </c>
      <c r="S97" s="5" cm="1">
        <f t="array" ref="S97">MIN(IF((ContinuousStatsTable[GroupByKey]=ContinuousStatsTable[[#This Row],[GroupByKey]]),(ContinuousStatsTable[GroupByKey]=ContinuousStatsTable[[#This Row],[GroupByKey]])*ContinuousStatsTable[Average]))</f>
        <v>1.7183032756251101E-2</v>
      </c>
      <c r="T97" s="5" cm="1">
        <f t="array" ref="T97">MAX(IF((ContinuousStatsTable[GroupByKey]=ContinuousStatsTable[[#This Row],[GroupByKey]]),(ContinuousStatsTable[GroupByKey]=ContinuousStatsTable[[#This Row],[GroupByKey]])*ContinuousStatsTable[Average]))</f>
        <v>3.3093677405251203E-2</v>
      </c>
      <c r="U97" s="5">
        <f>IF((ContinuousStatsTable[[#This Row],[RepsRequested]]&gt;1),ContinuousStatsTable[[#This Row],[HalfWidth]],ContinuousStatsTable[[#This Row],[BatchMeansHalfWidth]])</f>
        <v>4.7166269939678878E-3</v>
      </c>
    </row>
    <row r="98" spans="1:21" x14ac:dyDescent="0.4">
      <c r="A98" t="s">
        <v>66</v>
      </c>
      <c r="B98" t="s">
        <v>69</v>
      </c>
      <c r="C98">
        <v>4</v>
      </c>
      <c r="D98" t="s">
        <v>102</v>
      </c>
      <c r="E98" t="s">
        <v>96</v>
      </c>
      <c r="F98" t="s">
        <v>97</v>
      </c>
      <c r="G98">
        <v>0.717308496239496</v>
      </c>
      <c r="H98">
        <v>2E+20</v>
      </c>
      <c r="I98">
        <v>0</v>
      </c>
      <c r="J98">
        <v>1</v>
      </c>
      <c r="K98">
        <v>0</v>
      </c>
      <c r="L98">
        <v>0</v>
      </c>
      <c r="M98" s="5" t="str">
        <f>ContinuousStatsTable[[#This Row],[ProjectName]]&amp;ContinuousStatsTable[[#This Row],[Name]]&amp;ContinuousStatsTable[[#This Row],[Type]]&amp;ContinuousStatsTable[[#This Row],[Source]]</f>
        <v>Unnamed ProjectM4Instantaneous UtilizationResource</v>
      </c>
      <c r="N98" s="5" cm="1">
        <f t="array" ref="N98">MAX(IF((ProjectInfoTable[ProjectName]=ContinuousStatsTable[[#This Row],[ProjectName]]),(ProjectInfoTable[ProjectName]=ContinuousStatsTable[[#This Row],[ProjectName]])*ProjectInfoTable[NumberOfReplications]))</f>
        <v>10</v>
      </c>
      <c r="O98" s="5" cm="1">
        <f t="array" ref="O98">IFERROR(AVERAGE(IF((ContinuousStatsTable[GroupByKey]=ContinuousStatsTable[[#This Row],[GroupByKey]]),(ContinuousStatsTable[GroupByKey]=ContinuousStatsTable[[#This Row],[GroupByKey]])*ContinuousStatsTable[Average])),0)</f>
        <v>0.68948907951108873</v>
      </c>
      <c r="P98" s="5" cm="1">
        <f t="array" ref="P98">IFERROR(_xlfn.STDEV.S(IF((ContinuousStatsTable[GroupByKey]=ContinuousStatsTable[[#This Row],[GroupByKey]]),(ContinuousStatsTable[GroupByKey]=ContinuousStatsTable[[#This Row],[GroupByKey]])*ContinuousStatsTable[Average])),0)</f>
        <v>7.0099805521104841E-2</v>
      </c>
      <c r="Q98" s="5" cm="1">
        <f t="array" ref="Q98">MAX(IF((ProjectInfoTable[ProjectName]=ContinuousStatsTable[[#This Row],[ProjectName]]),(ProjectInfoTable[ProjectName]=ContinuousStatsTable[[#This Row],[ProjectName]])*ProjectInfoTable[ConfidenceInterval]))</f>
        <v>0.95</v>
      </c>
      <c r="R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5.0146379986722875E-2</v>
      </c>
      <c r="S98" s="5" cm="1">
        <f t="array" ref="S98">MIN(IF((ContinuousStatsTable[GroupByKey]=ContinuousStatsTable[[#This Row],[GroupByKey]]),(ContinuousStatsTable[GroupByKey]=ContinuousStatsTable[[#This Row],[GroupByKey]])*ContinuousStatsTable[Average]))</f>
        <v>0.59708526729729605</v>
      </c>
      <c r="T98" s="5" cm="1">
        <f t="array" ref="T98">MAX(IF((ContinuousStatsTable[GroupByKey]=ContinuousStatsTable[[#This Row],[GroupByKey]]),(ContinuousStatsTable[GroupByKey]=ContinuousStatsTable[[#This Row],[GroupByKey]])*ContinuousStatsTable[Average]))</f>
        <v>0.81511052462014799</v>
      </c>
      <c r="U98" s="5">
        <f>IF((ContinuousStatsTable[[#This Row],[RepsRequested]]&gt;1),ContinuousStatsTable[[#This Row],[HalfWidth]],ContinuousStatsTable[[#This Row],[BatchMeansHalfWidth]])</f>
        <v>5.0146379986722875E-2</v>
      </c>
    </row>
    <row r="99" spans="1:21" x14ac:dyDescent="0.4">
      <c r="A99" t="s">
        <v>66</v>
      </c>
      <c r="B99" t="s">
        <v>69</v>
      </c>
      <c r="C99">
        <v>4</v>
      </c>
      <c r="D99" t="s">
        <v>102</v>
      </c>
      <c r="E99" t="s">
        <v>98</v>
      </c>
      <c r="F99" t="s">
        <v>97</v>
      </c>
      <c r="G99">
        <v>0.717308496239496</v>
      </c>
      <c r="H99">
        <v>2E+20</v>
      </c>
      <c r="I99">
        <v>0</v>
      </c>
      <c r="J99">
        <v>1</v>
      </c>
      <c r="K99">
        <v>0</v>
      </c>
      <c r="L99">
        <v>0</v>
      </c>
      <c r="M99" s="5" t="str">
        <f>ContinuousStatsTable[[#This Row],[ProjectName]]&amp;ContinuousStatsTable[[#This Row],[Name]]&amp;ContinuousStatsTable[[#This Row],[Type]]&amp;ContinuousStatsTable[[#This Row],[Source]]</f>
        <v>Unnamed ProjectM4Number BusyResource</v>
      </c>
      <c r="N99" s="5" cm="1">
        <f t="array" ref="N99">MAX(IF((ProjectInfoTable[ProjectName]=ContinuousStatsTable[[#This Row],[ProjectName]]),(ProjectInfoTable[ProjectName]=ContinuousStatsTable[[#This Row],[ProjectName]])*ProjectInfoTable[NumberOfReplications]))</f>
        <v>10</v>
      </c>
      <c r="O99" s="5" cm="1">
        <f t="array" ref="O99">IFERROR(AVERAGE(IF((ContinuousStatsTable[GroupByKey]=ContinuousStatsTable[[#This Row],[GroupByKey]]),(ContinuousStatsTable[GroupByKey]=ContinuousStatsTable[[#This Row],[GroupByKey]])*ContinuousStatsTable[Average])),0)</f>
        <v>0.68948907951108873</v>
      </c>
      <c r="P99" s="5" cm="1">
        <f t="array" ref="P99">IFERROR(_xlfn.STDEV.S(IF((ContinuousStatsTable[GroupByKey]=ContinuousStatsTable[[#This Row],[GroupByKey]]),(ContinuousStatsTable[GroupByKey]=ContinuousStatsTable[[#This Row],[GroupByKey]])*ContinuousStatsTable[Average])),0)</f>
        <v>7.0099805521104841E-2</v>
      </c>
      <c r="Q99" s="5" cm="1">
        <f t="array" ref="Q99">MAX(IF((ProjectInfoTable[ProjectName]=ContinuousStatsTable[[#This Row],[ProjectName]]),(ProjectInfoTable[ProjectName]=ContinuousStatsTable[[#This Row],[ProjectName]])*ProjectInfoTable[ConfidenceInterval]))</f>
        <v>0.95</v>
      </c>
      <c r="R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5.0146379986722875E-2</v>
      </c>
      <c r="S99" s="5" cm="1">
        <f t="array" ref="S99">MIN(IF((ContinuousStatsTable[GroupByKey]=ContinuousStatsTable[[#This Row],[GroupByKey]]),(ContinuousStatsTable[GroupByKey]=ContinuousStatsTable[[#This Row],[GroupByKey]])*ContinuousStatsTable[Average]))</f>
        <v>0.59708526729729605</v>
      </c>
      <c r="T99" s="5" cm="1">
        <f t="array" ref="T99">MAX(IF((ContinuousStatsTable[GroupByKey]=ContinuousStatsTable[[#This Row],[GroupByKey]]),(ContinuousStatsTable[GroupByKey]=ContinuousStatsTable[[#This Row],[GroupByKey]])*ContinuousStatsTable[Average]))</f>
        <v>0.81511052462014799</v>
      </c>
      <c r="U99" s="5">
        <f>IF((ContinuousStatsTable[[#This Row],[RepsRequested]]&gt;1),ContinuousStatsTable[[#This Row],[HalfWidth]],ContinuousStatsTable[[#This Row],[BatchMeansHalfWidth]])</f>
        <v>5.0146379986722875E-2</v>
      </c>
    </row>
    <row r="100" spans="1:21" x14ac:dyDescent="0.4">
      <c r="A100" t="s">
        <v>66</v>
      </c>
      <c r="B100" t="s">
        <v>69</v>
      </c>
      <c r="C100">
        <v>4</v>
      </c>
      <c r="D100" t="s">
        <v>102</v>
      </c>
      <c r="E100" t="s">
        <v>99</v>
      </c>
      <c r="F100" t="s">
        <v>97</v>
      </c>
      <c r="G100">
        <v>1</v>
      </c>
      <c r="H100">
        <v>2E+20</v>
      </c>
      <c r="I100">
        <v>1</v>
      </c>
      <c r="J100">
        <v>1</v>
      </c>
      <c r="K100">
        <v>1</v>
      </c>
      <c r="L100">
        <v>0</v>
      </c>
      <c r="M100" s="5" t="str">
        <f>ContinuousStatsTable[[#This Row],[ProjectName]]&amp;ContinuousStatsTable[[#This Row],[Name]]&amp;ContinuousStatsTable[[#This Row],[Type]]&amp;ContinuousStatsTable[[#This Row],[Source]]</f>
        <v>Unnamed ProjectM4Number ScheduledResource</v>
      </c>
      <c r="N100" s="5" cm="1">
        <f t="array" ref="N100">MAX(IF((ProjectInfoTable[ProjectName]=ContinuousStatsTable[[#This Row],[ProjectName]]),(ProjectInfoTable[ProjectName]=ContinuousStatsTable[[#This Row],[ProjectName]])*ProjectInfoTable[NumberOfReplications]))</f>
        <v>10</v>
      </c>
      <c r="O100" s="5" cm="1">
        <f t="array" ref="O100">IFERROR(AVERAGE(IF((ContinuousStatsTable[GroupByKey]=ContinuousStatsTable[[#This Row],[GroupByKey]]),(ContinuousStatsTable[GroupByKey]=ContinuousStatsTable[[#This Row],[GroupByKey]])*ContinuousStatsTable[Average])),0)</f>
        <v>1</v>
      </c>
      <c r="P100" s="5" cm="1">
        <f t="array" ref="P100">IFERROR(_xlfn.STDEV.S(IF((ContinuousStatsTable[GroupByKey]=ContinuousStatsTable[[#This Row],[GroupByKey]]),(ContinuousStatsTable[GroupByKey]=ContinuousStatsTable[[#This Row],[GroupByKey]])*ContinuousStatsTable[Average])),0)</f>
        <v>0</v>
      </c>
      <c r="Q100" s="5" cm="1">
        <f t="array" ref="Q100">MAX(IF((ProjectInfoTable[ProjectName]=ContinuousStatsTable[[#This Row],[ProjectName]]),(ProjectInfoTable[ProjectName]=ContinuousStatsTable[[#This Row],[ProjectName]])*ProjectInfoTable[ConfidenceInterval]))</f>
        <v>0.95</v>
      </c>
      <c r="R1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0" s="5" cm="1">
        <f t="array" ref="S100">MIN(IF((ContinuousStatsTable[GroupByKey]=ContinuousStatsTable[[#This Row],[GroupByKey]]),(ContinuousStatsTable[GroupByKey]=ContinuousStatsTable[[#This Row],[GroupByKey]])*ContinuousStatsTable[Average]))</f>
        <v>1</v>
      </c>
      <c r="T100" s="5" cm="1">
        <f t="array" ref="T100">MAX(IF((ContinuousStatsTable[GroupByKey]=ContinuousStatsTable[[#This Row],[GroupByKey]]),(ContinuousStatsTable[GroupByKey]=ContinuousStatsTable[[#This Row],[GroupByKey]])*ContinuousStatsTable[Average]))</f>
        <v>1</v>
      </c>
      <c r="U100" s="5">
        <f>IF((ContinuousStatsTable[[#This Row],[RepsRequested]]&gt;1),ContinuousStatsTable[[#This Row],[HalfWidth]],ContinuousStatsTable[[#This Row],[BatchMeansHalfWidth]])</f>
        <v>0</v>
      </c>
    </row>
    <row r="101" spans="1:21" x14ac:dyDescent="0.4">
      <c r="A101" t="s">
        <v>66</v>
      </c>
      <c r="B101" t="s">
        <v>69</v>
      </c>
      <c r="C101">
        <v>4</v>
      </c>
      <c r="D101" t="s">
        <v>88</v>
      </c>
      <c r="E101" t="s">
        <v>94</v>
      </c>
      <c r="F101" t="s">
        <v>80</v>
      </c>
      <c r="G101">
        <v>0.89668284499758499</v>
      </c>
      <c r="H101">
        <v>2E+20</v>
      </c>
      <c r="I101">
        <v>0</v>
      </c>
      <c r="J101">
        <v>8</v>
      </c>
      <c r="K101">
        <v>0</v>
      </c>
      <c r="L101">
        <v>0</v>
      </c>
      <c r="M101" s="5" t="str">
        <f>ContinuousStatsTable[[#This Row],[ProjectName]]&amp;ContinuousStatsTable[[#This Row],[Name]]&amp;ContinuousStatsTable[[#This Row],[Type]]&amp;ContinuousStatsTable[[#This Row],[Source]]</f>
        <v>Unnamed ProjectM4.QNumber WaitingQueue</v>
      </c>
      <c r="N101" s="5" cm="1">
        <f t="array" ref="N101">MAX(IF((ProjectInfoTable[ProjectName]=ContinuousStatsTable[[#This Row],[ProjectName]]),(ProjectInfoTable[ProjectName]=ContinuousStatsTable[[#This Row],[ProjectName]])*ProjectInfoTable[NumberOfReplications]))</f>
        <v>10</v>
      </c>
      <c r="O101" s="5" cm="1">
        <f t="array" ref="O101">IFERROR(AVERAGE(IF((ContinuousStatsTable[GroupByKey]=ContinuousStatsTable[[#This Row],[GroupByKey]]),(ContinuousStatsTable[GroupByKey]=ContinuousStatsTable[[#This Row],[GroupByKey]])*ContinuousStatsTable[Average])),0)</f>
        <v>0.92596780474390472</v>
      </c>
      <c r="P101" s="5" cm="1">
        <f t="array" ref="P101">IFERROR(_xlfn.STDEV.S(IF((ContinuousStatsTable[GroupByKey]=ContinuousStatsTable[[#This Row],[GroupByKey]]),(ContinuousStatsTable[GroupByKey]=ContinuousStatsTable[[#This Row],[GroupByKey]])*ContinuousStatsTable[Average])),0)</f>
        <v>0.23565784373506599</v>
      </c>
      <c r="Q101" s="5" cm="1">
        <f t="array" ref="Q101">MAX(IF((ProjectInfoTable[ProjectName]=ContinuousStatsTable[[#This Row],[ProjectName]]),(ProjectInfoTable[ProjectName]=ContinuousStatsTable[[#This Row],[ProjectName]])*ProjectInfoTable[ConfidenceInterval]))</f>
        <v>0.95</v>
      </c>
      <c r="R1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0.16857946596203516</v>
      </c>
      <c r="S101" s="5" cm="1">
        <f t="array" ref="S101">MIN(IF((ContinuousStatsTable[GroupByKey]=ContinuousStatsTable[[#This Row],[GroupByKey]]),(ContinuousStatsTable[GroupByKey]=ContinuousStatsTable[[#This Row],[GroupByKey]])*ContinuousStatsTable[Average]))</f>
        <v>0.61954382246291895</v>
      </c>
      <c r="T101" s="5" cm="1">
        <f t="array" ref="T101">MAX(IF((ContinuousStatsTable[GroupByKey]=ContinuousStatsTable[[#This Row],[GroupByKey]]),(ContinuousStatsTable[GroupByKey]=ContinuousStatsTable[[#This Row],[GroupByKey]])*ContinuousStatsTable[Average]))</f>
        <v>1.4060201140591599</v>
      </c>
      <c r="U101" s="5">
        <f>IF((ContinuousStatsTable[[#This Row],[RepsRequested]]&gt;1),ContinuousStatsTable[[#This Row],[HalfWidth]],ContinuousStatsTable[[#This Row],[BatchMeansHalfWidth]])</f>
        <v>0.16857946596203516</v>
      </c>
    </row>
    <row r="102" spans="1:21" x14ac:dyDescent="0.4">
      <c r="A102" t="s">
        <v>66</v>
      </c>
      <c r="B102" t="s">
        <v>69</v>
      </c>
      <c r="C102">
        <v>4</v>
      </c>
      <c r="D102" t="s">
        <v>103</v>
      </c>
      <c r="E102" t="s">
        <v>96</v>
      </c>
      <c r="F102" t="s">
        <v>97</v>
      </c>
      <c r="G102">
        <v>0.391918845838306</v>
      </c>
      <c r="H102">
        <v>4.1192173584510001E-2</v>
      </c>
      <c r="I102">
        <v>0</v>
      </c>
      <c r="J102">
        <v>1</v>
      </c>
      <c r="K102">
        <v>1</v>
      </c>
      <c r="L102">
        <v>0</v>
      </c>
      <c r="M102" s="5" t="str">
        <f>ContinuousStatsTable[[#This Row],[ProjectName]]&amp;ContinuousStatsTable[[#This Row],[Name]]&amp;ContinuousStatsTable[[#This Row],[Type]]&amp;ContinuousStatsTable[[#This Row],[Source]]</f>
        <v>Unnamed ProjectM5Instantaneous UtilizationResource</v>
      </c>
      <c r="N102" s="5" cm="1">
        <f t="array" ref="N102">MAX(IF((ProjectInfoTable[ProjectName]=ContinuousStatsTable[[#This Row],[ProjectName]]),(ProjectInfoTable[ProjectName]=ContinuousStatsTable[[#This Row],[ProjectName]])*ProjectInfoTable[NumberOfReplications]))</f>
        <v>10</v>
      </c>
      <c r="O102" s="5" cm="1">
        <f t="array" ref="O102">IFERROR(AVERAGE(IF((ContinuousStatsTable[GroupByKey]=ContinuousStatsTable[[#This Row],[GroupByKey]]),(ContinuousStatsTable[GroupByKey]=ContinuousStatsTable[[#This Row],[GroupByKey]])*ContinuousStatsTable[Average])),0)</f>
        <v>0.35254112855323727</v>
      </c>
      <c r="P102" s="5" cm="1">
        <f t="array" ref="P102">IFERROR(_xlfn.STDEV.S(IF((ContinuousStatsTable[GroupByKey]=ContinuousStatsTable[[#This Row],[GroupByKey]]),(ContinuousStatsTable[GroupByKey]=ContinuousStatsTable[[#This Row],[GroupByKey]])*ContinuousStatsTable[Average])),0)</f>
        <v>2.0819740340978523E-2</v>
      </c>
      <c r="Q102" s="5" cm="1">
        <f t="array" ref="Q102">MAX(IF((ProjectInfoTable[ProjectName]=ContinuousStatsTable[[#This Row],[ProjectName]]),(ProjectInfoTable[ProjectName]=ContinuousStatsTable[[#This Row],[ProjectName]])*ProjectInfoTable[ConfidenceInterval]))</f>
        <v>0.95</v>
      </c>
      <c r="R1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1.4893545033435028E-2</v>
      </c>
      <c r="S102" s="5" cm="1">
        <f t="array" ref="S102">MIN(IF((ContinuousStatsTable[GroupByKey]=ContinuousStatsTable[[#This Row],[GroupByKey]]),(ContinuousStatsTable[GroupByKey]=ContinuousStatsTable[[#This Row],[GroupByKey]])*ContinuousStatsTable[Average]))</f>
        <v>0.319082016284436</v>
      </c>
      <c r="T102" s="5" cm="1">
        <f t="array" ref="T102">MAX(IF((ContinuousStatsTable[GroupByKey]=ContinuousStatsTable[[#This Row],[GroupByKey]]),(ContinuousStatsTable[GroupByKey]=ContinuousStatsTable[[#This Row],[GroupByKey]])*ContinuousStatsTable[Average]))</f>
        <v>0.391918845838306</v>
      </c>
      <c r="U102" s="5">
        <f>IF((ContinuousStatsTable[[#This Row],[RepsRequested]]&gt;1),ContinuousStatsTable[[#This Row],[HalfWidth]],ContinuousStatsTable[[#This Row],[BatchMeansHalfWidth]])</f>
        <v>1.4893545033435028E-2</v>
      </c>
    </row>
    <row r="103" spans="1:21" x14ac:dyDescent="0.4">
      <c r="A103" t="s">
        <v>66</v>
      </c>
      <c r="B103" t="s">
        <v>69</v>
      </c>
      <c r="C103">
        <v>4</v>
      </c>
      <c r="D103" t="s">
        <v>103</v>
      </c>
      <c r="E103" t="s">
        <v>98</v>
      </c>
      <c r="F103" t="s">
        <v>97</v>
      </c>
      <c r="G103">
        <v>0.78383769167661099</v>
      </c>
      <c r="H103">
        <v>8.2384347169019906E-2</v>
      </c>
      <c r="I103">
        <v>0</v>
      </c>
      <c r="J103">
        <v>2</v>
      </c>
      <c r="K103">
        <v>2</v>
      </c>
      <c r="L103">
        <v>0</v>
      </c>
      <c r="M103" s="5" t="str">
        <f>ContinuousStatsTable[[#This Row],[ProjectName]]&amp;ContinuousStatsTable[[#This Row],[Name]]&amp;ContinuousStatsTable[[#This Row],[Type]]&amp;ContinuousStatsTable[[#This Row],[Source]]</f>
        <v>Unnamed ProjectM5Number BusyResource</v>
      </c>
      <c r="N103" s="5" cm="1">
        <f t="array" ref="N103">MAX(IF((ProjectInfoTable[ProjectName]=ContinuousStatsTable[[#This Row],[ProjectName]]),(ProjectInfoTable[ProjectName]=ContinuousStatsTable[[#This Row],[ProjectName]])*ProjectInfoTable[NumberOfReplications]))</f>
        <v>10</v>
      </c>
      <c r="O103" s="5" cm="1">
        <f t="array" ref="O103">IFERROR(AVERAGE(IF((ContinuousStatsTable[GroupByKey]=ContinuousStatsTable[[#This Row],[GroupByKey]]),(ContinuousStatsTable[GroupByKey]=ContinuousStatsTable[[#This Row],[GroupByKey]])*ContinuousStatsTable[Average])),0)</f>
        <v>0.70508225710647443</v>
      </c>
      <c r="P103" s="5" cm="1">
        <f t="array" ref="P103">IFERROR(_xlfn.STDEV.S(IF((ContinuousStatsTable[GroupByKey]=ContinuousStatsTable[[#This Row],[GroupByKey]]),(ContinuousStatsTable[GroupByKey]=ContinuousStatsTable[[#This Row],[GroupByKey]])*ContinuousStatsTable[Average])),0)</f>
        <v>4.1639480681956775E-2</v>
      </c>
      <c r="Q103" s="5" cm="1">
        <f t="array" ref="Q103">MAX(IF((ProjectInfoTable[ProjectName]=ContinuousStatsTable[[#This Row],[ProjectName]]),(ProjectInfoTable[ProjectName]=ContinuousStatsTable[[#This Row],[ProjectName]])*ProjectInfoTable[ConfidenceInterval]))</f>
        <v>0.95</v>
      </c>
      <c r="R1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2.9787090066869859E-2</v>
      </c>
      <c r="S103" s="5" cm="1">
        <f t="array" ref="S103">MIN(IF((ContinuousStatsTable[GroupByKey]=ContinuousStatsTable[[#This Row],[GroupByKey]]),(ContinuousStatsTable[GroupByKey]=ContinuousStatsTable[[#This Row],[GroupByKey]])*ContinuousStatsTable[Average]))</f>
        <v>0.638164032568872</v>
      </c>
      <c r="T103" s="5" cm="1">
        <f t="array" ref="T103">MAX(IF((ContinuousStatsTable[GroupByKey]=ContinuousStatsTable[[#This Row],[GroupByKey]]),(ContinuousStatsTable[GroupByKey]=ContinuousStatsTable[[#This Row],[GroupByKey]])*ContinuousStatsTable[Average]))</f>
        <v>0.78383769167661099</v>
      </c>
      <c r="U103" s="5">
        <f>IF((ContinuousStatsTable[[#This Row],[RepsRequested]]&gt;1),ContinuousStatsTable[[#This Row],[HalfWidth]],ContinuousStatsTable[[#This Row],[BatchMeansHalfWidth]])</f>
        <v>2.9787090066869859E-2</v>
      </c>
    </row>
    <row r="104" spans="1:21" x14ac:dyDescent="0.4">
      <c r="A104" t="s">
        <v>66</v>
      </c>
      <c r="B104" t="s">
        <v>69</v>
      </c>
      <c r="C104">
        <v>4</v>
      </c>
      <c r="D104" t="s">
        <v>103</v>
      </c>
      <c r="E104" t="s">
        <v>99</v>
      </c>
      <c r="F104" t="s">
        <v>97</v>
      </c>
      <c r="G104">
        <v>2</v>
      </c>
      <c r="H104">
        <v>2E+20</v>
      </c>
      <c r="I104">
        <v>2</v>
      </c>
      <c r="J104">
        <v>2</v>
      </c>
      <c r="K104">
        <v>2</v>
      </c>
      <c r="L104">
        <v>0</v>
      </c>
      <c r="M104" s="5" t="str">
        <f>ContinuousStatsTable[[#This Row],[ProjectName]]&amp;ContinuousStatsTable[[#This Row],[Name]]&amp;ContinuousStatsTable[[#This Row],[Type]]&amp;ContinuousStatsTable[[#This Row],[Source]]</f>
        <v>Unnamed ProjectM5Number ScheduledResource</v>
      </c>
      <c r="N104" s="5" cm="1">
        <f t="array" ref="N104">MAX(IF((ProjectInfoTable[ProjectName]=ContinuousStatsTable[[#This Row],[ProjectName]]),(ProjectInfoTable[ProjectName]=ContinuousStatsTable[[#This Row],[ProjectName]])*ProjectInfoTable[NumberOfReplications]))</f>
        <v>10</v>
      </c>
      <c r="O104" s="5" cm="1">
        <f t="array" ref="O104">IFERROR(AVERAGE(IF((ContinuousStatsTable[GroupByKey]=ContinuousStatsTable[[#This Row],[GroupByKey]]),(ContinuousStatsTable[GroupByKey]=ContinuousStatsTable[[#This Row],[GroupByKey]])*ContinuousStatsTable[Average])),0)</f>
        <v>2</v>
      </c>
      <c r="P104" s="5" cm="1">
        <f t="array" ref="P104">IFERROR(_xlfn.STDEV.S(IF((ContinuousStatsTable[GroupByKey]=ContinuousStatsTable[[#This Row],[GroupByKey]]),(ContinuousStatsTable[GroupByKey]=ContinuousStatsTable[[#This Row],[GroupByKey]])*ContinuousStatsTable[Average])),0)</f>
        <v>0</v>
      </c>
      <c r="Q104" s="5" cm="1">
        <f t="array" ref="Q104">MAX(IF((ProjectInfoTable[ProjectName]=ContinuousStatsTable[[#This Row],[ProjectName]]),(ProjectInfoTable[ProjectName]=ContinuousStatsTable[[#This Row],[ProjectName]])*ProjectInfoTable[ConfidenceInterval]))</f>
        <v>0.95</v>
      </c>
      <c r="R1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4" s="5" cm="1">
        <f t="array" ref="S104">MIN(IF((ContinuousStatsTable[GroupByKey]=ContinuousStatsTable[[#This Row],[GroupByKey]]),(ContinuousStatsTable[GroupByKey]=ContinuousStatsTable[[#This Row],[GroupByKey]])*ContinuousStatsTable[Average]))</f>
        <v>2</v>
      </c>
      <c r="T104" s="5" cm="1">
        <f t="array" ref="T104">MAX(IF((ContinuousStatsTable[GroupByKey]=ContinuousStatsTable[[#This Row],[GroupByKey]]),(ContinuousStatsTable[GroupByKey]=ContinuousStatsTable[[#This Row],[GroupByKey]])*ContinuousStatsTable[Average]))</f>
        <v>2</v>
      </c>
      <c r="U104" s="5">
        <f>IF((ContinuousStatsTable[[#This Row],[RepsRequested]]&gt;1),ContinuousStatsTable[[#This Row],[HalfWidth]],ContinuousStatsTable[[#This Row],[BatchMeansHalfWidth]])</f>
        <v>0</v>
      </c>
    </row>
    <row r="105" spans="1:21" x14ac:dyDescent="0.4">
      <c r="A105" t="s">
        <v>66</v>
      </c>
      <c r="B105" t="s">
        <v>69</v>
      </c>
      <c r="C105">
        <v>4</v>
      </c>
      <c r="D105" t="s">
        <v>89</v>
      </c>
      <c r="E105" t="s">
        <v>94</v>
      </c>
      <c r="F105" t="s">
        <v>80</v>
      </c>
      <c r="G105">
        <v>6.9031571662083097E-2</v>
      </c>
      <c r="H105">
        <v>2E+20</v>
      </c>
      <c r="I105">
        <v>0</v>
      </c>
      <c r="J105">
        <v>4</v>
      </c>
      <c r="K105">
        <v>1</v>
      </c>
      <c r="L105">
        <v>0</v>
      </c>
      <c r="M105" s="5" t="str">
        <f>ContinuousStatsTable[[#This Row],[ProjectName]]&amp;ContinuousStatsTable[[#This Row],[Name]]&amp;ContinuousStatsTable[[#This Row],[Type]]&amp;ContinuousStatsTable[[#This Row],[Source]]</f>
        <v>Unnamed ProjectM5.QNumber WaitingQueue</v>
      </c>
      <c r="N105" s="5" cm="1">
        <f t="array" ref="N105">MAX(IF((ProjectInfoTable[ProjectName]=ContinuousStatsTable[[#This Row],[ProjectName]]),(ProjectInfoTable[ProjectName]=ContinuousStatsTable[[#This Row],[ProjectName]])*ProjectInfoTable[NumberOfReplications]))</f>
        <v>10</v>
      </c>
      <c r="O105" s="5" cm="1">
        <f t="array" ref="O105">IFERROR(AVERAGE(IF((ContinuousStatsTable[GroupByKey]=ContinuousStatsTable[[#This Row],[GroupByKey]]),(ContinuousStatsTable[GroupByKey]=ContinuousStatsTable[[#This Row],[GroupByKey]])*ContinuousStatsTable[Average])),0)</f>
        <v>4.0588719153078524E-2</v>
      </c>
      <c r="P105" s="5" cm="1">
        <f t="array" ref="P105">IFERROR(_xlfn.STDEV.S(IF((ContinuousStatsTable[GroupByKey]=ContinuousStatsTable[[#This Row],[GroupByKey]]),(ContinuousStatsTable[GroupByKey]=ContinuousStatsTable[[#This Row],[GroupByKey]])*ContinuousStatsTable[Average])),0)</f>
        <v>2.3271584618520549E-2</v>
      </c>
      <c r="Q105" s="5" cm="1">
        <f t="array" ref="Q105">MAX(IF((ProjectInfoTable[ProjectName]=ContinuousStatsTable[[#This Row],[ProjectName]]),(ProjectInfoTable[ProjectName]=ContinuousStatsTable[[#This Row],[ProjectName]])*ProjectInfoTable[ConfidenceInterval]))</f>
        <v>0.95</v>
      </c>
      <c r="R1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1.6647488769739371E-2</v>
      </c>
      <c r="S105" s="5" cm="1">
        <f t="array" ref="S105">MIN(IF((ContinuousStatsTable[GroupByKey]=ContinuousStatsTable[[#This Row],[GroupByKey]]),(ContinuousStatsTable[GroupByKey]=ContinuousStatsTable[[#This Row],[GroupByKey]])*ContinuousStatsTable[Average]))</f>
        <v>1.58912341215269E-2</v>
      </c>
      <c r="T105" s="5" cm="1">
        <f t="array" ref="T105">MAX(IF((ContinuousStatsTable[GroupByKey]=ContinuousStatsTable[[#This Row],[GroupByKey]]),(ContinuousStatsTable[GroupByKey]=ContinuousStatsTable[[#This Row],[GroupByKey]])*ContinuousStatsTable[Average]))</f>
        <v>9.0065456910795705E-2</v>
      </c>
      <c r="U105" s="5">
        <f>IF((ContinuousStatsTable[[#This Row],[RepsRequested]]&gt;1),ContinuousStatsTable[[#This Row],[HalfWidth]],ContinuousStatsTable[[#This Row],[BatchMeansHalfWidth]])</f>
        <v>1.6647488769739371E-2</v>
      </c>
    </row>
    <row r="106" spans="1:21" x14ac:dyDescent="0.4">
      <c r="A106" t="s">
        <v>66</v>
      </c>
      <c r="B106" t="s">
        <v>69</v>
      </c>
      <c r="C106">
        <v>5</v>
      </c>
      <c r="D106" t="s">
        <v>70</v>
      </c>
      <c r="E106" t="s">
        <v>93</v>
      </c>
      <c r="F106" t="s">
        <v>72</v>
      </c>
      <c r="G106">
        <v>4.5894957727661101</v>
      </c>
      <c r="H106">
        <v>3E+20</v>
      </c>
      <c r="I106">
        <v>0</v>
      </c>
      <c r="J106">
        <v>13</v>
      </c>
      <c r="K106">
        <v>11</v>
      </c>
      <c r="L106">
        <v>0</v>
      </c>
      <c r="M106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106" s="5" cm="1">
        <f t="array" ref="N106">MAX(IF((ProjectInfoTable[ProjectName]=ContinuousStatsTable[[#This Row],[ProjectName]]),(ProjectInfoTable[ProjectName]=ContinuousStatsTable[[#This Row],[ProjectName]])*ProjectInfoTable[NumberOfReplications]))</f>
        <v>10</v>
      </c>
      <c r="O106" s="5" cm="1">
        <f t="array" ref="O106">IFERROR(AVERAGE(IF((ContinuousStatsTable[GroupByKey]=ContinuousStatsTable[[#This Row],[GroupByKey]]),(ContinuousStatsTable[GroupByKey]=ContinuousStatsTable[[#This Row],[GroupByKey]])*ContinuousStatsTable[Average])),0)</f>
        <v>6.6735315353875011</v>
      </c>
      <c r="P106" s="5" cm="1">
        <f t="array" ref="P106">IFERROR(_xlfn.STDEV.S(IF((ContinuousStatsTable[GroupByKey]=ContinuousStatsTable[[#This Row],[GroupByKey]]),(ContinuousStatsTable[GroupByKey]=ContinuousStatsTable[[#This Row],[GroupByKey]])*ContinuousStatsTable[Average])),0)</f>
        <v>1.4829188547421246</v>
      </c>
      <c r="Q106" s="5" cm="1">
        <f t="array" ref="Q106">MAX(IF((ProjectInfoTable[ProjectName]=ContinuousStatsTable[[#This Row],[ProjectName]]),(ProjectInfoTable[ProjectName]=ContinuousStatsTable[[#This Row],[ProjectName]])*ProjectInfoTable[ConfidenceInterval]))</f>
        <v>0.95</v>
      </c>
      <c r="R1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1.0608162437338877</v>
      </c>
      <c r="S106" s="5" cm="1">
        <f t="array" ref="S106">MIN(IF((ContinuousStatsTable[GroupByKey]=ContinuousStatsTable[[#This Row],[GroupByKey]]),(ContinuousStatsTable[GroupByKey]=ContinuousStatsTable[[#This Row],[GroupByKey]])*ContinuousStatsTable[Average]))</f>
        <v>4.5894957727661101</v>
      </c>
      <c r="T106" s="5" cm="1">
        <f t="array" ref="T106">MAX(IF((ContinuousStatsTable[GroupByKey]=ContinuousStatsTable[[#This Row],[GroupByKey]]),(ContinuousStatsTable[GroupByKey]=ContinuousStatsTable[[#This Row],[GroupByKey]])*ContinuousStatsTable[Average]))</f>
        <v>9.5134854029509093</v>
      </c>
      <c r="U106" s="5">
        <f>IF((ContinuousStatsTable[[#This Row],[RepsRequested]]&gt;1),ContinuousStatsTable[[#This Row],[HalfWidth]],ContinuousStatsTable[[#This Row],[BatchMeansHalfWidth]])</f>
        <v>1.0608162437338877</v>
      </c>
    </row>
    <row r="107" spans="1:21" x14ac:dyDescent="0.4">
      <c r="A107" t="s">
        <v>66</v>
      </c>
      <c r="B107" t="s">
        <v>69</v>
      </c>
      <c r="C107">
        <v>5</v>
      </c>
      <c r="D107" t="s">
        <v>78</v>
      </c>
      <c r="E107" t="s">
        <v>94</v>
      </c>
      <c r="F107" t="s">
        <v>80</v>
      </c>
      <c r="G107">
        <v>0</v>
      </c>
      <c r="H107">
        <v>2E+20</v>
      </c>
      <c r="I107">
        <v>0</v>
      </c>
      <c r="J107">
        <v>0</v>
      </c>
      <c r="K107">
        <v>0</v>
      </c>
      <c r="L107">
        <v>0</v>
      </c>
      <c r="M107" s="5" t="str">
        <f>ContinuousStatsTable[[#This Row],[ProjectName]]&amp;ContinuousStatsTable[[#This Row],[Name]]&amp;ContinuousStatsTable[[#This Row],[Type]]&amp;ContinuousStatsTable[[#This Row],[Source]]</f>
        <v>Unnamed ProjectHold M1.QueueNumber WaitingQueue</v>
      </c>
      <c r="N107" s="5" cm="1">
        <f t="array" ref="N107">MAX(IF((ProjectInfoTable[ProjectName]=ContinuousStatsTable[[#This Row],[ProjectName]]),(ProjectInfoTable[ProjectName]=ContinuousStatsTable[[#This Row],[ProjectName]])*ProjectInfoTable[NumberOfReplications]))</f>
        <v>10</v>
      </c>
      <c r="O107" s="5" cm="1">
        <f t="array" ref="O107">IFERROR(AVERAGE(IF((ContinuousStatsTable[GroupByKey]=ContinuousStatsTable[[#This Row],[GroupByKey]]),(ContinuousStatsTable[GroupByKey]=ContinuousStatsTable[[#This Row],[GroupByKey]])*ContinuousStatsTable[Average])),0)</f>
        <v>0</v>
      </c>
      <c r="P107" s="5" cm="1">
        <f t="array" ref="P107">IFERROR(_xlfn.STDEV.S(IF((ContinuousStatsTable[GroupByKey]=ContinuousStatsTable[[#This Row],[GroupByKey]]),(ContinuousStatsTable[GroupByKey]=ContinuousStatsTable[[#This Row],[GroupByKey]])*ContinuousStatsTable[Average])),0)</f>
        <v>0</v>
      </c>
      <c r="Q107" s="5" cm="1">
        <f t="array" ref="Q107">MAX(IF((ProjectInfoTable[ProjectName]=ContinuousStatsTable[[#This Row],[ProjectName]]),(ProjectInfoTable[ProjectName]=ContinuousStatsTable[[#This Row],[ProjectName]])*ProjectInfoTable[ConfidenceInterval]))</f>
        <v>0.95</v>
      </c>
      <c r="R1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7" s="5" cm="1">
        <f t="array" ref="S107">MIN(IF((ContinuousStatsTable[GroupByKey]=ContinuousStatsTable[[#This Row],[GroupByKey]]),(ContinuousStatsTable[GroupByKey]=ContinuousStatsTable[[#This Row],[GroupByKey]])*ContinuousStatsTable[Average]))</f>
        <v>0</v>
      </c>
      <c r="T107" s="5" cm="1">
        <f t="array" ref="T107">MAX(IF((ContinuousStatsTable[GroupByKey]=ContinuousStatsTable[[#This Row],[GroupByKey]]),(ContinuousStatsTable[GroupByKey]=ContinuousStatsTable[[#This Row],[GroupByKey]])*ContinuousStatsTable[Average]))</f>
        <v>0</v>
      </c>
      <c r="U107" s="5">
        <f>IF((ContinuousStatsTable[[#This Row],[RepsRequested]]&gt;1),ContinuousStatsTable[[#This Row],[HalfWidth]],ContinuousStatsTable[[#This Row],[BatchMeansHalfWidth]])</f>
        <v>0</v>
      </c>
    </row>
    <row r="108" spans="1:21" x14ac:dyDescent="0.4">
      <c r="A108" t="s">
        <v>66</v>
      </c>
      <c r="B108" t="s">
        <v>69</v>
      </c>
      <c r="C108">
        <v>5</v>
      </c>
      <c r="D108" t="s">
        <v>81</v>
      </c>
      <c r="E108" t="s">
        <v>94</v>
      </c>
      <c r="F108" t="s">
        <v>80</v>
      </c>
      <c r="G108">
        <v>0</v>
      </c>
      <c r="H108">
        <v>2E+20</v>
      </c>
      <c r="I108">
        <v>0</v>
      </c>
      <c r="J108">
        <v>0</v>
      </c>
      <c r="K108">
        <v>0</v>
      </c>
      <c r="L108">
        <v>0</v>
      </c>
      <c r="M108" s="5" t="str">
        <f>ContinuousStatsTable[[#This Row],[ProjectName]]&amp;ContinuousStatsTable[[#This Row],[Name]]&amp;ContinuousStatsTable[[#This Row],[Type]]&amp;ContinuousStatsTable[[#This Row],[Source]]</f>
        <v>Unnamed ProjectHold M2.QueueNumber WaitingQueue</v>
      </c>
      <c r="N108" s="5" cm="1">
        <f t="array" ref="N108">MAX(IF((ProjectInfoTable[ProjectName]=ContinuousStatsTable[[#This Row],[ProjectName]]),(ProjectInfoTable[ProjectName]=ContinuousStatsTable[[#This Row],[ProjectName]])*ProjectInfoTable[NumberOfReplications]))</f>
        <v>10</v>
      </c>
      <c r="O108" s="5" cm="1">
        <f t="array" ref="O108">IFERROR(AVERAGE(IF((ContinuousStatsTable[GroupByKey]=ContinuousStatsTable[[#This Row],[GroupByKey]]),(ContinuousStatsTable[GroupByKey]=ContinuousStatsTable[[#This Row],[GroupByKey]])*ContinuousStatsTable[Average])),0)</f>
        <v>0</v>
      </c>
      <c r="P108" s="5" cm="1">
        <f t="array" ref="P108">IFERROR(_xlfn.STDEV.S(IF((ContinuousStatsTable[GroupByKey]=ContinuousStatsTable[[#This Row],[GroupByKey]]),(ContinuousStatsTable[GroupByKey]=ContinuousStatsTable[[#This Row],[GroupByKey]])*ContinuousStatsTable[Average])),0)</f>
        <v>0</v>
      </c>
      <c r="Q108" s="5" cm="1">
        <f t="array" ref="Q108">MAX(IF((ProjectInfoTable[ProjectName]=ContinuousStatsTable[[#This Row],[ProjectName]]),(ProjectInfoTable[ProjectName]=ContinuousStatsTable[[#This Row],[ProjectName]])*ProjectInfoTable[ConfidenceInterval]))</f>
        <v>0.95</v>
      </c>
      <c r="R1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8" s="5" cm="1">
        <f t="array" ref="S108">MIN(IF((ContinuousStatsTable[GroupByKey]=ContinuousStatsTable[[#This Row],[GroupByKey]]),(ContinuousStatsTable[GroupByKey]=ContinuousStatsTable[[#This Row],[GroupByKey]])*ContinuousStatsTable[Average]))</f>
        <v>0</v>
      </c>
      <c r="T108" s="5" cm="1">
        <f t="array" ref="T108">MAX(IF((ContinuousStatsTable[GroupByKey]=ContinuousStatsTable[[#This Row],[GroupByKey]]),(ContinuousStatsTable[GroupByKey]=ContinuousStatsTable[[#This Row],[GroupByKey]])*ContinuousStatsTable[Average]))</f>
        <v>0</v>
      </c>
      <c r="U108" s="5">
        <f>IF((ContinuousStatsTable[[#This Row],[RepsRequested]]&gt;1),ContinuousStatsTable[[#This Row],[HalfWidth]],ContinuousStatsTable[[#This Row],[BatchMeansHalfWidth]])</f>
        <v>0</v>
      </c>
    </row>
    <row r="109" spans="1:21" x14ac:dyDescent="0.4">
      <c r="A109" t="s">
        <v>66</v>
      </c>
      <c r="B109" t="s">
        <v>69</v>
      </c>
      <c r="C109">
        <v>5</v>
      </c>
      <c r="D109" t="s">
        <v>82</v>
      </c>
      <c r="E109" t="s">
        <v>94</v>
      </c>
      <c r="F109" t="s">
        <v>80</v>
      </c>
      <c r="G109">
        <v>0</v>
      </c>
      <c r="H109">
        <v>2E+20</v>
      </c>
      <c r="I109">
        <v>0</v>
      </c>
      <c r="J109">
        <v>0</v>
      </c>
      <c r="K109">
        <v>0</v>
      </c>
      <c r="L109">
        <v>0</v>
      </c>
      <c r="M109" s="5" t="str">
        <f>ContinuousStatsTable[[#This Row],[ProjectName]]&amp;ContinuousStatsTable[[#This Row],[Name]]&amp;ContinuousStatsTable[[#This Row],[Type]]&amp;ContinuousStatsTable[[#This Row],[Source]]</f>
        <v>Unnamed ProjectHold M3.QueueNumber WaitingQueue</v>
      </c>
      <c r="N109" s="5" cm="1">
        <f t="array" ref="N109">MAX(IF((ProjectInfoTable[ProjectName]=ContinuousStatsTable[[#This Row],[ProjectName]]),(ProjectInfoTable[ProjectName]=ContinuousStatsTable[[#This Row],[ProjectName]])*ProjectInfoTable[NumberOfReplications]))</f>
        <v>10</v>
      </c>
      <c r="O109" s="5" cm="1">
        <f t="array" ref="O109">IFERROR(AVERAGE(IF((ContinuousStatsTable[GroupByKey]=ContinuousStatsTable[[#This Row],[GroupByKey]]),(ContinuousStatsTable[GroupByKey]=ContinuousStatsTable[[#This Row],[GroupByKey]])*ContinuousStatsTable[Average])),0)</f>
        <v>0</v>
      </c>
      <c r="P109" s="5" cm="1">
        <f t="array" ref="P109">IFERROR(_xlfn.STDEV.S(IF((ContinuousStatsTable[GroupByKey]=ContinuousStatsTable[[#This Row],[GroupByKey]]),(ContinuousStatsTable[GroupByKey]=ContinuousStatsTable[[#This Row],[GroupByKey]])*ContinuousStatsTable[Average])),0)</f>
        <v>0</v>
      </c>
      <c r="Q109" s="5" cm="1">
        <f t="array" ref="Q109">MAX(IF((ProjectInfoTable[ProjectName]=ContinuousStatsTable[[#This Row],[ProjectName]]),(ProjectInfoTable[ProjectName]=ContinuousStatsTable[[#This Row],[ProjectName]])*ProjectInfoTable[ConfidenceInterval]))</f>
        <v>0.95</v>
      </c>
      <c r="R1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9" s="5" cm="1">
        <f t="array" ref="S109">MIN(IF((ContinuousStatsTable[GroupByKey]=ContinuousStatsTable[[#This Row],[GroupByKey]]),(ContinuousStatsTable[GroupByKey]=ContinuousStatsTable[[#This Row],[GroupByKey]])*ContinuousStatsTable[Average]))</f>
        <v>0</v>
      </c>
      <c r="T109" s="5" cm="1">
        <f t="array" ref="T109">MAX(IF((ContinuousStatsTable[GroupByKey]=ContinuousStatsTable[[#This Row],[GroupByKey]]),(ContinuousStatsTable[GroupByKey]=ContinuousStatsTable[[#This Row],[GroupByKey]])*ContinuousStatsTable[Average]))</f>
        <v>0</v>
      </c>
      <c r="U109" s="5">
        <f>IF((ContinuousStatsTable[[#This Row],[RepsRequested]]&gt;1),ContinuousStatsTable[[#This Row],[HalfWidth]],ContinuousStatsTable[[#This Row],[BatchMeansHalfWidth]])</f>
        <v>0</v>
      </c>
    </row>
    <row r="110" spans="1:21" x14ac:dyDescent="0.4">
      <c r="A110" t="s">
        <v>66</v>
      </c>
      <c r="B110" t="s">
        <v>69</v>
      </c>
      <c r="C110">
        <v>5</v>
      </c>
      <c r="D110" t="s">
        <v>83</v>
      </c>
      <c r="E110" t="s">
        <v>94</v>
      </c>
      <c r="F110" t="s">
        <v>80</v>
      </c>
      <c r="G110">
        <v>0</v>
      </c>
      <c r="H110">
        <v>2E+20</v>
      </c>
      <c r="I110">
        <v>0</v>
      </c>
      <c r="J110">
        <v>0</v>
      </c>
      <c r="K110">
        <v>0</v>
      </c>
      <c r="L110">
        <v>0</v>
      </c>
      <c r="M110" s="5" t="str">
        <f>ContinuousStatsTable[[#This Row],[ProjectName]]&amp;ContinuousStatsTable[[#This Row],[Name]]&amp;ContinuousStatsTable[[#This Row],[Type]]&amp;ContinuousStatsTable[[#This Row],[Source]]</f>
        <v>Unnamed ProjectHold M4.QueueNumber WaitingQueue</v>
      </c>
      <c r="N110" s="5" cm="1">
        <f t="array" ref="N110">MAX(IF((ProjectInfoTable[ProjectName]=ContinuousStatsTable[[#This Row],[ProjectName]]),(ProjectInfoTable[ProjectName]=ContinuousStatsTable[[#This Row],[ProjectName]])*ProjectInfoTable[NumberOfReplications]))</f>
        <v>10</v>
      </c>
      <c r="O110" s="5" cm="1">
        <f t="array" ref="O110">IFERROR(AVERAGE(IF((ContinuousStatsTable[GroupByKey]=ContinuousStatsTable[[#This Row],[GroupByKey]]),(ContinuousStatsTable[GroupByKey]=ContinuousStatsTable[[#This Row],[GroupByKey]])*ContinuousStatsTable[Average])),0)</f>
        <v>0</v>
      </c>
      <c r="P110" s="5" cm="1">
        <f t="array" ref="P110">IFERROR(_xlfn.STDEV.S(IF((ContinuousStatsTable[GroupByKey]=ContinuousStatsTable[[#This Row],[GroupByKey]]),(ContinuousStatsTable[GroupByKey]=ContinuousStatsTable[[#This Row],[GroupByKey]])*ContinuousStatsTable[Average])),0)</f>
        <v>0</v>
      </c>
      <c r="Q110" s="5" cm="1">
        <f t="array" ref="Q110">MAX(IF((ProjectInfoTable[ProjectName]=ContinuousStatsTable[[#This Row],[ProjectName]]),(ProjectInfoTable[ProjectName]=ContinuousStatsTable[[#This Row],[ProjectName]])*ProjectInfoTable[ConfidenceInterval]))</f>
        <v>0.95</v>
      </c>
      <c r="R1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0" s="5" cm="1">
        <f t="array" ref="S110">MIN(IF((ContinuousStatsTable[GroupByKey]=ContinuousStatsTable[[#This Row],[GroupByKey]]),(ContinuousStatsTable[GroupByKey]=ContinuousStatsTable[[#This Row],[GroupByKey]])*ContinuousStatsTable[Average]))</f>
        <v>0</v>
      </c>
      <c r="T110" s="5" cm="1">
        <f t="array" ref="T110">MAX(IF((ContinuousStatsTable[GroupByKey]=ContinuousStatsTable[[#This Row],[GroupByKey]]),(ContinuousStatsTable[GroupByKey]=ContinuousStatsTable[[#This Row],[GroupByKey]])*ContinuousStatsTable[Average]))</f>
        <v>0</v>
      </c>
      <c r="U110" s="5">
        <f>IF((ContinuousStatsTable[[#This Row],[RepsRequested]]&gt;1),ContinuousStatsTable[[#This Row],[HalfWidth]],ContinuousStatsTable[[#This Row],[BatchMeansHalfWidth]])</f>
        <v>0</v>
      </c>
    </row>
    <row r="111" spans="1:21" x14ac:dyDescent="0.4">
      <c r="A111" t="s">
        <v>66</v>
      </c>
      <c r="B111" t="s">
        <v>69</v>
      </c>
      <c r="C111">
        <v>5</v>
      </c>
      <c r="D111" t="s">
        <v>84</v>
      </c>
      <c r="E111" t="s">
        <v>94</v>
      </c>
      <c r="F111" t="s">
        <v>80</v>
      </c>
      <c r="G111">
        <v>0</v>
      </c>
      <c r="H111">
        <v>2E+20</v>
      </c>
      <c r="I111">
        <v>0</v>
      </c>
      <c r="J111">
        <v>0</v>
      </c>
      <c r="K111">
        <v>0</v>
      </c>
      <c r="L111">
        <v>0</v>
      </c>
      <c r="M111" s="5" t="str">
        <f>ContinuousStatsTable[[#This Row],[ProjectName]]&amp;ContinuousStatsTable[[#This Row],[Name]]&amp;ContinuousStatsTable[[#This Row],[Type]]&amp;ContinuousStatsTable[[#This Row],[Source]]</f>
        <v>Unnamed ProjectHold M5.QueueNumber WaitingQueue</v>
      </c>
      <c r="N111" s="5" cm="1">
        <f t="array" ref="N111">MAX(IF((ProjectInfoTable[ProjectName]=ContinuousStatsTable[[#This Row],[ProjectName]]),(ProjectInfoTable[ProjectName]=ContinuousStatsTable[[#This Row],[ProjectName]])*ProjectInfoTable[NumberOfReplications]))</f>
        <v>10</v>
      </c>
      <c r="O111" s="5" cm="1">
        <f t="array" ref="O111">IFERROR(AVERAGE(IF((ContinuousStatsTable[GroupByKey]=ContinuousStatsTable[[#This Row],[GroupByKey]]),(ContinuousStatsTable[GroupByKey]=ContinuousStatsTable[[#This Row],[GroupByKey]])*ContinuousStatsTable[Average])),0)</f>
        <v>0</v>
      </c>
      <c r="P111" s="5" cm="1">
        <f t="array" ref="P111">IFERROR(_xlfn.STDEV.S(IF((ContinuousStatsTable[GroupByKey]=ContinuousStatsTable[[#This Row],[GroupByKey]]),(ContinuousStatsTable[GroupByKey]=ContinuousStatsTable[[#This Row],[GroupByKey]])*ContinuousStatsTable[Average])),0)</f>
        <v>0</v>
      </c>
      <c r="Q111" s="5" cm="1">
        <f t="array" ref="Q111">MAX(IF((ProjectInfoTable[ProjectName]=ContinuousStatsTable[[#This Row],[ProjectName]]),(ProjectInfoTable[ProjectName]=ContinuousStatsTable[[#This Row],[ProjectName]])*ProjectInfoTable[ConfidenceInterval]))</f>
        <v>0.95</v>
      </c>
      <c r="R1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1" s="5" cm="1">
        <f t="array" ref="S111">MIN(IF((ContinuousStatsTable[GroupByKey]=ContinuousStatsTable[[#This Row],[GroupByKey]]),(ContinuousStatsTable[GroupByKey]=ContinuousStatsTable[[#This Row],[GroupByKey]])*ContinuousStatsTable[Average]))</f>
        <v>0</v>
      </c>
      <c r="T111" s="5" cm="1">
        <f t="array" ref="T111">MAX(IF((ContinuousStatsTable[GroupByKey]=ContinuousStatsTable[[#This Row],[GroupByKey]]),(ContinuousStatsTable[GroupByKey]=ContinuousStatsTable[[#This Row],[GroupByKey]])*ContinuousStatsTable[Average]))</f>
        <v>0</v>
      </c>
      <c r="U111" s="5">
        <f>IF((ContinuousStatsTable[[#This Row],[RepsRequested]]&gt;1),ContinuousStatsTable[[#This Row],[HalfWidth]],ContinuousStatsTable[[#This Row],[BatchMeansHalfWidth]])</f>
        <v>0</v>
      </c>
    </row>
    <row r="112" spans="1:21" x14ac:dyDescent="0.4">
      <c r="A112" t="s">
        <v>66</v>
      </c>
      <c r="B112" t="s">
        <v>69</v>
      </c>
      <c r="C112">
        <v>5</v>
      </c>
      <c r="D112" t="s">
        <v>95</v>
      </c>
      <c r="E112" t="s">
        <v>96</v>
      </c>
      <c r="F112" t="s">
        <v>97</v>
      </c>
      <c r="G112">
        <v>0.29539806709730798</v>
      </c>
      <c r="H112">
        <v>2E+20</v>
      </c>
      <c r="I112">
        <v>0</v>
      </c>
      <c r="J112">
        <v>1</v>
      </c>
      <c r="K112">
        <v>0.5</v>
      </c>
      <c r="L112">
        <v>0</v>
      </c>
      <c r="M112" s="5" t="str">
        <f>ContinuousStatsTable[[#This Row],[ProjectName]]&amp;ContinuousStatsTable[[#This Row],[Name]]&amp;ContinuousStatsTable[[#This Row],[Type]]&amp;ContinuousStatsTable[[#This Row],[Source]]</f>
        <v>Unnamed ProjectM1Instantaneous UtilizationResource</v>
      </c>
      <c r="N112" s="5" cm="1">
        <f t="array" ref="N112">MAX(IF((ProjectInfoTable[ProjectName]=ContinuousStatsTable[[#This Row],[ProjectName]]),(ProjectInfoTable[ProjectName]=ContinuousStatsTable[[#This Row],[ProjectName]])*ProjectInfoTable[NumberOfReplications]))</f>
        <v>10</v>
      </c>
      <c r="O112" s="5" cm="1">
        <f t="array" ref="O112">IFERROR(AVERAGE(IF((ContinuousStatsTable[GroupByKey]=ContinuousStatsTable[[#This Row],[GroupByKey]]),(ContinuousStatsTable[GroupByKey]=ContinuousStatsTable[[#This Row],[GroupByKey]])*ContinuousStatsTable[Average])),0)</f>
        <v>0.35418637725041224</v>
      </c>
      <c r="P112" s="5" cm="1">
        <f t="array" ref="P112">IFERROR(_xlfn.STDEV.S(IF((ContinuousStatsTable[GroupByKey]=ContinuousStatsTable[[#This Row],[GroupByKey]]),(ContinuousStatsTable[GroupByKey]=ContinuousStatsTable[[#This Row],[GroupByKey]])*ContinuousStatsTable[Average])),0)</f>
        <v>3.3453936231241439E-2</v>
      </c>
      <c r="Q112" s="5" cm="1">
        <f t="array" ref="Q112">MAX(IF((ProjectInfoTable[ProjectName]=ContinuousStatsTable[[#This Row],[ProjectName]]),(ProjectInfoTable[ProjectName]=ContinuousStatsTable[[#This Row],[ProjectName]])*ProjectInfoTable[ConfidenceInterval]))</f>
        <v>0.95</v>
      </c>
      <c r="R1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2.3931504314920794E-2</v>
      </c>
      <c r="S112" s="5" cm="1">
        <f t="array" ref="S112">MIN(IF((ContinuousStatsTable[GroupByKey]=ContinuousStatsTable[[#This Row],[GroupByKey]]),(ContinuousStatsTable[GroupByKey]=ContinuousStatsTable[[#This Row],[GroupByKey]])*ContinuousStatsTable[Average]))</f>
        <v>0.29539806709730798</v>
      </c>
      <c r="T112" s="5" cm="1">
        <f t="array" ref="T112">MAX(IF((ContinuousStatsTable[GroupByKey]=ContinuousStatsTable[[#This Row],[GroupByKey]]),(ContinuousStatsTable[GroupByKey]=ContinuousStatsTable[[#This Row],[GroupByKey]])*ContinuousStatsTable[Average]))</f>
        <v>0.39865120046345498</v>
      </c>
      <c r="U112" s="5">
        <f>IF((ContinuousStatsTable[[#This Row],[RepsRequested]]&gt;1),ContinuousStatsTable[[#This Row],[HalfWidth]],ContinuousStatsTable[[#This Row],[BatchMeansHalfWidth]])</f>
        <v>2.3931504314920794E-2</v>
      </c>
    </row>
    <row r="113" spans="1:21" x14ac:dyDescent="0.4">
      <c r="A113" t="s">
        <v>66</v>
      </c>
      <c r="B113" t="s">
        <v>69</v>
      </c>
      <c r="C113">
        <v>5</v>
      </c>
      <c r="D113" t="s">
        <v>95</v>
      </c>
      <c r="E113" t="s">
        <v>98</v>
      </c>
      <c r="F113" t="s">
        <v>97</v>
      </c>
      <c r="G113">
        <v>0.59079613419461596</v>
      </c>
      <c r="H113">
        <v>2E+20</v>
      </c>
      <c r="I113">
        <v>0</v>
      </c>
      <c r="J113">
        <v>2</v>
      </c>
      <c r="K113">
        <v>1</v>
      </c>
      <c r="L113">
        <v>0</v>
      </c>
      <c r="M113" s="5" t="str">
        <f>ContinuousStatsTable[[#This Row],[ProjectName]]&amp;ContinuousStatsTable[[#This Row],[Name]]&amp;ContinuousStatsTable[[#This Row],[Type]]&amp;ContinuousStatsTable[[#This Row],[Source]]</f>
        <v>Unnamed ProjectM1Number BusyResource</v>
      </c>
      <c r="N113" s="5" cm="1">
        <f t="array" ref="N113">MAX(IF((ProjectInfoTable[ProjectName]=ContinuousStatsTable[[#This Row],[ProjectName]]),(ProjectInfoTable[ProjectName]=ContinuousStatsTable[[#This Row],[ProjectName]])*ProjectInfoTable[NumberOfReplications]))</f>
        <v>10</v>
      </c>
      <c r="O113" s="5" cm="1">
        <f t="array" ref="O113">IFERROR(AVERAGE(IF((ContinuousStatsTable[GroupByKey]=ContinuousStatsTable[[#This Row],[GroupByKey]]),(ContinuousStatsTable[GroupByKey]=ContinuousStatsTable[[#This Row],[GroupByKey]])*ContinuousStatsTable[Average])),0)</f>
        <v>0.70837275450082438</v>
      </c>
      <c r="P113" s="5" cm="1">
        <f t="array" ref="P113">IFERROR(_xlfn.STDEV.S(IF((ContinuousStatsTable[GroupByKey]=ContinuousStatsTable[[#This Row],[GroupByKey]]),(ContinuousStatsTable[GroupByKey]=ContinuousStatsTable[[#This Row],[GroupByKey]])*ContinuousStatsTable[Average])),0)</f>
        <v>6.6907872462483045E-2</v>
      </c>
      <c r="Q113" s="5" cm="1">
        <f t="array" ref="Q113">MAX(IF((ProjectInfoTable[ProjectName]=ContinuousStatsTable[[#This Row],[ProjectName]]),(ProjectInfoTable[ProjectName]=ContinuousStatsTable[[#This Row],[ProjectName]])*ProjectInfoTable[ConfidenceInterval]))</f>
        <v>0.95</v>
      </c>
      <c r="R1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4.7863008629841705E-2</v>
      </c>
      <c r="S113" s="5" cm="1">
        <f t="array" ref="S113">MIN(IF((ContinuousStatsTable[GroupByKey]=ContinuousStatsTable[[#This Row],[GroupByKey]]),(ContinuousStatsTable[GroupByKey]=ContinuousStatsTable[[#This Row],[GroupByKey]])*ContinuousStatsTable[Average]))</f>
        <v>0.59079613419461596</v>
      </c>
      <c r="T113" s="5" cm="1">
        <f t="array" ref="T113">MAX(IF((ContinuousStatsTable[GroupByKey]=ContinuousStatsTable[[#This Row],[GroupByKey]]),(ContinuousStatsTable[GroupByKey]=ContinuousStatsTable[[#This Row],[GroupByKey]])*ContinuousStatsTable[Average]))</f>
        <v>0.79730240092691096</v>
      </c>
      <c r="U113" s="5">
        <f>IF((ContinuousStatsTable[[#This Row],[RepsRequested]]&gt;1),ContinuousStatsTable[[#This Row],[HalfWidth]],ContinuousStatsTable[[#This Row],[BatchMeansHalfWidth]])</f>
        <v>4.7863008629841705E-2</v>
      </c>
    </row>
    <row r="114" spans="1:21" x14ac:dyDescent="0.4">
      <c r="A114" t="s">
        <v>66</v>
      </c>
      <c r="B114" t="s">
        <v>69</v>
      </c>
      <c r="C114">
        <v>5</v>
      </c>
      <c r="D114" t="s">
        <v>95</v>
      </c>
      <c r="E114" t="s">
        <v>99</v>
      </c>
      <c r="F114" t="s">
        <v>97</v>
      </c>
      <c r="G114">
        <v>2</v>
      </c>
      <c r="H114">
        <v>2E+20</v>
      </c>
      <c r="I114">
        <v>2</v>
      </c>
      <c r="J114">
        <v>2</v>
      </c>
      <c r="K114">
        <v>2</v>
      </c>
      <c r="L114">
        <v>0</v>
      </c>
      <c r="M114" s="5" t="str">
        <f>ContinuousStatsTable[[#This Row],[ProjectName]]&amp;ContinuousStatsTable[[#This Row],[Name]]&amp;ContinuousStatsTable[[#This Row],[Type]]&amp;ContinuousStatsTable[[#This Row],[Source]]</f>
        <v>Unnamed ProjectM1Number ScheduledResource</v>
      </c>
      <c r="N114" s="5" cm="1">
        <f t="array" ref="N114">MAX(IF((ProjectInfoTable[ProjectName]=ContinuousStatsTable[[#This Row],[ProjectName]]),(ProjectInfoTable[ProjectName]=ContinuousStatsTable[[#This Row],[ProjectName]])*ProjectInfoTable[NumberOfReplications]))</f>
        <v>10</v>
      </c>
      <c r="O114" s="5" cm="1">
        <f t="array" ref="O114">IFERROR(AVERAGE(IF((ContinuousStatsTable[GroupByKey]=ContinuousStatsTable[[#This Row],[GroupByKey]]),(ContinuousStatsTable[GroupByKey]=ContinuousStatsTable[[#This Row],[GroupByKey]])*ContinuousStatsTable[Average])),0)</f>
        <v>2</v>
      </c>
      <c r="P114" s="5" cm="1">
        <f t="array" ref="P114">IFERROR(_xlfn.STDEV.S(IF((ContinuousStatsTable[GroupByKey]=ContinuousStatsTable[[#This Row],[GroupByKey]]),(ContinuousStatsTable[GroupByKey]=ContinuousStatsTable[[#This Row],[GroupByKey]])*ContinuousStatsTable[Average])),0)</f>
        <v>0</v>
      </c>
      <c r="Q114" s="5" cm="1">
        <f t="array" ref="Q114">MAX(IF((ProjectInfoTable[ProjectName]=ContinuousStatsTable[[#This Row],[ProjectName]]),(ProjectInfoTable[ProjectName]=ContinuousStatsTable[[#This Row],[ProjectName]])*ProjectInfoTable[ConfidenceInterval]))</f>
        <v>0.95</v>
      </c>
      <c r="R1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4" s="5" cm="1">
        <f t="array" ref="S114">MIN(IF((ContinuousStatsTable[GroupByKey]=ContinuousStatsTable[[#This Row],[GroupByKey]]),(ContinuousStatsTable[GroupByKey]=ContinuousStatsTable[[#This Row],[GroupByKey]])*ContinuousStatsTable[Average]))</f>
        <v>2</v>
      </c>
      <c r="T114" s="5" cm="1">
        <f t="array" ref="T114">MAX(IF((ContinuousStatsTable[GroupByKey]=ContinuousStatsTable[[#This Row],[GroupByKey]]),(ContinuousStatsTable[GroupByKey]=ContinuousStatsTable[[#This Row],[GroupByKey]])*ContinuousStatsTable[Average]))</f>
        <v>2</v>
      </c>
      <c r="U114" s="5">
        <f>IF((ContinuousStatsTable[[#This Row],[RepsRequested]]&gt;1),ContinuousStatsTable[[#This Row],[HalfWidth]],ContinuousStatsTable[[#This Row],[BatchMeansHalfWidth]])</f>
        <v>0</v>
      </c>
    </row>
    <row r="115" spans="1:21" x14ac:dyDescent="0.4">
      <c r="A115" t="s">
        <v>66</v>
      </c>
      <c r="B115" t="s">
        <v>69</v>
      </c>
      <c r="C115">
        <v>5</v>
      </c>
      <c r="D115" t="s">
        <v>85</v>
      </c>
      <c r="E115" t="s">
        <v>94</v>
      </c>
      <c r="F115" t="s">
        <v>80</v>
      </c>
      <c r="G115">
        <v>5.0897579825160202E-2</v>
      </c>
      <c r="H115">
        <v>2E+20</v>
      </c>
      <c r="I115">
        <v>0</v>
      </c>
      <c r="J115">
        <v>3</v>
      </c>
      <c r="K115">
        <v>0</v>
      </c>
      <c r="L115">
        <v>0</v>
      </c>
      <c r="M115" s="5" t="str">
        <f>ContinuousStatsTable[[#This Row],[ProjectName]]&amp;ContinuousStatsTable[[#This Row],[Name]]&amp;ContinuousStatsTable[[#This Row],[Type]]&amp;ContinuousStatsTable[[#This Row],[Source]]</f>
        <v>Unnamed ProjectM1.QNumber WaitingQueue</v>
      </c>
      <c r="N115" s="5" cm="1">
        <f t="array" ref="N115">MAX(IF((ProjectInfoTable[ProjectName]=ContinuousStatsTable[[#This Row],[ProjectName]]),(ProjectInfoTable[ProjectName]=ContinuousStatsTable[[#This Row],[ProjectName]])*ProjectInfoTable[NumberOfReplications]))</f>
        <v>10</v>
      </c>
      <c r="O115" s="5" cm="1">
        <f t="array" ref="O115">IFERROR(AVERAGE(IF((ContinuousStatsTable[GroupByKey]=ContinuousStatsTable[[#This Row],[GroupByKey]]),(ContinuousStatsTable[GroupByKey]=ContinuousStatsTable[[#This Row],[GroupByKey]])*ContinuousStatsTable[Average])),0)</f>
        <v>8.2638825969756052E-2</v>
      </c>
      <c r="P115" s="5" cm="1">
        <f t="array" ref="P115">IFERROR(_xlfn.STDEV.S(IF((ContinuousStatsTable[GroupByKey]=ContinuousStatsTable[[#This Row],[GroupByKey]]),(ContinuousStatsTable[GroupByKey]=ContinuousStatsTable[[#This Row],[GroupByKey]])*ContinuousStatsTable[Average])),0)</f>
        <v>2.9983492659856659E-2</v>
      </c>
      <c r="Q115" s="5" cm="1">
        <f t="array" ref="Q115">MAX(IF((ProjectInfoTable[ProjectName]=ContinuousStatsTable[[#This Row],[ProjectName]]),(ProjectInfoTable[ProjectName]=ContinuousStatsTable[[#This Row],[ProjectName]])*ProjectInfoTable[ConfidenceInterval]))</f>
        <v>0.95</v>
      </c>
      <c r="R1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2.1448898539349195E-2</v>
      </c>
      <c r="S115" s="5" cm="1">
        <f t="array" ref="S115">MIN(IF((ContinuousStatsTable[GroupByKey]=ContinuousStatsTable[[#This Row],[GroupByKey]]),(ContinuousStatsTable[GroupByKey]=ContinuousStatsTable[[#This Row],[GroupByKey]])*ContinuousStatsTable[Average]))</f>
        <v>3.4990004496426703E-2</v>
      </c>
      <c r="T115" s="5" cm="1">
        <f t="array" ref="T115">MAX(IF((ContinuousStatsTable[GroupByKey]=ContinuousStatsTable[[#This Row],[GroupByKey]]),(ContinuousStatsTable[GroupByKey]=ContinuousStatsTable[[#This Row],[GroupByKey]])*ContinuousStatsTable[Average]))</f>
        <v>0.13146637852281401</v>
      </c>
      <c r="U115" s="5">
        <f>IF((ContinuousStatsTable[[#This Row],[RepsRequested]]&gt;1),ContinuousStatsTable[[#This Row],[HalfWidth]],ContinuousStatsTable[[#This Row],[BatchMeansHalfWidth]])</f>
        <v>2.1448898539349195E-2</v>
      </c>
    </row>
    <row r="116" spans="1:21" x14ac:dyDescent="0.4">
      <c r="A116" t="s">
        <v>66</v>
      </c>
      <c r="B116" t="s">
        <v>69</v>
      </c>
      <c r="C116">
        <v>5</v>
      </c>
      <c r="D116" t="s">
        <v>100</v>
      </c>
      <c r="E116" t="s">
        <v>96</v>
      </c>
      <c r="F116" t="s">
        <v>97</v>
      </c>
      <c r="G116">
        <v>0.62412916158771403</v>
      </c>
      <c r="H116">
        <v>2E+20</v>
      </c>
      <c r="I116">
        <v>0</v>
      </c>
      <c r="J116">
        <v>1</v>
      </c>
      <c r="K116">
        <v>1</v>
      </c>
      <c r="L116">
        <v>0</v>
      </c>
      <c r="M116" s="5" t="str">
        <f>ContinuousStatsTable[[#This Row],[ProjectName]]&amp;ContinuousStatsTable[[#This Row],[Name]]&amp;ContinuousStatsTable[[#This Row],[Type]]&amp;ContinuousStatsTable[[#This Row],[Source]]</f>
        <v>Unnamed ProjectM2Instantaneous UtilizationResource</v>
      </c>
      <c r="N116" s="5" cm="1">
        <f t="array" ref="N116">MAX(IF((ProjectInfoTable[ProjectName]=ContinuousStatsTable[[#This Row],[ProjectName]]),(ProjectInfoTable[ProjectName]=ContinuousStatsTable[[#This Row],[ProjectName]])*ProjectInfoTable[NumberOfReplications]))</f>
        <v>10</v>
      </c>
      <c r="O116" s="5" cm="1">
        <f t="array" ref="O116">IFERROR(AVERAGE(IF((ContinuousStatsTable[GroupByKey]=ContinuousStatsTable[[#This Row],[GroupByKey]]),(ContinuousStatsTable[GroupByKey]=ContinuousStatsTable[[#This Row],[GroupByKey]])*ContinuousStatsTable[Average])),0)</f>
        <v>0.79069410142096264</v>
      </c>
      <c r="P116" s="5" cm="1">
        <f t="array" ref="P116">IFERROR(_xlfn.STDEV.S(IF((ContinuousStatsTable[GroupByKey]=ContinuousStatsTable[[#This Row],[GroupByKey]]),(ContinuousStatsTable[GroupByKey]=ContinuousStatsTable[[#This Row],[GroupByKey]])*ContinuousStatsTable[Average])),0)</f>
        <v>8.4677985904895448E-2</v>
      </c>
      <c r="Q116" s="5" cm="1">
        <f t="array" ref="Q116">MAX(IF((ProjectInfoTable[ProjectName]=ContinuousStatsTable[[#This Row],[ProjectName]]),(ProjectInfoTable[ProjectName]=ContinuousStatsTable[[#This Row],[ProjectName]])*ProjectInfoTable[ConfidenceInterval]))</f>
        <v>0.95</v>
      </c>
      <c r="R1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6.0574982000753563E-2</v>
      </c>
      <c r="S116" s="5" cm="1">
        <f t="array" ref="S116">MIN(IF((ContinuousStatsTable[GroupByKey]=ContinuousStatsTable[[#This Row],[GroupByKey]]),(ContinuousStatsTable[GroupByKey]=ContinuousStatsTable[[#This Row],[GroupByKey]])*ContinuousStatsTable[Average]))</f>
        <v>0.62412916158771403</v>
      </c>
      <c r="T116" s="5" cm="1">
        <f t="array" ref="T116">MAX(IF((ContinuousStatsTable[GroupByKey]=ContinuousStatsTable[[#This Row],[GroupByKey]]),(ContinuousStatsTable[GroupByKey]=ContinuousStatsTable[[#This Row],[GroupByKey]])*ContinuousStatsTable[Average]))</f>
        <v>0.92247891730008102</v>
      </c>
      <c r="U116" s="5">
        <f>IF((ContinuousStatsTable[[#This Row],[RepsRequested]]&gt;1),ContinuousStatsTable[[#This Row],[HalfWidth]],ContinuousStatsTable[[#This Row],[BatchMeansHalfWidth]])</f>
        <v>6.0574982000753563E-2</v>
      </c>
    </row>
    <row r="117" spans="1:21" x14ac:dyDescent="0.4">
      <c r="A117" t="s">
        <v>66</v>
      </c>
      <c r="B117" t="s">
        <v>69</v>
      </c>
      <c r="C117">
        <v>5</v>
      </c>
      <c r="D117" t="s">
        <v>100</v>
      </c>
      <c r="E117" t="s">
        <v>98</v>
      </c>
      <c r="F117" t="s">
        <v>97</v>
      </c>
      <c r="G117">
        <v>0.62412916158771403</v>
      </c>
      <c r="H117">
        <v>2E+20</v>
      </c>
      <c r="I117">
        <v>0</v>
      </c>
      <c r="J117">
        <v>1</v>
      </c>
      <c r="K117">
        <v>1</v>
      </c>
      <c r="L117">
        <v>0</v>
      </c>
      <c r="M117" s="5" t="str">
        <f>ContinuousStatsTable[[#This Row],[ProjectName]]&amp;ContinuousStatsTable[[#This Row],[Name]]&amp;ContinuousStatsTable[[#This Row],[Type]]&amp;ContinuousStatsTable[[#This Row],[Source]]</f>
        <v>Unnamed ProjectM2Number BusyResource</v>
      </c>
      <c r="N117" s="5" cm="1">
        <f t="array" ref="N117">MAX(IF((ProjectInfoTable[ProjectName]=ContinuousStatsTable[[#This Row],[ProjectName]]),(ProjectInfoTable[ProjectName]=ContinuousStatsTable[[#This Row],[ProjectName]])*ProjectInfoTable[NumberOfReplications]))</f>
        <v>10</v>
      </c>
      <c r="O117" s="5" cm="1">
        <f t="array" ref="O117">IFERROR(AVERAGE(IF((ContinuousStatsTable[GroupByKey]=ContinuousStatsTable[[#This Row],[GroupByKey]]),(ContinuousStatsTable[GroupByKey]=ContinuousStatsTable[[#This Row],[GroupByKey]])*ContinuousStatsTable[Average])),0)</f>
        <v>0.79069410142096264</v>
      </c>
      <c r="P117" s="5" cm="1">
        <f t="array" ref="P117">IFERROR(_xlfn.STDEV.S(IF((ContinuousStatsTable[GroupByKey]=ContinuousStatsTable[[#This Row],[GroupByKey]]),(ContinuousStatsTable[GroupByKey]=ContinuousStatsTable[[#This Row],[GroupByKey]])*ContinuousStatsTable[Average])),0)</f>
        <v>8.4677985904895448E-2</v>
      </c>
      <c r="Q117" s="5" cm="1">
        <f t="array" ref="Q117">MAX(IF((ProjectInfoTable[ProjectName]=ContinuousStatsTable[[#This Row],[ProjectName]]),(ProjectInfoTable[ProjectName]=ContinuousStatsTable[[#This Row],[ProjectName]])*ProjectInfoTable[ConfidenceInterval]))</f>
        <v>0.95</v>
      </c>
      <c r="R1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6.0574982000753563E-2</v>
      </c>
      <c r="S117" s="5" cm="1">
        <f t="array" ref="S117">MIN(IF((ContinuousStatsTable[GroupByKey]=ContinuousStatsTable[[#This Row],[GroupByKey]]),(ContinuousStatsTable[GroupByKey]=ContinuousStatsTable[[#This Row],[GroupByKey]])*ContinuousStatsTable[Average]))</f>
        <v>0.62412916158771403</v>
      </c>
      <c r="T117" s="5" cm="1">
        <f t="array" ref="T117">MAX(IF((ContinuousStatsTable[GroupByKey]=ContinuousStatsTable[[#This Row],[GroupByKey]]),(ContinuousStatsTable[GroupByKey]=ContinuousStatsTable[[#This Row],[GroupByKey]])*ContinuousStatsTable[Average]))</f>
        <v>0.92247891730008102</v>
      </c>
      <c r="U117" s="5">
        <f>IF((ContinuousStatsTable[[#This Row],[RepsRequested]]&gt;1),ContinuousStatsTable[[#This Row],[HalfWidth]],ContinuousStatsTable[[#This Row],[BatchMeansHalfWidth]])</f>
        <v>6.0574982000753563E-2</v>
      </c>
    </row>
    <row r="118" spans="1:21" x14ac:dyDescent="0.4">
      <c r="A118" t="s">
        <v>66</v>
      </c>
      <c r="B118" t="s">
        <v>69</v>
      </c>
      <c r="C118">
        <v>5</v>
      </c>
      <c r="D118" t="s">
        <v>100</v>
      </c>
      <c r="E118" t="s">
        <v>99</v>
      </c>
      <c r="F118" t="s">
        <v>97</v>
      </c>
      <c r="G118">
        <v>1</v>
      </c>
      <c r="H118">
        <v>2E+20</v>
      </c>
      <c r="I118">
        <v>1</v>
      </c>
      <c r="J118">
        <v>1</v>
      </c>
      <c r="K118">
        <v>1</v>
      </c>
      <c r="L118">
        <v>0</v>
      </c>
      <c r="M118" s="5" t="str">
        <f>ContinuousStatsTable[[#This Row],[ProjectName]]&amp;ContinuousStatsTable[[#This Row],[Name]]&amp;ContinuousStatsTable[[#This Row],[Type]]&amp;ContinuousStatsTable[[#This Row],[Source]]</f>
        <v>Unnamed ProjectM2Number ScheduledResource</v>
      </c>
      <c r="N118" s="5" cm="1">
        <f t="array" ref="N118">MAX(IF((ProjectInfoTable[ProjectName]=ContinuousStatsTable[[#This Row],[ProjectName]]),(ProjectInfoTable[ProjectName]=ContinuousStatsTable[[#This Row],[ProjectName]])*ProjectInfoTable[NumberOfReplications]))</f>
        <v>10</v>
      </c>
      <c r="O118" s="5" cm="1">
        <f t="array" ref="O118">IFERROR(AVERAGE(IF((ContinuousStatsTable[GroupByKey]=ContinuousStatsTable[[#This Row],[GroupByKey]]),(ContinuousStatsTable[GroupByKey]=ContinuousStatsTable[[#This Row],[GroupByKey]])*ContinuousStatsTable[Average])),0)</f>
        <v>1</v>
      </c>
      <c r="P118" s="5" cm="1">
        <f t="array" ref="P118">IFERROR(_xlfn.STDEV.S(IF((ContinuousStatsTable[GroupByKey]=ContinuousStatsTable[[#This Row],[GroupByKey]]),(ContinuousStatsTable[GroupByKey]=ContinuousStatsTable[[#This Row],[GroupByKey]])*ContinuousStatsTable[Average])),0)</f>
        <v>0</v>
      </c>
      <c r="Q118" s="5" cm="1">
        <f t="array" ref="Q118">MAX(IF((ProjectInfoTable[ProjectName]=ContinuousStatsTable[[#This Row],[ProjectName]]),(ProjectInfoTable[ProjectName]=ContinuousStatsTable[[#This Row],[ProjectName]])*ProjectInfoTable[ConfidenceInterval]))</f>
        <v>0.95</v>
      </c>
      <c r="R1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8" s="5" cm="1">
        <f t="array" ref="S118">MIN(IF((ContinuousStatsTable[GroupByKey]=ContinuousStatsTable[[#This Row],[GroupByKey]]),(ContinuousStatsTable[GroupByKey]=ContinuousStatsTable[[#This Row],[GroupByKey]])*ContinuousStatsTable[Average]))</f>
        <v>1</v>
      </c>
      <c r="T118" s="5" cm="1">
        <f t="array" ref="T118">MAX(IF((ContinuousStatsTable[GroupByKey]=ContinuousStatsTable[[#This Row],[GroupByKey]]),(ContinuousStatsTable[GroupByKey]=ContinuousStatsTable[[#This Row],[GroupByKey]])*ContinuousStatsTable[Average]))</f>
        <v>1</v>
      </c>
      <c r="U118" s="5">
        <f>IF((ContinuousStatsTable[[#This Row],[RepsRequested]]&gt;1),ContinuousStatsTable[[#This Row],[HalfWidth]],ContinuousStatsTable[[#This Row],[BatchMeansHalfWidth]])</f>
        <v>0</v>
      </c>
    </row>
    <row r="119" spans="1:21" x14ac:dyDescent="0.4">
      <c r="A119" t="s">
        <v>66</v>
      </c>
      <c r="B119" t="s">
        <v>69</v>
      </c>
      <c r="C119">
        <v>5</v>
      </c>
      <c r="D119" t="s">
        <v>86</v>
      </c>
      <c r="E119" t="s">
        <v>94</v>
      </c>
      <c r="F119" t="s">
        <v>80</v>
      </c>
      <c r="G119">
        <v>0.64368437614034602</v>
      </c>
      <c r="H119">
        <v>2E+20</v>
      </c>
      <c r="I119">
        <v>0</v>
      </c>
      <c r="J119">
        <v>4</v>
      </c>
      <c r="K119">
        <v>2</v>
      </c>
      <c r="L119">
        <v>0</v>
      </c>
      <c r="M119" s="5" t="str">
        <f>ContinuousStatsTable[[#This Row],[ProjectName]]&amp;ContinuousStatsTable[[#This Row],[Name]]&amp;ContinuousStatsTable[[#This Row],[Type]]&amp;ContinuousStatsTable[[#This Row],[Source]]</f>
        <v>Unnamed ProjectM2.QNumber WaitingQueue</v>
      </c>
      <c r="N119" s="5" cm="1">
        <f t="array" ref="N119">MAX(IF((ProjectInfoTable[ProjectName]=ContinuousStatsTable[[#This Row],[ProjectName]]),(ProjectInfoTable[ProjectName]=ContinuousStatsTable[[#This Row],[ProjectName]])*ProjectInfoTable[NumberOfReplications]))</f>
        <v>10</v>
      </c>
      <c r="O119" s="5" cm="1">
        <f t="array" ref="O119">IFERROR(AVERAGE(IF((ContinuousStatsTable[GroupByKey]=ContinuousStatsTable[[#This Row],[GroupByKey]]),(ContinuousStatsTable[GroupByKey]=ContinuousStatsTable[[#This Row],[GroupByKey]])*ContinuousStatsTable[Average])),0)</f>
        <v>1.9414248775037748</v>
      </c>
      <c r="P119" s="5" cm="1">
        <f t="array" ref="P119">IFERROR(_xlfn.STDEV.S(IF((ContinuousStatsTable[GroupByKey]=ContinuousStatsTable[[#This Row],[GroupByKey]]),(ContinuousStatsTable[GroupByKey]=ContinuousStatsTable[[#This Row],[GroupByKey]])*ContinuousStatsTable[Average])),0)</f>
        <v>1.0999712931753487</v>
      </c>
      <c r="Q119" s="5" cm="1">
        <f t="array" ref="Q119">MAX(IF((ProjectInfoTable[ProjectName]=ContinuousStatsTable[[#This Row],[ProjectName]]),(ProjectInfoTable[ProjectName]=ContinuousStatsTable[[#This Row],[ProjectName]])*ProjectInfoTable[ConfidenceInterval]))</f>
        <v>0.95</v>
      </c>
      <c r="R1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0.78687206094246831</v>
      </c>
      <c r="S119" s="5" cm="1">
        <f t="array" ref="S119">MIN(IF((ContinuousStatsTable[GroupByKey]=ContinuousStatsTable[[#This Row],[GroupByKey]]),(ContinuousStatsTable[GroupByKey]=ContinuousStatsTable[[#This Row],[GroupByKey]])*ContinuousStatsTable[Average]))</f>
        <v>0.64368437614034602</v>
      </c>
      <c r="T119" s="5" cm="1">
        <f t="array" ref="T119">MAX(IF((ContinuousStatsTable[GroupByKey]=ContinuousStatsTable[[#This Row],[GroupByKey]]),(ContinuousStatsTable[GroupByKey]=ContinuousStatsTable[[#This Row],[GroupByKey]])*ContinuousStatsTable[Average]))</f>
        <v>3.96038812902029</v>
      </c>
      <c r="U119" s="5">
        <f>IF((ContinuousStatsTable[[#This Row],[RepsRequested]]&gt;1),ContinuousStatsTable[[#This Row],[HalfWidth]],ContinuousStatsTable[[#This Row],[BatchMeansHalfWidth]])</f>
        <v>0.78687206094246831</v>
      </c>
    </row>
    <row r="120" spans="1:21" x14ac:dyDescent="0.4">
      <c r="A120" t="s">
        <v>66</v>
      </c>
      <c r="B120" t="s">
        <v>69</v>
      </c>
      <c r="C120">
        <v>5</v>
      </c>
      <c r="D120" t="s">
        <v>101</v>
      </c>
      <c r="E120" t="s">
        <v>96</v>
      </c>
      <c r="F120" t="s">
        <v>97</v>
      </c>
      <c r="G120">
        <v>0.32566726436532201</v>
      </c>
      <c r="H120">
        <v>2E+20</v>
      </c>
      <c r="I120">
        <v>0</v>
      </c>
      <c r="J120">
        <v>1</v>
      </c>
      <c r="K120">
        <v>0</v>
      </c>
      <c r="L120">
        <v>0</v>
      </c>
      <c r="M120" s="5" t="str">
        <f>ContinuousStatsTable[[#This Row],[ProjectName]]&amp;ContinuousStatsTable[[#This Row],[Name]]&amp;ContinuousStatsTable[[#This Row],[Type]]&amp;ContinuousStatsTable[[#This Row],[Source]]</f>
        <v>Unnamed ProjectM3Instantaneous UtilizationResource</v>
      </c>
      <c r="N120" s="5" cm="1">
        <f t="array" ref="N120">MAX(IF((ProjectInfoTable[ProjectName]=ContinuousStatsTable[[#This Row],[ProjectName]]),(ProjectInfoTable[ProjectName]=ContinuousStatsTable[[#This Row],[ProjectName]])*ProjectInfoTable[NumberOfReplications]))</f>
        <v>10</v>
      </c>
      <c r="O120" s="5" cm="1">
        <f t="array" ref="O120">IFERROR(AVERAGE(IF((ContinuousStatsTable[GroupByKey]=ContinuousStatsTable[[#This Row],[GroupByKey]]),(ContinuousStatsTable[GroupByKey]=ContinuousStatsTable[[#This Row],[GroupByKey]])*ContinuousStatsTable[Average])),0)</f>
        <v>0.38204498745219106</v>
      </c>
      <c r="P120" s="5" cm="1">
        <f t="array" ref="P120">IFERROR(_xlfn.STDEV.S(IF((ContinuousStatsTable[GroupByKey]=ContinuousStatsTable[[#This Row],[GroupByKey]]),(ContinuousStatsTable[GroupByKey]=ContinuousStatsTable[[#This Row],[GroupByKey]])*ContinuousStatsTable[Average])),0)</f>
        <v>2.9603647703352595E-2</v>
      </c>
      <c r="Q120" s="5" cm="1">
        <f t="array" ref="Q120">MAX(IF((ProjectInfoTable[ProjectName]=ContinuousStatsTable[[#This Row],[ProjectName]]),(ProjectInfoTable[ProjectName]=ContinuousStatsTable[[#This Row],[ProjectName]])*ProjectInfoTable[ConfidenceInterval]))</f>
        <v>0.95</v>
      </c>
      <c r="R1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2.1177173826515884E-2</v>
      </c>
      <c r="S120" s="5" cm="1">
        <f t="array" ref="S120">MIN(IF((ContinuousStatsTable[GroupByKey]=ContinuousStatsTable[[#This Row],[GroupByKey]]),(ContinuousStatsTable[GroupByKey]=ContinuousStatsTable[[#This Row],[GroupByKey]])*ContinuousStatsTable[Average]))</f>
        <v>0.32566726436532201</v>
      </c>
      <c r="T120" s="5" cm="1">
        <f t="array" ref="T120">MAX(IF((ContinuousStatsTable[GroupByKey]=ContinuousStatsTable[[#This Row],[GroupByKey]]),(ContinuousStatsTable[GroupByKey]=ContinuousStatsTable[[#This Row],[GroupByKey]])*ContinuousStatsTable[Average]))</f>
        <v>0.42511230467838501</v>
      </c>
      <c r="U120" s="5">
        <f>IF((ContinuousStatsTable[[#This Row],[RepsRequested]]&gt;1),ContinuousStatsTable[[#This Row],[HalfWidth]],ContinuousStatsTable[[#This Row],[BatchMeansHalfWidth]])</f>
        <v>2.1177173826515884E-2</v>
      </c>
    </row>
    <row r="121" spans="1:21" x14ac:dyDescent="0.4">
      <c r="A121" t="s">
        <v>66</v>
      </c>
      <c r="B121" t="s">
        <v>69</v>
      </c>
      <c r="C121">
        <v>5</v>
      </c>
      <c r="D121" t="s">
        <v>101</v>
      </c>
      <c r="E121" t="s">
        <v>98</v>
      </c>
      <c r="F121" t="s">
        <v>97</v>
      </c>
      <c r="G121">
        <v>0.65133452873064301</v>
      </c>
      <c r="H121">
        <v>2E+20</v>
      </c>
      <c r="I121">
        <v>0</v>
      </c>
      <c r="J121">
        <v>2</v>
      </c>
      <c r="K121">
        <v>0</v>
      </c>
      <c r="L121">
        <v>0</v>
      </c>
      <c r="M121" s="5" t="str">
        <f>ContinuousStatsTable[[#This Row],[ProjectName]]&amp;ContinuousStatsTable[[#This Row],[Name]]&amp;ContinuousStatsTable[[#This Row],[Type]]&amp;ContinuousStatsTable[[#This Row],[Source]]</f>
        <v>Unnamed ProjectM3Number BusyResource</v>
      </c>
      <c r="N121" s="5" cm="1">
        <f t="array" ref="N121">MAX(IF((ProjectInfoTable[ProjectName]=ContinuousStatsTable[[#This Row],[ProjectName]]),(ProjectInfoTable[ProjectName]=ContinuousStatsTable[[#This Row],[ProjectName]])*ProjectInfoTable[NumberOfReplications]))</f>
        <v>10</v>
      </c>
      <c r="O121" s="5" cm="1">
        <f t="array" ref="O121">IFERROR(AVERAGE(IF((ContinuousStatsTable[GroupByKey]=ContinuousStatsTable[[#This Row],[GroupByKey]]),(ContinuousStatsTable[GroupByKey]=ContinuousStatsTable[[#This Row],[GroupByKey]])*ContinuousStatsTable[Average])),0)</f>
        <v>0.76408997490438202</v>
      </c>
      <c r="P121" s="5" cm="1">
        <f t="array" ref="P121">IFERROR(_xlfn.STDEV.S(IF((ContinuousStatsTable[GroupByKey]=ContinuousStatsTable[[#This Row],[GroupByKey]]),(ContinuousStatsTable[GroupByKey]=ContinuousStatsTable[[#This Row],[GroupByKey]])*ContinuousStatsTable[Average])),0)</f>
        <v>5.9207295406705232E-2</v>
      </c>
      <c r="Q121" s="5" cm="1">
        <f t="array" ref="Q121">MAX(IF((ProjectInfoTable[ProjectName]=ContinuousStatsTable[[#This Row],[ProjectName]]),(ProjectInfoTable[ProjectName]=ContinuousStatsTable[[#This Row],[ProjectName]])*ProjectInfoTable[ConfidenceInterval]))</f>
        <v>0.95</v>
      </c>
      <c r="R1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4.2354347653031796E-2</v>
      </c>
      <c r="S121" s="5" cm="1">
        <f t="array" ref="S121">MIN(IF((ContinuousStatsTable[GroupByKey]=ContinuousStatsTable[[#This Row],[GroupByKey]]),(ContinuousStatsTable[GroupByKey]=ContinuousStatsTable[[#This Row],[GroupByKey]])*ContinuousStatsTable[Average]))</f>
        <v>0.65133452873064301</v>
      </c>
      <c r="T121" s="5" cm="1">
        <f t="array" ref="T121">MAX(IF((ContinuousStatsTable[GroupByKey]=ContinuousStatsTable[[#This Row],[GroupByKey]]),(ContinuousStatsTable[GroupByKey]=ContinuousStatsTable[[#This Row],[GroupByKey]])*ContinuousStatsTable[Average]))</f>
        <v>0.85022460935677002</v>
      </c>
      <c r="U121" s="5">
        <f>IF((ContinuousStatsTable[[#This Row],[RepsRequested]]&gt;1),ContinuousStatsTable[[#This Row],[HalfWidth]],ContinuousStatsTable[[#This Row],[BatchMeansHalfWidth]])</f>
        <v>4.2354347653031796E-2</v>
      </c>
    </row>
    <row r="122" spans="1:21" x14ac:dyDescent="0.4">
      <c r="A122" t="s">
        <v>66</v>
      </c>
      <c r="B122" t="s">
        <v>69</v>
      </c>
      <c r="C122">
        <v>5</v>
      </c>
      <c r="D122" t="s">
        <v>101</v>
      </c>
      <c r="E122" t="s">
        <v>99</v>
      </c>
      <c r="F122" t="s">
        <v>97</v>
      </c>
      <c r="G122">
        <v>2</v>
      </c>
      <c r="H122">
        <v>2E+20</v>
      </c>
      <c r="I122">
        <v>2</v>
      </c>
      <c r="J122">
        <v>2</v>
      </c>
      <c r="K122">
        <v>2</v>
      </c>
      <c r="L122">
        <v>0</v>
      </c>
      <c r="M122" s="5" t="str">
        <f>ContinuousStatsTable[[#This Row],[ProjectName]]&amp;ContinuousStatsTable[[#This Row],[Name]]&amp;ContinuousStatsTable[[#This Row],[Type]]&amp;ContinuousStatsTable[[#This Row],[Source]]</f>
        <v>Unnamed ProjectM3Number ScheduledResource</v>
      </c>
      <c r="N122" s="5" cm="1">
        <f t="array" ref="N122">MAX(IF((ProjectInfoTable[ProjectName]=ContinuousStatsTable[[#This Row],[ProjectName]]),(ProjectInfoTable[ProjectName]=ContinuousStatsTable[[#This Row],[ProjectName]])*ProjectInfoTable[NumberOfReplications]))</f>
        <v>10</v>
      </c>
      <c r="O122" s="5" cm="1">
        <f t="array" ref="O122">IFERROR(AVERAGE(IF((ContinuousStatsTable[GroupByKey]=ContinuousStatsTable[[#This Row],[GroupByKey]]),(ContinuousStatsTable[GroupByKey]=ContinuousStatsTable[[#This Row],[GroupByKey]])*ContinuousStatsTable[Average])),0)</f>
        <v>2</v>
      </c>
      <c r="P122" s="5" cm="1">
        <f t="array" ref="P122">IFERROR(_xlfn.STDEV.S(IF((ContinuousStatsTable[GroupByKey]=ContinuousStatsTable[[#This Row],[GroupByKey]]),(ContinuousStatsTable[GroupByKey]=ContinuousStatsTable[[#This Row],[GroupByKey]])*ContinuousStatsTable[Average])),0)</f>
        <v>0</v>
      </c>
      <c r="Q122" s="5" cm="1">
        <f t="array" ref="Q122">MAX(IF((ProjectInfoTable[ProjectName]=ContinuousStatsTable[[#This Row],[ProjectName]]),(ProjectInfoTable[ProjectName]=ContinuousStatsTable[[#This Row],[ProjectName]])*ProjectInfoTable[ConfidenceInterval]))</f>
        <v>0.95</v>
      </c>
      <c r="R1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2" s="5" cm="1">
        <f t="array" ref="S122">MIN(IF((ContinuousStatsTable[GroupByKey]=ContinuousStatsTable[[#This Row],[GroupByKey]]),(ContinuousStatsTable[GroupByKey]=ContinuousStatsTable[[#This Row],[GroupByKey]])*ContinuousStatsTable[Average]))</f>
        <v>2</v>
      </c>
      <c r="T122" s="5" cm="1">
        <f t="array" ref="T122">MAX(IF((ContinuousStatsTable[GroupByKey]=ContinuousStatsTable[[#This Row],[GroupByKey]]),(ContinuousStatsTable[GroupByKey]=ContinuousStatsTable[[#This Row],[GroupByKey]])*ContinuousStatsTable[Average]))</f>
        <v>2</v>
      </c>
      <c r="U122" s="5">
        <f>IF((ContinuousStatsTable[[#This Row],[RepsRequested]]&gt;1),ContinuousStatsTable[[#This Row],[HalfWidth]],ContinuousStatsTable[[#This Row],[BatchMeansHalfWidth]])</f>
        <v>0</v>
      </c>
    </row>
    <row r="123" spans="1:21" x14ac:dyDescent="0.4">
      <c r="A123" t="s">
        <v>66</v>
      </c>
      <c r="B123" t="s">
        <v>69</v>
      </c>
      <c r="C123">
        <v>5</v>
      </c>
      <c r="D123" t="s">
        <v>87</v>
      </c>
      <c r="E123" t="s">
        <v>94</v>
      </c>
      <c r="F123" t="s">
        <v>80</v>
      </c>
      <c r="G123">
        <v>1.8506648324325602E-2</v>
      </c>
      <c r="H123">
        <v>2E+20</v>
      </c>
      <c r="I123">
        <v>0</v>
      </c>
      <c r="J123">
        <v>1</v>
      </c>
      <c r="K123">
        <v>0</v>
      </c>
      <c r="L123">
        <v>0</v>
      </c>
      <c r="M123" s="5" t="str">
        <f>ContinuousStatsTable[[#This Row],[ProjectName]]&amp;ContinuousStatsTable[[#This Row],[Name]]&amp;ContinuousStatsTable[[#This Row],[Type]]&amp;ContinuousStatsTable[[#This Row],[Source]]</f>
        <v>Unnamed ProjectM3.QNumber WaitingQueue</v>
      </c>
      <c r="N123" s="5" cm="1">
        <f t="array" ref="N123">MAX(IF((ProjectInfoTable[ProjectName]=ContinuousStatsTable[[#This Row],[ProjectName]]),(ProjectInfoTable[ProjectName]=ContinuousStatsTable[[#This Row],[ProjectName]])*ProjectInfoTable[NumberOfReplications]))</f>
        <v>10</v>
      </c>
      <c r="O123" s="5" cm="1">
        <f t="array" ref="O123">IFERROR(AVERAGE(IF((ContinuousStatsTable[GroupByKey]=ContinuousStatsTable[[#This Row],[GroupByKey]]),(ContinuousStatsTable[GroupByKey]=ContinuousStatsTable[[#This Row],[GroupByKey]])*ContinuousStatsTable[Average])),0)</f>
        <v>2.5183140573256935E-2</v>
      </c>
      <c r="P123" s="5" cm="1">
        <f t="array" ref="P123">IFERROR(_xlfn.STDEV.S(IF((ContinuousStatsTable[GroupByKey]=ContinuousStatsTable[[#This Row],[GroupByKey]]),(ContinuousStatsTable[GroupByKey]=ContinuousStatsTable[[#This Row],[GroupByKey]])*ContinuousStatsTable[Average])),0)</f>
        <v>6.5933898933538881E-3</v>
      </c>
      <c r="Q123" s="5" cm="1">
        <f t="array" ref="Q123">MAX(IF((ProjectInfoTable[ProjectName]=ContinuousStatsTable[[#This Row],[ProjectName]]),(ProjectInfoTable[ProjectName]=ContinuousStatsTable[[#This Row],[ProjectName]])*ProjectInfoTable[ConfidenceInterval]))</f>
        <v>0.95</v>
      </c>
      <c r="R1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4.7166269939678878E-3</v>
      </c>
      <c r="S123" s="5" cm="1">
        <f t="array" ref="S123">MIN(IF((ContinuousStatsTable[GroupByKey]=ContinuousStatsTable[[#This Row],[GroupByKey]]),(ContinuousStatsTable[GroupByKey]=ContinuousStatsTable[[#This Row],[GroupByKey]])*ContinuousStatsTable[Average]))</f>
        <v>1.7183032756251101E-2</v>
      </c>
      <c r="T123" s="5" cm="1">
        <f t="array" ref="T123">MAX(IF((ContinuousStatsTable[GroupByKey]=ContinuousStatsTable[[#This Row],[GroupByKey]]),(ContinuousStatsTable[GroupByKey]=ContinuousStatsTable[[#This Row],[GroupByKey]])*ContinuousStatsTable[Average]))</f>
        <v>3.3093677405251203E-2</v>
      </c>
      <c r="U123" s="5">
        <f>IF((ContinuousStatsTable[[#This Row],[RepsRequested]]&gt;1),ContinuousStatsTable[[#This Row],[HalfWidth]],ContinuousStatsTable[[#This Row],[BatchMeansHalfWidth]])</f>
        <v>4.7166269939678878E-3</v>
      </c>
    </row>
    <row r="124" spans="1:21" x14ac:dyDescent="0.4">
      <c r="A124" t="s">
        <v>66</v>
      </c>
      <c r="B124" t="s">
        <v>69</v>
      </c>
      <c r="C124">
        <v>5</v>
      </c>
      <c r="D124" t="s">
        <v>102</v>
      </c>
      <c r="E124" t="s">
        <v>96</v>
      </c>
      <c r="F124" t="s">
        <v>97</v>
      </c>
      <c r="G124">
        <v>0.60529230314451898</v>
      </c>
      <c r="H124">
        <v>2E+20</v>
      </c>
      <c r="I124">
        <v>0</v>
      </c>
      <c r="J124">
        <v>1</v>
      </c>
      <c r="K124">
        <v>1</v>
      </c>
      <c r="L124">
        <v>0</v>
      </c>
      <c r="M124" s="5" t="str">
        <f>ContinuousStatsTable[[#This Row],[ProjectName]]&amp;ContinuousStatsTable[[#This Row],[Name]]&amp;ContinuousStatsTable[[#This Row],[Type]]&amp;ContinuousStatsTable[[#This Row],[Source]]</f>
        <v>Unnamed ProjectM4Instantaneous UtilizationResource</v>
      </c>
      <c r="N124" s="5" cm="1">
        <f t="array" ref="N124">MAX(IF((ProjectInfoTable[ProjectName]=ContinuousStatsTable[[#This Row],[ProjectName]]),(ProjectInfoTable[ProjectName]=ContinuousStatsTable[[#This Row],[ProjectName]])*ProjectInfoTable[NumberOfReplications]))</f>
        <v>10</v>
      </c>
      <c r="O124" s="5" cm="1">
        <f t="array" ref="O124">IFERROR(AVERAGE(IF((ContinuousStatsTable[GroupByKey]=ContinuousStatsTable[[#This Row],[GroupByKey]]),(ContinuousStatsTable[GroupByKey]=ContinuousStatsTable[[#This Row],[GroupByKey]])*ContinuousStatsTable[Average])),0)</f>
        <v>0.68948907951108873</v>
      </c>
      <c r="P124" s="5" cm="1">
        <f t="array" ref="P124">IFERROR(_xlfn.STDEV.S(IF((ContinuousStatsTable[GroupByKey]=ContinuousStatsTable[[#This Row],[GroupByKey]]),(ContinuousStatsTable[GroupByKey]=ContinuousStatsTable[[#This Row],[GroupByKey]])*ContinuousStatsTable[Average])),0)</f>
        <v>7.0099805521104841E-2</v>
      </c>
      <c r="Q124" s="5" cm="1">
        <f t="array" ref="Q124">MAX(IF((ProjectInfoTable[ProjectName]=ContinuousStatsTable[[#This Row],[ProjectName]]),(ProjectInfoTable[ProjectName]=ContinuousStatsTable[[#This Row],[ProjectName]])*ProjectInfoTable[ConfidenceInterval]))</f>
        <v>0.95</v>
      </c>
      <c r="R1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5.0146379986722875E-2</v>
      </c>
      <c r="S124" s="5" cm="1">
        <f t="array" ref="S124">MIN(IF((ContinuousStatsTable[GroupByKey]=ContinuousStatsTable[[#This Row],[GroupByKey]]),(ContinuousStatsTable[GroupByKey]=ContinuousStatsTable[[#This Row],[GroupByKey]])*ContinuousStatsTable[Average]))</f>
        <v>0.59708526729729605</v>
      </c>
      <c r="T124" s="5" cm="1">
        <f t="array" ref="T124">MAX(IF((ContinuousStatsTable[GroupByKey]=ContinuousStatsTable[[#This Row],[GroupByKey]]),(ContinuousStatsTable[GroupByKey]=ContinuousStatsTable[[#This Row],[GroupByKey]])*ContinuousStatsTable[Average]))</f>
        <v>0.81511052462014799</v>
      </c>
      <c r="U124" s="5">
        <f>IF((ContinuousStatsTable[[#This Row],[RepsRequested]]&gt;1),ContinuousStatsTable[[#This Row],[HalfWidth]],ContinuousStatsTable[[#This Row],[BatchMeansHalfWidth]])</f>
        <v>5.0146379986722875E-2</v>
      </c>
    </row>
    <row r="125" spans="1:21" x14ac:dyDescent="0.4">
      <c r="A125" t="s">
        <v>66</v>
      </c>
      <c r="B125" t="s">
        <v>69</v>
      </c>
      <c r="C125">
        <v>5</v>
      </c>
      <c r="D125" t="s">
        <v>102</v>
      </c>
      <c r="E125" t="s">
        <v>98</v>
      </c>
      <c r="F125" t="s">
        <v>97</v>
      </c>
      <c r="G125">
        <v>0.60529230314451898</v>
      </c>
      <c r="H125">
        <v>2E+20</v>
      </c>
      <c r="I125">
        <v>0</v>
      </c>
      <c r="J125">
        <v>1</v>
      </c>
      <c r="K125">
        <v>1</v>
      </c>
      <c r="L125">
        <v>0</v>
      </c>
      <c r="M125" s="5" t="str">
        <f>ContinuousStatsTable[[#This Row],[ProjectName]]&amp;ContinuousStatsTable[[#This Row],[Name]]&amp;ContinuousStatsTable[[#This Row],[Type]]&amp;ContinuousStatsTable[[#This Row],[Source]]</f>
        <v>Unnamed ProjectM4Number BusyResource</v>
      </c>
      <c r="N125" s="5" cm="1">
        <f t="array" ref="N125">MAX(IF((ProjectInfoTable[ProjectName]=ContinuousStatsTable[[#This Row],[ProjectName]]),(ProjectInfoTable[ProjectName]=ContinuousStatsTable[[#This Row],[ProjectName]])*ProjectInfoTable[NumberOfReplications]))</f>
        <v>10</v>
      </c>
      <c r="O125" s="5" cm="1">
        <f t="array" ref="O125">IFERROR(AVERAGE(IF((ContinuousStatsTable[GroupByKey]=ContinuousStatsTable[[#This Row],[GroupByKey]]),(ContinuousStatsTable[GroupByKey]=ContinuousStatsTable[[#This Row],[GroupByKey]])*ContinuousStatsTable[Average])),0)</f>
        <v>0.68948907951108873</v>
      </c>
      <c r="P125" s="5" cm="1">
        <f t="array" ref="P125">IFERROR(_xlfn.STDEV.S(IF((ContinuousStatsTable[GroupByKey]=ContinuousStatsTable[[#This Row],[GroupByKey]]),(ContinuousStatsTable[GroupByKey]=ContinuousStatsTable[[#This Row],[GroupByKey]])*ContinuousStatsTable[Average])),0)</f>
        <v>7.0099805521104841E-2</v>
      </c>
      <c r="Q125" s="5" cm="1">
        <f t="array" ref="Q125">MAX(IF((ProjectInfoTable[ProjectName]=ContinuousStatsTable[[#This Row],[ProjectName]]),(ProjectInfoTable[ProjectName]=ContinuousStatsTable[[#This Row],[ProjectName]])*ProjectInfoTable[ConfidenceInterval]))</f>
        <v>0.95</v>
      </c>
      <c r="R1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5.0146379986722875E-2</v>
      </c>
      <c r="S125" s="5" cm="1">
        <f t="array" ref="S125">MIN(IF((ContinuousStatsTable[GroupByKey]=ContinuousStatsTable[[#This Row],[GroupByKey]]),(ContinuousStatsTable[GroupByKey]=ContinuousStatsTable[[#This Row],[GroupByKey]])*ContinuousStatsTable[Average]))</f>
        <v>0.59708526729729605</v>
      </c>
      <c r="T125" s="5" cm="1">
        <f t="array" ref="T125">MAX(IF((ContinuousStatsTable[GroupByKey]=ContinuousStatsTable[[#This Row],[GroupByKey]]),(ContinuousStatsTable[GroupByKey]=ContinuousStatsTable[[#This Row],[GroupByKey]])*ContinuousStatsTable[Average]))</f>
        <v>0.81511052462014799</v>
      </c>
      <c r="U125" s="5">
        <f>IF((ContinuousStatsTable[[#This Row],[RepsRequested]]&gt;1),ContinuousStatsTable[[#This Row],[HalfWidth]],ContinuousStatsTable[[#This Row],[BatchMeansHalfWidth]])</f>
        <v>5.0146379986722875E-2</v>
      </c>
    </row>
    <row r="126" spans="1:21" x14ac:dyDescent="0.4">
      <c r="A126" t="s">
        <v>66</v>
      </c>
      <c r="B126" t="s">
        <v>69</v>
      </c>
      <c r="C126">
        <v>5</v>
      </c>
      <c r="D126" t="s">
        <v>102</v>
      </c>
      <c r="E126" t="s">
        <v>99</v>
      </c>
      <c r="F126" t="s">
        <v>97</v>
      </c>
      <c r="G126">
        <v>1</v>
      </c>
      <c r="H126">
        <v>2E+20</v>
      </c>
      <c r="I126">
        <v>1</v>
      </c>
      <c r="J126">
        <v>1</v>
      </c>
      <c r="K126">
        <v>1</v>
      </c>
      <c r="L126">
        <v>0</v>
      </c>
      <c r="M126" s="5" t="str">
        <f>ContinuousStatsTable[[#This Row],[ProjectName]]&amp;ContinuousStatsTable[[#This Row],[Name]]&amp;ContinuousStatsTable[[#This Row],[Type]]&amp;ContinuousStatsTable[[#This Row],[Source]]</f>
        <v>Unnamed ProjectM4Number ScheduledResource</v>
      </c>
      <c r="N126" s="5" cm="1">
        <f t="array" ref="N126">MAX(IF((ProjectInfoTable[ProjectName]=ContinuousStatsTable[[#This Row],[ProjectName]]),(ProjectInfoTable[ProjectName]=ContinuousStatsTable[[#This Row],[ProjectName]])*ProjectInfoTable[NumberOfReplications]))</f>
        <v>10</v>
      </c>
      <c r="O126" s="5" cm="1">
        <f t="array" ref="O126">IFERROR(AVERAGE(IF((ContinuousStatsTable[GroupByKey]=ContinuousStatsTable[[#This Row],[GroupByKey]]),(ContinuousStatsTable[GroupByKey]=ContinuousStatsTable[[#This Row],[GroupByKey]])*ContinuousStatsTable[Average])),0)</f>
        <v>1</v>
      </c>
      <c r="P126" s="5" cm="1">
        <f t="array" ref="P126">IFERROR(_xlfn.STDEV.S(IF((ContinuousStatsTable[GroupByKey]=ContinuousStatsTable[[#This Row],[GroupByKey]]),(ContinuousStatsTable[GroupByKey]=ContinuousStatsTable[[#This Row],[GroupByKey]])*ContinuousStatsTable[Average])),0)</f>
        <v>0</v>
      </c>
      <c r="Q126" s="5" cm="1">
        <f t="array" ref="Q126">MAX(IF((ProjectInfoTable[ProjectName]=ContinuousStatsTable[[#This Row],[ProjectName]]),(ProjectInfoTable[ProjectName]=ContinuousStatsTable[[#This Row],[ProjectName]])*ProjectInfoTable[ConfidenceInterval]))</f>
        <v>0.95</v>
      </c>
      <c r="R1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6" s="5" cm="1">
        <f t="array" ref="S126">MIN(IF((ContinuousStatsTable[GroupByKey]=ContinuousStatsTable[[#This Row],[GroupByKey]]),(ContinuousStatsTable[GroupByKey]=ContinuousStatsTable[[#This Row],[GroupByKey]])*ContinuousStatsTable[Average]))</f>
        <v>1</v>
      </c>
      <c r="T126" s="5" cm="1">
        <f t="array" ref="T126">MAX(IF((ContinuousStatsTable[GroupByKey]=ContinuousStatsTable[[#This Row],[GroupByKey]]),(ContinuousStatsTable[GroupByKey]=ContinuousStatsTable[[#This Row],[GroupByKey]])*ContinuousStatsTable[Average]))</f>
        <v>1</v>
      </c>
      <c r="U126" s="5">
        <f>IF((ContinuousStatsTable[[#This Row],[RepsRequested]]&gt;1),ContinuousStatsTable[[#This Row],[HalfWidth]],ContinuousStatsTable[[#This Row],[BatchMeansHalfWidth]])</f>
        <v>0</v>
      </c>
    </row>
    <row r="127" spans="1:21" x14ac:dyDescent="0.4">
      <c r="A127" t="s">
        <v>66</v>
      </c>
      <c r="B127" t="s">
        <v>69</v>
      </c>
      <c r="C127">
        <v>5</v>
      </c>
      <c r="D127" t="s">
        <v>88</v>
      </c>
      <c r="E127" t="s">
        <v>94</v>
      </c>
      <c r="F127" t="s">
        <v>80</v>
      </c>
      <c r="G127">
        <v>0.700022328630587</v>
      </c>
      <c r="H127">
        <v>2E+20</v>
      </c>
      <c r="I127">
        <v>0</v>
      </c>
      <c r="J127">
        <v>7</v>
      </c>
      <c r="K127">
        <v>4</v>
      </c>
      <c r="L127">
        <v>0</v>
      </c>
      <c r="M127" s="5" t="str">
        <f>ContinuousStatsTable[[#This Row],[ProjectName]]&amp;ContinuousStatsTable[[#This Row],[Name]]&amp;ContinuousStatsTable[[#This Row],[Type]]&amp;ContinuousStatsTable[[#This Row],[Source]]</f>
        <v>Unnamed ProjectM4.QNumber WaitingQueue</v>
      </c>
      <c r="N127" s="5" cm="1">
        <f t="array" ref="N127">MAX(IF((ProjectInfoTable[ProjectName]=ContinuousStatsTable[[#This Row],[ProjectName]]),(ProjectInfoTable[ProjectName]=ContinuousStatsTable[[#This Row],[ProjectName]])*ProjectInfoTable[NumberOfReplications]))</f>
        <v>10</v>
      </c>
      <c r="O127" s="5" cm="1">
        <f t="array" ref="O127">IFERROR(AVERAGE(IF((ContinuousStatsTable[GroupByKey]=ContinuousStatsTable[[#This Row],[GroupByKey]]),(ContinuousStatsTable[GroupByKey]=ContinuousStatsTable[[#This Row],[GroupByKey]])*ContinuousStatsTable[Average])),0)</f>
        <v>0.92596780474390472</v>
      </c>
      <c r="P127" s="5" cm="1">
        <f t="array" ref="P127">IFERROR(_xlfn.STDEV.S(IF((ContinuousStatsTable[GroupByKey]=ContinuousStatsTable[[#This Row],[GroupByKey]]),(ContinuousStatsTable[GroupByKey]=ContinuousStatsTable[[#This Row],[GroupByKey]])*ContinuousStatsTable[Average])),0)</f>
        <v>0.23565784373506599</v>
      </c>
      <c r="Q127" s="5" cm="1">
        <f t="array" ref="Q127">MAX(IF((ProjectInfoTable[ProjectName]=ContinuousStatsTable[[#This Row],[ProjectName]]),(ProjectInfoTable[ProjectName]=ContinuousStatsTable[[#This Row],[ProjectName]])*ProjectInfoTable[ConfidenceInterval]))</f>
        <v>0.95</v>
      </c>
      <c r="R1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0.16857946596203516</v>
      </c>
      <c r="S127" s="5" cm="1">
        <f t="array" ref="S127">MIN(IF((ContinuousStatsTable[GroupByKey]=ContinuousStatsTable[[#This Row],[GroupByKey]]),(ContinuousStatsTable[GroupByKey]=ContinuousStatsTable[[#This Row],[GroupByKey]])*ContinuousStatsTable[Average]))</f>
        <v>0.61954382246291895</v>
      </c>
      <c r="T127" s="5" cm="1">
        <f t="array" ref="T127">MAX(IF((ContinuousStatsTable[GroupByKey]=ContinuousStatsTable[[#This Row],[GroupByKey]]),(ContinuousStatsTable[GroupByKey]=ContinuousStatsTable[[#This Row],[GroupByKey]])*ContinuousStatsTable[Average]))</f>
        <v>1.4060201140591599</v>
      </c>
      <c r="U127" s="5">
        <f>IF((ContinuousStatsTable[[#This Row],[RepsRequested]]&gt;1),ContinuousStatsTable[[#This Row],[HalfWidth]],ContinuousStatsTable[[#This Row],[BatchMeansHalfWidth]])</f>
        <v>0.16857946596203516</v>
      </c>
    </row>
    <row r="128" spans="1:21" x14ac:dyDescent="0.4">
      <c r="A128" t="s">
        <v>66</v>
      </c>
      <c r="B128" t="s">
        <v>69</v>
      </c>
      <c r="C128">
        <v>5</v>
      </c>
      <c r="D128" t="s">
        <v>103</v>
      </c>
      <c r="E128" t="s">
        <v>96</v>
      </c>
      <c r="F128" t="s">
        <v>97</v>
      </c>
      <c r="G128">
        <v>0.32936941916130702</v>
      </c>
      <c r="H128">
        <v>4.9569086054238702E-2</v>
      </c>
      <c r="I128">
        <v>0</v>
      </c>
      <c r="J128">
        <v>1</v>
      </c>
      <c r="K128">
        <v>1</v>
      </c>
      <c r="L128">
        <v>0</v>
      </c>
      <c r="M128" s="5" t="str">
        <f>ContinuousStatsTable[[#This Row],[ProjectName]]&amp;ContinuousStatsTable[[#This Row],[Name]]&amp;ContinuousStatsTable[[#This Row],[Type]]&amp;ContinuousStatsTable[[#This Row],[Source]]</f>
        <v>Unnamed ProjectM5Instantaneous UtilizationResource</v>
      </c>
      <c r="N128" s="5" cm="1">
        <f t="array" ref="N128">MAX(IF((ProjectInfoTable[ProjectName]=ContinuousStatsTable[[#This Row],[ProjectName]]),(ProjectInfoTable[ProjectName]=ContinuousStatsTable[[#This Row],[ProjectName]])*ProjectInfoTable[NumberOfReplications]))</f>
        <v>10</v>
      </c>
      <c r="O128" s="5" cm="1">
        <f t="array" ref="O128">IFERROR(AVERAGE(IF((ContinuousStatsTable[GroupByKey]=ContinuousStatsTable[[#This Row],[GroupByKey]]),(ContinuousStatsTable[GroupByKey]=ContinuousStatsTable[[#This Row],[GroupByKey]])*ContinuousStatsTable[Average])),0)</f>
        <v>0.35254112855323727</v>
      </c>
      <c r="P128" s="5" cm="1">
        <f t="array" ref="P128">IFERROR(_xlfn.STDEV.S(IF((ContinuousStatsTable[GroupByKey]=ContinuousStatsTable[[#This Row],[GroupByKey]]),(ContinuousStatsTable[GroupByKey]=ContinuousStatsTable[[#This Row],[GroupByKey]])*ContinuousStatsTable[Average])),0)</f>
        <v>2.0819740340978523E-2</v>
      </c>
      <c r="Q128" s="5" cm="1">
        <f t="array" ref="Q128">MAX(IF((ProjectInfoTable[ProjectName]=ContinuousStatsTable[[#This Row],[ProjectName]]),(ProjectInfoTable[ProjectName]=ContinuousStatsTable[[#This Row],[ProjectName]])*ProjectInfoTable[ConfidenceInterval]))</f>
        <v>0.95</v>
      </c>
      <c r="R1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1.4893545033435028E-2</v>
      </c>
      <c r="S128" s="5" cm="1">
        <f t="array" ref="S128">MIN(IF((ContinuousStatsTable[GroupByKey]=ContinuousStatsTable[[#This Row],[GroupByKey]]),(ContinuousStatsTable[GroupByKey]=ContinuousStatsTable[[#This Row],[GroupByKey]])*ContinuousStatsTable[Average]))</f>
        <v>0.319082016284436</v>
      </c>
      <c r="T128" s="5" cm="1">
        <f t="array" ref="T128">MAX(IF((ContinuousStatsTable[GroupByKey]=ContinuousStatsTable[[#This Row],[GroupByKey]]),(ContinuousStatsTable[GroupByKey]=ContinuousStatsTable[[#This Row],[GroupByKey]])*ContinuousStatsTable[Average]))</f>
        <v>0.391918845838306</v>
      </c>
      <c r="U128" s="5">
        <f>IF((ContinuousStatsTable[[#This Row],[RepsRequested]]&gt;1),ContinuousStatsTable[[#This Row],[HalfWidth]],ContinuousStatsTable[[#This Row],[BatchMeansHalfWidth]])</f>
        <v>1.4893545033435028E-2</v>
      </c>
    </row>
    <row r="129" spans="1:21" x14ac:dyDescent="0.4">
      <c r="A129" t="s">
        <v>66</v>
      </c>
      <c r="B129" t="s">
        <v>69</v>
      </c>
      <c r="C129">
        <v>5</v>
      </c>
      <c r="D129" t="s">
        <v>103</v>
      </c>
      <c r="E129" t="s">
        <v>98</v>
      </c>
      <c r="F129" t="s">
        <v>97</v>
      </c>
      <c r="G129">
        <v>0.65873883832261304</v>
      </c>
      <c r="H129">
        <v>9.9138172108477404E-2</v>
      </c>
      <c r="I129">
        <v>0</v>
      </c>
      <c r="J129">
        <v>2</v>
      </c>
      <c r="K129">
        <v>2</v>
      </c>
      <c r="L129">
        <v>0</v>
      </c>
      <c r="M129" s="5" t="str">
        <f>ContinuousStatsTable[[#This Row],[ProjectName]]&amp;ContinuousStatsTable[[#This Row],[Name]]&amp;ContinuousStatsTable[[#This Row],[Type]]&amp;ContinuousStatsTable[[#This Row],[Source]]</f>
        <v>Unnamed ProjectM5Number BusyResource</v>
      </c>
      <c r="N129" s="5" cm="1">
        <f t="array" ref="N129">MAX(IF((ProjectInfoTable[ProjectName]=ContinuousStatsTable[[#This Row],[ProjectName]]),(ProjectInfoTable[ProjectName]=ContinuousStatsTable[[#This Row],[ProjectName]])*ProjectInfoTable[NumberOfReplications]))</f>
        <v>10</v>
      </c>
      <c r="O129" s="5" cm="1">
        <f t="array" ref="O129">IFERROR(AVERAGE(IF((ContinuousStatsTable[GroupByKey]=ContinuousStatsTable[[#This Row],[GroupByKey]]),(ContinuousStatsTable[GroupByKey]=ContinuousStatsTable[[#This Row],[GroupByKey]])*ContinuousStatsTable[Average])),0)</f>
        <v>0.70508225710647443</v>
      </c>
      <c r="P129" s="5" cm="1">
        <f t="array" ref="P129">IFERROR(_xlfn.STDEV.S(IF((ContinuousStatsTable[GroupByKey]=ContinuousStatsTable[[#This Row],[GroupByKey]]),(ContinuousStatsTable[GroupByKey]=ContinuousStatsTable[[#This Row],[GroupByKey]])*ContinuousStatsTable[Average])),0)</f>
        <v>4.1639480681956775E-2</v>
      </c>
      <c r="Q129" s="5" cm="1">
        <f t="array" ref="Q129">MAX(IF((ProjectInfoTable[ProjectName]=ContinuousStatsTable[[#This Row],[ProjectName]]),(ProjectInfoTable[ProjectName]=ContinuousStatsTable[[#This Row],[ProjectName]])*ProjectInfoTable[ConfidenceInterval]))</f>
        <v>0.95</v>
      </c>
      <c r="R1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2.9787090066869859E-2</v>
      </c>
      <c r="S129" s="5" cm="1">
        <f t="array" ref="S129">MIN(IF((ContinuousStatsTable[GroupByKey]=ContinuousStatsTable[[#This Row],[GroupByKey]]),(ContinuousStatsTable[GroupByKey]=ContinuousStatsTable[[#This Row],[GroupByKey]])*ContinuousStatsTable[Average]))</f>
        <v>0.638164032568872</v>
      </c>
      <c r="T129" s="5" cm="1">
        <f t="array" ref="T129">MAX(IF((ContinuousStatsTable[GroupByKey]=ContinuousStatsTable[[#This Row],[GroupByKey]]),(ContinuousStatsTable[GroupByKey]=ContinuousStatsTable[[#This Row],[GroupByKey]])*ContinuousStatsTable[Average]))</f>
        <v>0.78383769167661099</v>
      </c>
      <c r="U129" s="5">
        <f>IF((ContinuousStatsTable[[#This Row],[RepsRequested]]&gt;1),ContinuousStatsTable[[#This Row],[HalfWidth]],ContinuousStatsTable[[#This Row],[BatchMeansHalfWidth]])</f>
        <v>2.9787090066869859E-2</v>
      </c>
    </row>
    <row r="130" spans="1:21" x14ac:dyDescent="0.4">
      <c r="A130" t="s">
        <v>66</v>
      </c>
      <c r="B130" t="s">
        <v>69</v>
      </c>
      <c r="C130">
        <v>5</v>
      </c>
      <c r="D130" t="s">
        <v>103</v>
      </c>
      <c r="E130" t="s">
        <v>99</v>
      </c>
      <c r="F130" t="s">
        <v>97</v>
      </c>
      <c r="G130">
        <v>2</v>
      </c>
      <c r="H130">
        <v>2E+20</v>
      </c>
      <c r="I130">
        <v>2</v>
      </c>
      <c r="J130">
        <v>2</v>
      </c>
      <c r="K130">
        <v>2</v>
      </c>
      <c r="L130">
        <v>0</v>
      </c>
      <c r="M130" s="5" t="str">
        <f>ContinuousStatsTable[[#This Row],[ProjectName]]&amp;ContinuousStatsTable[[#This Row],[Name]]&amp;ContinuousStatsTable[[#This Row],[Type]]&amp;ContinuousStatsTable[[#This Row],[Source]]</f>
        <v>Unnamed ProjectM5Number ScheduledResource</v>
      </c>
      <c r="N130" s="5" cm="1">
        <f t="array" ref="N130">MAX(IF((ProjectInfoTable[ProjectName]=ContinuousStatsTable[[#This Row],[ProjectName]]),(ProjectInfoTable[ProjectName]=ContinuousStatsTable[[#This Row],[ProjectName]])*ProjectInfoTable[NumberOfReplications]))</f>
        <v>10</v>
      </c>
      <c r="O130" s="5" cm="1">
        <f t="array" ref="O130">IFERROR(AVERAGE(IF((ContinuousStatsTable[GroupByKey]=ContinuousStatsTable[[#This Row],[GroupByKey]]),(ContinuousStatsTable[GroupByKey]=ContinuousStatsTable[[#This Row],[GroupByKey]])*ContinuousStatsTable[Average])),0)</f>
        <v>2</v>
      </c>
      <c r="P130" s="5" cm="1">
        <f t="array" ref="P130">IFERROR(_xlfn.STDEV.S(IF((ContinuousStatsTable[GroupByKey]=ContinuousStatsTable[[#This Row],[GroupByKey]]),(ContinuousStatsTable[GroupByKey]=ContinuousStatsTable[[#This Row],[GroupByKey]])*ContinuousStatsTable[Average])),0)</f>
        <v>0</v>
      </c>
      <c r="Q130" s="5" cm="1">
        <f t="array" ref="Q130">MAX(IF((ProjectInfoTable[ProjectName]=ContinuousStatsTable[[#This Row],[ProjectName]]),(ProjectInfoTable[ProjectName]=ContinuousStatsTable[[#This Row],[ProjectName]])*ProjectInfoTable[ConfidenceInterval]))</f>
        <v>0.95</v>
      </c>
      <c r="R1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0" s="5" cm="1">
        <f t="array" ref="S130">MIN(IF((ContinuousStatsTable[GroupByKey]=ContinuousStatsTable[[#This Row],[GroupByKey]]),(ContinuousStatsTable[GroupByKey]=ContinuousStatsTable[[#This Row],[GroupByKey]])*ContinuousStatsTable[Average]))</f>
        <v>2</v>
      </c>
      <c r="T130" s="5" cm="1">
        <f t="array" ref="T130">MAX(IF((ContinuousStatsTable[GroupByKey]=ContinuousStatsTable[[#This Row],[GroupByKey]]),(ContinuousStatsTable[GroupByKey]=ContinuousStatsTable[[#This Row],[GroupByKey]])*ContinuousStatsTable[Average]))</f>
        <v>2</v>
      </c>
      <c r="U130" s="5">
        <f>IF((ContinuousStatsTable[[#This Row],[RepsRequested]]&gt;1),ContinuousStatsTable[[#This Row],[HalfWidth]],ContinuousStatsTable[[#This Row],[BatchMeansHalfWidth]])</f>
        <v>0</v>
      </c>
    </row>
    <row r="131" spans="1:21" x14ac:dyDescent="0.4">
      <c r="A131" t="s">
        <v>66</v>
      </c>
      <c r="B131" t="s">
        <v>69</v>
      </c>
      <c r="C131">
        <v>5</v>
      </c>
      <c r="D131" t="s">
        <v>89</v>
      </c>
      <c r="E131" t="s">
        <v>94</v>
      </c>
      <c r="F131" t="s">
        <v>80</v>
      </c>
      <c r="G131">
        <v>4.6093873865585402E-2</v>
      </c>
      <c r="H131">
        <v>2E+20</v>
      </c>
      <c r="I131">
        <v>0</v>
      </c>
      <c r="J131">
        <v>4</v>
      </c>
      <c r="K131">
        <v>0</v>
      </c>
      <c r="L131">
        <v>0</v>
      </c>
      <c r="M131" s="5" t="str">
        <f>ContinuousStatsTable[[#This Row],[ProjectName]]&amp;ContinuousStatsTable[[#This Row],[Name]]&amp;ContinuousStatsTable[[#This Row],[Type]]&amp;ContinuousStatsTable[[#This Row],[Source]]</f>
        <v>Unnamed ProjectM5.QNumber WaitingQueue</v>
      </c>
      <c r="N131" s="5" cm="1">
        <f t="array" ref="N131">MAX(IF((ProjectInfoTable[ProjectName]=ContinuousStatsTable[[#This Row],[ProjectName]]),(ProjectInfoTable[ProjectName]=ContinuousStatsTable[[#This Row],[ProjectName]])*ProjectInfoTable[NumberOfReplications]))</f>
        <v>10</v>
      </c>
      <c r="O131" s="5" cm="1">
        <f t="array" ref="O131">IFERROR(AVERAGE(IF((ContinuousStatsTable[GroupByKey]=ContinuousStatsTable[[#This Row],[GroupByKey]]),(ContinuousStatsTable[GroupByKey]=ContinuousStatsTable[[#This Row],[GroupByKey]])*ContinuousStatsTable[Average])),0)</f>
        <v>4.0588719153078524E-2</v>
      </c>
      <c r="P131" s="5" cm="1">
        <f t="array" ref="P131">IFERROR(_xlfn.STDEV.S(IF((ContinuousStatsTable[GroupByKey]=ContinuousStatsTable[[#This Row],[GroupByKey]]),(ContinuousStatsTable[GroupByKey]=ContinuousStatsTable[[#This Row],[GroupByKey]])*ContinuousStatsTable[Average])),0)</f>
        <v>2.3271584618520549E-2</v>
      </c>
      <c r="Q131" s="5" cm="1">
        <f t="array" ref="Q131">MAX(IF((ProjectInfoTable[ProjectName]=ContinuousStatsTable[[#This Row],[ProjectName]]),(ProjectInfoTable[ProjectName]=ContinuousStatsTable[[#This Row],[ProjectName]])*ProjectInfoTable[ConfidenceInterval]))</f>
        <v>0.95</v>
      </c>
      <c r="R1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1.6647488769739371E-2</v>
      </c>
      <c r="S131" s="5" cm="1">
        <f t="array" ref="S131">MIN(IF((ContinuousStatsTable[GroupByKey]=ContinuousStatsTable[[#This Row],[GroupByKey]]),(ContinuousStatsTable[GroupByKey]=ContinuousStatsTable[[#This Row],[GroupByKey]])*ContinuousStatsTable[Average]))</f>
        <v>1.58912341215269E-2</v>
      </c>
      <c r="T131" s="5" cm="1">
        <f t="array" ref="T131">MAX(IF((ContinuousStatsTable[GroupByKey]=ContinuousStatsTable[[#This Row],[GroupByKey]]),(ContinuousStatsTable[GroupByKey]=ContinuousStatsTable[[#This Row],[GroupByKey]])*ContinuousStatsTable[Average]))</f>
        <v>9.0065456910795705E-2</v>
      </c>
      <c r="U131" s="5">
        <f>IF((ContinuousStatsTable[[#This Row],[RepsRequested]]&gt;1),ContinuousStatsTable[[#This Row],[HalfWidth]],ContinuousStatsTable[[#This Row],[BatchMeansHalfWidth]])</f>
        <v>1.6647488769739371E-2</v>
      </c>
    </row>
    <row r="132" spans="1:21" x14ac:dyDescent="0.4">
      <c r="A132" t="s">
        <v>66</v>
      </c>
      <c r="B132" t="s">
        <v>69</v>
      </c>
      <c r="C132">
        <v>6</v>
      </c>
      <c r="D132" t="s">
        <v>70</v>
      </c>
      <c r="E132" t="s">
        <v>93</v>
      </c>
      <c r="F132" t="s">
        <v>72</v>
      </c>
      <c r="G132">
        <v>6.6062166316540001</v>
      </c>
      <c r="H132">
        <v>3E+20</v>
      </c>
      <c r="I132">
        <v>1</v>
      </c>
      <c r="J132">
        <v>16</v>
      </c>
      <c r="K132">
        <v>9</v>
      </c>
      <c r="L132">
        <v>0</v>
      </c>
      <c r="M132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132" s="5" cm="1">
        <f t="array" ref="N132">MAX(IF((ProjectInfoTable[ProjectName]=ContinuousStatsTable[[#This Row],[ProjectName]]),(ProjectInfoTable[ProjectName]=ContinuousStatsTable[[#This Row],[ProjectName]])*ProjectInfoTable[NumberOfReplications]))</f>
        <v>10</v>
      </c>
      <c r="O132" s="5" cm="1">
        <f t="array" ref="O132">IFERROR(AVERAGE(IF((ContinuousStatsTable[GroupByKey]=ContinuousStatsTable[[#This Row],[GroupByKey]]),(ContinuousStatsTable[GroupByKey]=ContinuousStatsTable[[#This Row],[GroupByKey]])*ContinuousStatsTable[Average])),0)</f>
        <v>6.6735315353875011</v>
      </c>
      <c r="P132" s="5" cm="1">
        <f t="array" ref="P132">IFERROR(_xlfn.STDEV.S(IF((ContinuousStatsTable[GroupByKey]=ContinuousStatsTable[[#This Row],[GroupByKey]]),(ContinuousStatsTable[GroupByKey]=ContinuousStatsTable[[#This Row],[GroupByKey]])*ContinuousStatsTable[Average])),0)</f>
        <v>1.4829188547421246</v>
      </c>
      <c r="Q132" s="5" cm="1">
        <f t="array" ref="Q132">MAX(IF((ProjectInfoTable[ProjectName]=ContinuousStatsTable[[#This Row],[ProjectName]]),(ProjectInfoTable[ProjectName]=ContinuousStatsTable[[#This Row],[ProjectName]])*ProjectInfoTable[ConfidenceInterval]))</f>
        <v>0.95</v>
      </c>
      <c r="R1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1.0608162437338877</v>
      </c>
      <c r="S132" s="5" cm="1">
        <f t="array" ref="S132">MIN(IF((ContinuousStatsTable[GroupByKey]=ContinuousStatsTable[[#This Row],[GroupByKey]]),(ContinuousStatsTable[GroupByKey]=ContinuousStatsTable[[#This Row],[GroupByKey]])*ContinuousStatsTable[Average]))</f>
        <v>4.5894957727661101</v>
      </c>
      <c r="T132" s="5" cm="1">
        <f t="array" ref="T132">MAX(IF((ContinuousStatsTable[GroupByKey]=ContinuousStatsTable[[#This Row],[GroupByKey]]),(ContinuousStatsTable[GroupByKey]=ContinuousStatsTable[[#This Row],[GroupByKey]])*ContinuousStatsTable[Average]))</f>
        <v>9.5134854029509093</v>
      </c>
      <c r="U132" s="5">
        <f>IF((ContinuousStatsTable[[#This Row],[RepsRequested]]&gt;1),ContinuousStatsTable[[#This Row],[HalfWidth]],ContinuousStatsTable[[#This Row],[BatchMeansHalfWidth]])</f>
        <v>1.0608162437338877</v>
      </c>
    </row>
    <row r="133" spans="1:21" x14ac:dyDescent="0.4">
      <c r="A133" t="s">
        <v>66</v>
      </c>
      <c r="B133" t="s">
        <v>69</v>
      </c>
      <c r="C133">
        <v>6</v>
      </c>
      <c r="D133" t="s">
        <v>78</v>
      </c>
      <c r="E133" t="s">
        <v>94</v>
      </c>
      <c r="F133" t="s">
        <v>80</v>
      </c>
      <c r="G133">
        <v>0</v>
      </c>
      <c r="H133">
        <v>2E+20</v>
      </c>
      <c r="I133">
        <v>0</v>
      </c>
      <c r="J133">
        <v>0</v>
      </c>
      <c r="K133">
        <v>0</v>
      </c>
      <c r="L133">
        <v>0</v>
      </c>
      <c r="M133" s="5" t="str">
        <f>ContinuousStatsTable[[#This Row],[ProjectName]]&amp;ContinuousStatsTable[[#This Row],[Name]]&amp;ContinuousStatsTable[[#This Row],[Type]]&amp;ContinuousStatsTable[[#This Row],[Source]]</f>
        <v>Unnamed ProjectHold M1.QueueNumber WaitingQueue</v>
      </c>
      <c r="N133" s="5" cm="1">
        <f t="array" ref="N133">MAX(IF((ProjectInfoTable[ProjectName]=ContinuousStatsTable[[#This Row],[ProjectName]]),(ProjectInfoTable[ProjectName]=ContinuousStatsTable[[#This Row],[ProjectName]])*ProjectInfoTable[NumberOfReplications]))</f>
        <v>10</v>
      </c>
      <c r="O133" s="5" cm="1">
        <f t="array" ref="O133">IFERROR(AVERAGE(IF((ContinuousStatsTable[GroupByKey]=ContinuousStatsTable[[#This Row],[GroupByKey]]),(ContinuousStatsTable[GroupByKey]=ContinuousStatsTable[[#This Row],[GroupByKey]])*ContinuousStatsTable[Average])),0)</f>
        <v>0</v>
      </c>
      <c r="P133" s="5" cm="1">
        <f t="array" ref="P133">IFERROR(_xlfn.STDEV.S(IF((ContinuousStatsTable[GroupByKey]=ContinuousStatsTable[[#This Row],[GroupByKey]]),(ContinuousStatsTable[GroupByKey]=ContinuousStatsTable[[#This Row],[GroupByKey]])*ContinuousStatsTable[Average])),0)</f>
        <v>0</v>
      </c>
      <c r="Q133" s="5" cm="1">
        <f t="array" ref="Q133">MAX(IF((ProjectInfoTable[ProjectName]=ContinuousStatsTable[[#This Row],[ProjectName]]),(ProjectInfoTable[ProjectName]=ContinuousStatsTable[[#This Row],[ProjectName]])*ProjectInfoTable[ConfidenceInterval]))</f>
        <v>0.95</v>
      </c>
      <c r="R1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3" s="5" cm="1">
        <f t="array" ref="S133">MIN(IF((ContinuousStatsTable[GroupByKey]=ContinuousStatsTable[[#This Row],[GroupByKey]]),(ContinuousStatsTable[GroupByKey]=ContinuousStatsTable[[#This Row],[GroupByKey]])*ContinuousStatsTable[Average]))</f>
        <v>0</v>
      </c>
      <c r="T133" s="5" cm="1">
        <f t="array" ref="T133">MAX(IF((ContinuousStatsTable[GroupByKey]=ContinuousStatsTable[[#This Row],[GroupByKey]]),(ContinuousStatsTable[GroupByKey]=ContinuousStatsTable[[#This Row],[GroupByKey]])*ContinuousStatsTable[Average]))</f>
        <v>0</v>
      </c>
      <c r="U133" s="5">
        <f>IF((ContinuousStatsTable[[#This Row],[RepsRequested]]&gt;1),ContinuousStatsTable[[#This Row],[HalfWidth]],ContinuousStatsTable[[#This Row],[BatchMeansHalfWidth]])</f>
        <v>0</v>
      </c>
    </row>
    <row r="134" spans="1:21" x14ac:dyDescent="0.4">
      <c r="A134" t="s">
        <v>66</v>
      </c>
      <c r="B134" t="s">
        <v>69</v>
      </c>
      <c r="C134">
        <v>6</v>
      </c>
      <c r="D134" t="s">
        <v>81</v>
      </c>
      <c r="E134" t="s">
        <v>94</v>
      </c>
      <c r="F134" t="s">
        <v>80</v>
      </c>
      <c r="G134">
        <v>0</v>
      </c>
      <c r="H134">
        <v>2E+20</v>
      </c>
      <c r="I134">
        <v>0</v>
      </c>
      <c r="J134">
        <v>0</v>
      </c>
      <c r="K134">
        <v>0</v>
      </c>
      <c r="L134">
        <v>0</v>
      </c>
      <c r="M134" s="5" t="str">
        <f>ContinuousStatsTable[[#This Row],[ProjectName]]&amp;ContinuousStatsTable[[#This Row],[Name]]&amp;ContinuousStatsTable[[#This Row],[Type]]&amp;ContinuousStatsTable[[#This Row],[Source]]</f>
        <v>Unnamed ProjectHold M2.QueueNumber WaitingQueue</v>
      </c>
      <c r="N134" s="5" cm="1">
        <f t="array" ref="N134">MAX(IF((ProjectInfoTable[ProjectName]=ContinuousStatsTable[[#This Row],[ProjectName]]),(ProjectInfoTable[ProjectName]=ContinuousStatsTable[[#This Row],[ProjectName]])*ProjectInfoTable[NumberOfReplications]))</f>
        <v>10</v>
      </c>
      <c r="O134" s="5" cm="1">
        <f t="array" ref="O134">IFERROR(AVERAGE(IF((ContinuousStatsTable[GroupByKey]=ContinuousStatsTable[[#This Row],[GroupByKey]]),(ContinuousStatsTable[GroupByKey]=ContinuousStatsTable[[#This Row],[GroupByKey]])*ContinuousStatsTable[Average])),0)</f>
        <v>0</v>
      </c>
      <c r="P134" s="5" cm="1">
        <f t="array" ref="P134">IFERROR(_xlfn.STDEV.S(IF((ContinuousStatsTable[GroupByKey]=ContinuousStatsTable[[#This Row],[GroupByKey]]),(ContinuousStatsTable[GroupByKey]=ContinuousStatsTable[[#This Row],[GroupByKey]])*ContinuousStatsTable[Average])),0)</f>
        <v>0</v>
      </c>
      <c r="Q134" s="5" cm="1">
        <f t="array" ref="Q134">MAX(IF((ProjectInfoTable[ProjectName]=ContinuousStatsTable[[#This Row],[ProjectName]]),(ProjectInfoTable[ProjectName]=ContinuousStatsTable[[#This Row],[ProjectName]])*ProjectInfoTable[ConfidenceInterval]))</f>
        <v>0.95</v>
      </c>
      <c r="R1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4" s="5" cm="1">
        <f t="array" ref="S134">MIN(IF((ContinuousStatsTable[GroupByKey]=ContinuousStatsTable[[#This Row],[GroupByKey]]),(ContinuousStatsTable[GroupByKey]=ContinuousStatsTable[[#This Row],[GroupByKey]])*ContinuousStatsTable[Average]))</f>
        <v>0</v>
      </c>
      <c r="T134" s="5" cm="1">
        <f t="array" ref="T134">MAX(IF((ContinuousStatsTable[GroupByKey]=ContinuousStatsTable[[#This Row],[GroupByKey]]),(ContinuousStatsTable[GroupByKey]=ContinuousStatsTable[[#This Row],[GroupByKey]])*ContinuousStatsTable[Average]))</f>
        <v>0</v>
      </c>
      <c r="U134" s="5">
        <f>IF((ContinuousStatsTable[[#This Row],[RepsRequested]]&gt;1),ContinuousStatsTable[[#This Row],[HalfWidth]],ContinuousStatsTable[[#This Row],[BatchMeansHalfWidth]])</f>
        <v>0</v>
      </c>
    </row>
    <row r="135" spans="1:21" x14ac:dyDescent="0.4">
      <c r="A135" t="s">
        <v>66</v>
      </c>
      <c r="B135" t="s">
        <v>69</v>
      </c>
      <c r="C135">
        <v>6</v>
      </c>
      <c r="D135" t="s">
        <v>82</v>
      </c>
      <c r="E135" t="s">
        <v>94</v>
      </c>
      <c r="F135" t="s">
        <v>80</v>
      </c>
      <c r="G135">
        <v>0</v>
      </c>
      <c r="H135">
        <v>2E+20</v>
      </c>
      <c r="I135">
        <v>0</v>
      </c>
      <c r="J135">
        <v>0</v>
      </c>
      <c r="K135">
        <v>0</v>
      </c>
      <c r="L135">
        <v>0</v>
      </c>
      <c r="M135" s="5" t="str">
        <f>ContinuousStatsTable[[#This Row],[ProjectName]]&amp;ContinuousStatsTable[[#This Row],[Name]]&amp;ContinuousStatsTable[[#This Row],[Type]]&amp;ContinuousStatsTable[[#This Row],[Source]]</f>
        <v>Unnamed ProjectHold M3.QueueNumber WaitingQueue</v>
      </c>
      <c r="N135" s="5" cm="1">
        <f t="array" ref="N135">MAX(IF((ProjectInfoTable[ProjectName]=ContinuousStatsTable[[#This Row],[ProjectName]]),(ProjectInfoTable[ProjectName]=ContinuousStatsTable[[#This Row],[ProjectName]])*ProjectInfoTable[NumberOfReplications]))</f>
        <v>10</v>
      </c>
      <c r="O135" s="5" cm="1">
        <f t="array" ref="O135">IFERROR(AVERAGE(IF((ContinuousStatsTable[GroupByKey]=ContinuousStatsTable[[#This Row],[GroupByKey]]),(ContinuousStatsTable[GroupByKey]=ContinuousStatsTable[[#This Row],[GroupByKey]])*ContinuousStatsTable[Average])),0)</f>
        <v>0</v>
      </c>
      <c r="P135" s="5" cm="1">
        <f t="array" ref="P135">IFERROR(_xlfn.STDEV.S(IF((ContinuousStatsTable[GroupByKey]=ContinuousStatsTable[[#This Row],[GroupByKey]]),(ContinuousStatsTable[GroupByKey]=ContinuousStatsTable[[#This Row],[GroupByKey]])*ContinuousStatsTable[Average])),0)</f>
        <v>0</v>
      </c>
      <c r="Q135" s="5" cm="1">
        <f t="array" ref="Q135">MAX(IF((ProjectInfoTable[ProjectName]=ContinuousStatsTable[[#This Row],[ProjectName]]),(ProjectInfoTable[ProjectName]=ContinuousStatsTable[[#This Row],[ProjectName]])*ProjectInfoTable[ConfidenceInterval]))</f>
        <v>0.95</v>
      </c>
      <c r="R1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5" s="5" cm="1">
        <f t="array" ref="S135">MIN(IF((ContinuousStatsTable[GroupByKey]=ContinuousStatsTable[[#This Row],[GroupByKey]]),(ContinuousStatsTable[GroupByKey]=ContinuousStatsTable[[#This Row],[GroupByKey]])*ContinuousStatsTable[Average]))</f>
        <v>0</v>
      </c>
      <c r="T135" s="5" cm="1">
        <f t="array" ref="T135">MAX(IF((ContinuousStatsTable[GroupByKey]=ContinuousStatsTable[[#This Row],[GroupByKey]]),(ContinuousStatsTable[GroupByKey]=ContinuousStatsTable[[#This Row],[GroupByKey]])*ContinuousStatsTable[Average]))</f>
        <v>0</v>
      </c>
      <c r="U135" s="5">
        <f>IF((ContinuousStatsTable[[#This Row],[RepsRequested]]&gt;1),ContinuousStatsTable[[#This Row],[HalfWidth]],ContinuousStatsTable[[#This Row],[BatchMeansHalfWidth]])</f>
        <v>0</v>
      </c>
    </row>
    <row r="136" spans="1:21" x14ac:dyDescent="0.4">
      <c r="A136" t="s">
        <v>66</v>
      </c>
      <c r="B136" t="s">
        <v>69</v>
      </c>
      <c r="C136">
        <v>6</v>
      </c>
      <c r="D136" t="s">
        <v>83</v>
      </c>
      <c r="E136" t="s">
        <v>94</v>
      </c>
      <c r="F136" t="s">
        <v>80</v>
      </c>
      <c r="G136">
        <v>0</v>
      </c>
      <c r="H136">
        <v>2E+20</v>
      </c>
      <c r="I136">
        <v>0</v>
      </c>
      <c r="J136">
        <v>0</v>
      </c>
      <c r="K136">
        <v>0</v>
      </c>
      <c r="L136">
        <v>0</v>
      </c>
      <c r="M136" s="5" t="str">
        <f>ContinuousStatsTable[[#This Row],[ProjectName]]&amp;ContinuousStatsTable[[#This Row],[Name]]&amp;ContinuousStatsTable[[#This Row],[Type]]&amp;ContinuousStatsTable[[#This Row],[Source]]</f>
        <v>Unnamed ProjectHold M4.QueueNumber WaitingQueue</v>
      </c>
      <c r="N136" s="5" cm="1">
        <f t="array" ref="N136">MAX(IF((ProjectInfoTable[ProjectName]=ContinuousStatsTable[[#This Row],[ProjectName]]),(ProjectInfoTable[ProjectName]=ContinuousStatsTable[[#This Row],[ProjectName]])*ProjectInfoTable[NumberOfReplications]))</f>
        <v>10</v>
      </c>
      <c r="O136" s="5" cm="1">
        <f t="array" ref="O136">IFERROR(AVERAGE(IF((ContinuousStatsTable[GroupByKey]=ContinuousStatsTable[[#This Row],[GroupByKey]]),(ContinuousStatsTable[GroupByKey]=ContinuousStatsTable[[#This Row],[GroupByKey]])*ContinuousStatsTable[Average])),0)</f>
        <v>0</v>
      </c>
      <c r="P136" s="5" cm="1">
        <f t="array" ref="P136">IFERROR(_xlfn.STDEV.S(IF((ContinuousStatsTable[GroupByKey]=ContinuousStatsTable[[#This Row],[GroupByKey]]),(ContinuousStatsTable[GroupByKey]=ContinuousStatsTable[[#This Row],[GroupByKey]])*ContinuousStatsTable[Average])),0)</f>
        <v>0</v>
      </c>
      <c r="Q136" s="5" cm="1">
        <f t="array" ref="Q136">MAX(IF((ProjectInfoTable[ProjectName]=ContinuousStatsTable[[#This Row],[ProjectName]]),(ProjectInfoTable[ProjectName]=ContinuousStatsTable[[#This Row],[ProjectName]])*ProjectInfoTable[ConfidenceInterval]))</f>
        <v>0.95</v>
      </c>
      <c r="R1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6" s="5" cm="1">
        <f t="array" ref="S136">MIN(IF((ContinuousStatsTable[GroupByKey]=ContinuousStatsTable[[#This Row],[GroupByKey]]),(ContinuousStatsTable[GroupByKey]=ContinuousStatsTable[[#This Row],[GroupByKey]])*ContinuousStatsTable[Average]))</f>
        <v>0</v>
      </c>
      <c r="T136" s="5" cm="1">
        <f t="array" ref="T136">MAX(IF((ContinuousStatsTable[GroupByKey]=ContinuousStatsTable[[#This Row],[GroupByKey]]),(ContinuousStatsTable[GroupByKey]=ContinuousStatsTable[[#This Row],[GroupByKey]])*ContinuousStatsTable[Average]))</f>
        <v>0</v>
      </c>
      <c r="U136" s="5">
        <f>IF((ContinuousStatsTable[[#This Row],[RepsRequested]]&gt;1),ContinuousStatsTable[[#This Row],[HalfWidth]],ContinuousStatsTable[[#This Row],[BatchMeansHalfWidth]])</f>
        <v>0</v>
      </c>
    </row>
    <row r="137" spans="1:21" x14ac:dyDescent="0.4">
      <c r="A137" t="s">
        <v>66</v>
      </c>
      <c r="B137" t="s">
        <v>69</v>
      </c>
      <c r="C137">
        <v>6</v>
      </c>
      <c r="D137" t="s">
        <v>84</v>
      </c>
      <c r="E137" t="s">
        <v>94</v>
      </c>
      <c r="F137" t="s">
        <v>80</v>
      </c>
      <c r="G137">
        <v>0</v>
      </c>
      <c r="H137">
        <v>2E+20</v>
      </c>
      <c r="I137">
        <v>0</v>
      </c>
      <c r="J137">
        <v>0</v>
      </c>
      <c r="K137">
        <v>0</v>
      </c>
      <c r="L137">
        <v>0</v>
      </c>
      <c r="M137" s="5" t="str">
        <f>ContinuousStatsTable[[#This Row],[ProjectName]]&amp;ContinuousStatsTable[[#This Row],[Name]]&amp;ContinuousStatsTable[[#This Row],[Type]]&amp;ContinuousStatsTable[[#This Row],[Source]]</f>
        <v>Unnamed ProjectHold M5.QueueNumber WaitingQueue</v>
      </c>
      <c r="N137" s="5" cm="1">
        <f t="array" ref="N137">MAX(IF((ProjectInfoTable[ProjectName]=ContinuousStatsTable[[#This Row],[ProjectName]]),(ProjectInfoTable[ProjectName]=ContinuousStatsTable[[#This Row],[ProjectName]])*ProjectInfoTable[NumberOfReplications]))</f>
        <v>10</v>
      </c>
      <c r="O137" s="5" cm="1">
        <f t="array" ref="O137">IFERROR(AVERAGE(IF((ContinuousStatsTable[GroupByKey]=ContinuousStatsTable[[#This Row],[GroupByKey]]),(ContinuousStatsTable[GroupByKey]=ContinuousStatsTable[[#This Row],[GroupByKey]])*ContinuousStatsTable[Average])),0)</f>
        <v>0</v>
      </c>
      <c r="P137" s="5" cm="1">
        <f t="array" ref="P137">IFERROR(_xlfn.STDEV.S(IF((ContinuousStatsTable[GroupByKey]=ContinuousStatsTable[[#This Row],[GroupByKey]]),(ContinuousStatsTable[GroupByKey]=ContinuousStatsTable[[#This Row],[GroupByKey]])*ContinuousStatsTable[Average])),0)</f>
        <v>0</v>
      </c>
      <c r="Q137" s="5" cm="1">
        <f t="array" ref="Q137">MAX(IF((ProjectInfoTable[ProjectName]=ContinuousStatsTable[[#This Row],[ProjectName]]),(ProjectInfoTable[ProjectName]=ContinuousStatsTable[[#This Row],[ProjectName]])*ProjectInfoTable[ConfidenceInterval]))</f>
        <v>0.95</v>
      </c>
      <c r="R1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7" s="5" cm="1">
        <f t="array" ref="S137">MIN(IF((ContinuousStatsTable[GroupByKey]=ContinuousStatsTable[[#This Row],[GroupByKey]]),(ContinuousStatsTable[GroupByKey]=ContinuousStatsTable[[#This Row],[GroupByKey]])*ContinuousStatsTable[Average]))</f>
        <v>0</v>
      </c>
      <c r="T137" s="5" cm="1">
        <f t="array" ref="T137">MAX(IF((ContinuousStatsTable[GroupByKey]=ContinuousStatsTable[[#This Row],[GroupByKey]]),(ContinuousStatsTable[GroupByKey]=ContinuousStatsTable[[#This Row],[GroupByKey]])*ContinuousStatsTable[Average]))</f>
        <v>0</v>
      </c>
      <c r="U137" s="5">
        <f>IF((ContinuousStatsTable[[#This Row],[RepsRequested]]&gt;1),ContinuousStatsTable[[#This Row],[HalfWidth]],ContinuousStatsTable[[#This Row],[BatchMeansHalfWidth]])</f>
        <v>0</v>
      </c>
    </row>
    <row r="138" spans="1:21" x14ac:dyDescent="0.4">
      <c r="A138" t="s">
        <v>66</v>
      </c>
      <c r="B138" t="s">
        <v>69</v>
      </c>
      <c r="C138">
        <v>6</v>
      </c>
      <c r="D138" t="s">
        <v>95</v>
      </c>
      <c r="E138" t="s">
        <v>96</v>
      </c>
      <c r="F138" t="s">
        <v>97</v>
      </c>
      <c r="G138">
        <v>0.34507357353450202</v>
      </c>
      <c r="H138">
        <v>2E+20</v>
      </c>
      <c r="I138">
        <v>0</v>
      </c>
      <c r="J138">
        <v>1</v>
      </c>
      <c r="K138">
        <v>0.5</v>
      </c>
      <c r="L138">
        <v>0</v>
      </c>
      <c r="M138" s="5" t="str">
        <f>ContinuousStatsTable[[#This Row],[ProjectName]]&amp;ContinuousStatsTable[[#This Row],[Name]]&amp;ContinuousStatsTable[[#This Row],[Type]]&amp;ContinuousStatsTable[[#This Row],[Source]]</f>
        <v>Unnamed ProjectM1Instantaneous UtilizationResource</v>
      </c>
      <c r="N138" s="5" cm="1">
        <f t="array" ref="N138">MAX(IF((ProjectInfoTable[ProjectName]=ContinuousStatsTable[[#This Row],[ProjectName]]),(ProjectInfoTable[ProjectName]=ContinuousStatsTable[[#This Row],[ProjectName]])*ProjectInfoTable[NumberOfReplications]))</f>
        <v>10</v>
      </c>
      <c r="O138" s="5" cm="1">
        <f t="array" ref="O138">IFERROR(AVERAGE(IF((ContinuousStatsTable[GroupByKey]=ContinuousStatsTable[[#This Row],[GroupByKey]]),(ContinuousStatsTable[GroupByKey]=ContinuousStatsTable[[#This Row],[GroupByKey]])*ContinuousStatsTable[Average])),0)</f>
        <v>0.35418637725041224</v>
      </c>
      <c r="P138" s="5" cm="1">
        <f t="array" ref="P138">IFERROR(_xlfn.STDEV.S(IF((ContinuousStatsTable[GroupByKey]=ContinuousStatsTable[[#This Row],[GroupByKey]]),(ContinuousStatsTable[GroupByKey]=ContinuousStatsTable[[#This Row],[GroupByKey]])*ContinuousStatsTable[Average])),0)</f>
        <v>3.3453936231241439E-2</v>
      </c>
      <c r="Q138" s="5" cm="1">
        <f t="array" ref="Q138">MAX(IF((ProjectInfoTable[ProjectName]=ContinuousStatsTable[[#This Row],[ProjectName]]),(ProjectInfoTable[ProjectName]=ContinuousStatsTable[[#This Row],[ProjectName]])*ProjectInfoTable[ConfidenceInterval]))</f>
        <v>0.95</v>
      </c>
      <c r="R1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2.3931504314920794E-2</v>
      </c>
      <c r="S138" s="5" cm="1">
        <f t="array" ref="S138">MIN(IF((ContinuousStatsTable[GroupByKey]=ContinuousStatsTable[[#This Row],[GroupByKey]]),(ContinuousStatsTable[GroupByKey]=ContinuousStatsTable[[#This Row],[GroupByKey]])*ContinuousStatsTable[Average]))</f>
        <v>0.29539806709730798</v>
      </c>
      <c r="T138" s="5" cm="1">
        <f t="array" ref="T138">MAX(IF((ContinuousStatsTable[GroupByKey]=ContinuousStatsTable[[#This Row],[GroupByKey]]),(ContinuousStatsTable[GroupByKey]=ContinuousStatsTable[[#This Row],[GroupByKey]])*ContinuousStatsTable[Average]))</f>
        <v>0.39865120046345498</v>
      </c>
      <c r="U138" s="5">
        <f>IF((ContinuousStatsTable[[#This Row],[RepsRequested]]&gt;1),ContinuousStatsTable[[#This Row],[HalfWidth]],ContinuousStatsTable[[#This Row],[BatchMeansHalfWidth]])</f>
        <v>2.3931504314920794E-2</v>
      </c>
    </row>
    <row r="139" spans="1:21" x14ac:dyDescent="0.4">
      <c r="A139" t="s">
        <v>66</v>
      </c>
      <c r="B139" t="s">
        <v>69</v>
      </c>
      <c r="C139">
        <v>6</v>
      </c>
      <c r="D139" t="s">
        <v>95</v>
      </c>
      <c r="E139" t="s">
        <v>98</v>
      </c>
      <c r="F139" t="s">
        <v>97</v>
      </c>
      <c r="G139">
        <v>0.69014714706900404</v>
      </c>
      <c r="H139">
        <v>2E+20</v>
      </c>
      <c r="I139">
        <v>0</v>
      </c>
      <c r="J139">
        <v>2</v>
      </c>
      <c r="K139">
        <v>1</v>
      </c>
      <c r="L139">
        <v>0</v>
      </c>
      <c r="M139" s="5" t="str">
        <f>ContinuousStatsTable[[#This Row],[ProjectName]]&amp;ContinuousStatsTable[[#This Row],[Name]]&amp;ContinuousStatsTable[[#This Row],[Type]]&amp;ContinuousStatsTable[[#This Row],[Source]]</f>
        <v>Unnamed ProjectM1Number BusyResource</v>
      </c>
      <c r="N139" s="5" cm="1">
        <f t="array" ref="N139">MAX(IF((ProjectInfoTable[ProjectName]=ContinuousStatsTable[[#This Row],[ProjectName]]),(ProjectInfoTable[ProjectName]=ContinuousStatsTable[[#This Row],[ProjectName]])*ProjectInfoTable[NumberOfReplications]))</f>
        <v>10</v>
      </c>
      <c r="O139" s="5" cm="1">
        <f t="array" ref="O139">IFERROR(AVERAGE(IF((ContinuousStatsTable[GroupByKey]=ContinuousStatsTable[[#This Row],[GroupByKey]]),(ContinuousStatsTable[GroupByKey]=ContinuousStatsTable[[#This Row],[GroupByKey]])*ContinuousStatsTable[Average])),0)</f>
        <v>0.70837275450082438</v>
      </c>
      <c r="P139" s="5" cm="1">
        <f t="array" ref="P139">IFERROR(_xlfn.STDEV.S(IF((ContinuousStatsTable[GroupByKey]=ContinuousStatsTable[[#This Row],[GroupByKey]]),(ContinuousStatsTable[GroupByKey]=ContinuousStatsTable[[#This Row],[GroupByKey]])*ContinuousStatsTable[Average])),0)</f>
        <v>6.6907872462483045E-2</v>
      </c>
      <c r="Q139" s="5" cm="1">
        <f t="array" ref="Q139">MAX(IF((ProjectInfoTable[ProjectName]=ContinuousStatsTable[[#This Row],[ProjectName]]),(ProjectInfoTable[ProjectName]=ContinuousStatsTable[[#This Row],[ProjectName]])*ProjectInfoTable[ConfidenceInterval]))</f>
        <v>0.95</v>
      </c>
      <c r="R1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4.7863008629841705E-2</v>
      </c>
      <c r="S139" s="5" cm="1">
        <f t="array" ref="S139">MIN(IF((ContinuousStatsTable[GroupByKey]=ContinuousStatsTable[[#This Row],[GroupByKey]]),(ContinuousStatsTable[GroupByKey]=ContinuousStatsTable[[#This Row],[GroupByKey]])*ContinuousStatsTable[Average]))</f>
        <v>0.59079613419461596</v>
      </c>
      <c r="T139" s="5" cm="1">
        <f t="array" ref="T139">MAX(IF((ContinuousStatsTable[GroupByKey]=ContinuousStatsTable[[#This Row],[GroupByKey]]),(ContinuousStatsTable[GroupByKey]=ContinuousStatsTable[[#This Row],[GroupByKey]])*ContinuousStatsTable[Average]))</f>
        <v>0.79730240092691096</v>
      </c>
      <c r="U139" s="5">
        <f>IF((ContinuousStatsTable[[#This Row],[RepsRequested]]&gt;1),ContinuousStatsTable[[#This Row],[HalfWidth]],ContinuousStatsTable[[#This Row],[BatchMeansHalfWidth]])</f>
        <v>4.7863008629841705E-2</v>
      </c>
    </row>
    <row r="140" spans="1:21" x14ac:dyDescent="0.4">
      <c r="A140" t="s">
        <v>66</v>
      </c>
      <c r="B140" t="s">
        <v>69</v>
      </c>
      <c r="C140">
        <v>6</v>
      </c>
      <c r="D140" t="s">
        <v>95</v>
      </c>
      <c r="E140" t="s">
        <v>99</v>
      </c>
      <c r="F140" t="s">
        <v>97</v>
      </c>
      <c r="G140">
        <v>2</v>
      </c>
      <c r="H140">
        <v>2E+20</v>
      </c>
      <c r="I140">
        <v>2</v>
      </c>
      <c r="J140">
        <v>2</v>
      </c>
      <c r="K140">
        <v>2</v>
      </c>
      <c r="L140">
        <v>0</v>
      </c>
      <c r="M140" s="5" t="str">
        <f>ContinuousStatsTable[[#This Row],[ProjectName]]&amp;ContinuousStatsTable[[#This Row],[Name]]&amp;ContinuousStatsTable[[#This Row],[Type]]&amp;ContinuousStatsTable[[#This Row],[Source]]</f>
        <v>Unnamed ProjectM1Number ScheduledResource</v>
      </c>
      <c r="N140" s="5" cm="1">
        <f t="array" ref="N140">MAX(IF((ProjectInfoTable[ProjectName]=ContinuousStatsTable[[#This Row],[ProjectName]]),(ProjectInfoTable[ProjectName]=ContinuousStatsTable[[#This Row],[ProjectName]])*ProjectInfoTable[NumberOfReplications]))</f>
        <v>10</v>
      </c>
      <c r="O140" s="5" cm="1">
        <f t="array" ref="O140">IFERROR(AVERAGE(IF((ContinuousStatsTable[GroupByKey]=ContinuousStatsTable[[#This Row],[GroupByKey]]),(ContinuousStatsTable[GroupByKey]=ContinuousStatsTable[[#This Row],[GroupByKey]])*ContinuousStatsTable[Average])),0)</f>
        <v>2</v>
      </c>
      <c r="P140" s="5" cm="1">
        <f t="array" ref="P140">IFERROR(_xlfn.STDEV.S(IF((ContinuousStatsTable[GroupByKey]=ContinuousStatsTable[[#This Row],[GroupByKey]]),(ContinuousStatsTable[GroupByKey]=ContinuousStatsTable[[#This Row],[GroupByKey]])*ContinuousStatsTable[Average])),0)</f>
        <v>0</v>
      </c>
      <c r="Q140" s="5" cm="1">
        <f t="array" ref="Q140">MAX(IF((ProjectInfoTable[ProjectName]=ContinuousStatsTable[[#This Row],[ProjectName]]),(ProjectInfoTable[ProjectName]=ContinuousStatsTable[[#This Row],[ProjectName]])*ProjectInfoTable[ConfidenceInterval]))</f>
        <v>0.95</v>
      </c>
      <c r="R1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0" s="5" cm="1">
        <f t="array" ref="S140">MIN(IF((ContinuousStatsTable[GroupByKey]=ContinuousStatsTable[[#This Row],[GroupByKey]]),(ContinuousStatsTable[GroupByKey]=ContinuousStatsTable[[#This Row],[GroupByKey]])*ContinuousStatsTable[Average]))</f>
        <v>2</v>
      </c>
      <c r="T140" s="5" cm="1">
        <f t="array" ref="T140">MAX(IF((ContinuousStatsTable[GroupByKey]=ContinuousStatsTable[[#This Row],[GroupByKey]]),(ContinuousStatsTable[GroupByKey]=ContinuousStatsTable[[#This Row],[GroupByKey]])*ContinuousStatsTable[Average]))</f>
        <v>2</v>
      </c>
      <c r="U140" s="5">
        <f>IF((ContinuousStatsTable[[#This Row],[RepsRequested]]&gt;1),ContinuousStatsTable[[#This Row],[HalfWidth]],ContinuousStatsTable[[#This Row],[BatchMeansHalfWidth]])</f>
        <v>0</v>
      </c>
    </row>
    <row r="141" spans="1:21" x14ac:dyDescent="0.4">
      <c r="A141" t="s">
        <v>66</v>
      </c>
      <c r="B141" t="s">
        <v>69</v>
      </c>
      <c r="C141">
        <v>6</v>
      </c>
      <c r="D141" t="s">
        <v>85</v>
      </c>
      <c r="E141" t="s">
        <v>94</v>
      </c>
      <c r="F141" t="s">
        <v>80</v>
      </c>
      <c r="G141">
        <v>3.4990004496426703E-2</v>
      </c>
      <c r="H141">
        <v>2E+20</v>
      </c>
      <c r="I141">
        <v>0</v>
      </c>
      <c r="J141">
        <v>2</v>
      </c>
      <c r="K141">
        <v>0</v>
      </c>
      <c r="L141">
        <v>0</v>
      </c>
      <c r="M141" s="5" t="str">
        <f>ContinuousStatsTable[[#This Row],[ProjectName]]&amp;ContinuousStatsTable[[#This Row],[Name]]&amp;ContinuousStatsTable[[#This Row],[Type]]&amp;ContinuousStatsTable[[#This Row],[Source]]</f>
        <v>Unnamed ProjectM1.QNumber WaitingQueue</v>
      </c>
      <c r="N141" s="5" cm="1">
        <f t="array" ref="N141">MAX(IF((ProjectInfoTable[ProjectName]=ContinuousStatsTable[[#This Row],[ProjectName]]),(ProjectInfoTable[ProjectName]=ContinuousStatsTable[[#This Row],[ProjectName]])*ProjectInfoTable[NumberOfReplications]))</f>
        <v>10</v>
      </c>
      <c r="O141" s="5" cm="1">
        <f t="array" ref="O141">IFERROR(AVERAGE(IF((ContinuousStatsTable[GroupByKey]=ContinuousStatsTable[[#This Row],[GroupByKey]]),(ContinuousStatsTable[GroupByKey]=ContinuousStatsTable[[#This Row],[GroupByKey]])*ContinuousStatsTable[Average])),0)</f>
        <v>8.2638825969756052E-2</v>
      </c>
      <c r="P141" s="5" cm="1">
        <f t="array" ref="P141">IFERROR(_xlfn.STDEV.S(IF((ContinuousStatsTable[GroupByKey]=ContinuousStatsTable[[#This Row],[GroupByKey]]),(ContinuousStatsTable[GroupByKey]=ContinuousStatsTable[[#This Row],[GroupByKey]])*ContinuousStatsTable[Average])),0)</f>
        <v>2.9983492659856659E-2</v>
      </c>
      <c r="Q141" s="5" cm="1">
        <f t="array" ref="Q141">MAX(IF((ProjectInfoTable[ProjectName]=ContinuousStatsTable[[#This Row],[ProjectName]]),(ProjectInfoTable[ProjectName]=ContinuousStatsTable[[#This Row],[ProjectName]])*ProjectInfoTable[ConfidenceInterval]))</f>
        <v>0.95</v>
      </c>
      <c r="R1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2.1448898539349195E-2</v>
      </c>
      <c r="S141" s="5" cm="1">
        <f t="array" ref="S141">MIN(IF((ContinuousStatsTable[GroupByKey]=ContinuousStatsTable[[#This Row],[GroupByKey]]),(ContinuousStatsTable[GroupByKey]=ContinuousStatsTable[[#This Row],[GroupByKey]])*ContinuousStatsTable[Average]))</f>
        <v>3.4990004496426703E-2</v>
      </c>
      <c r="T141" s="5" cm="1">
        <f t="array" ref="T141">MAX(IF((ContinuousStatsTable[GroupByKey]=ContinuousStatsTable[[#This Row],[GroupByKey]]),(ContinuousStatsTable[GroupByKey]=ContinuousStatsTable[[#This Row],[GroupByKey]])*ContinuousStatsTable[Average]))</f>
        <v>0.13146637852281401</v>
      </c>
      <c r="U141" s="5">
        <f>IF((ContinuousStatsTable[[#This Row],[RepsRequested]]&gt;1),ContinuousStatsTable[[#This Row],[HalfWidth]],ContinuousStatsTable[[#This Row],[BatchMeansHalfWidth]])</f>
        <v>2.1448898539349195E-2</v>
      </c>
    </row>
    <row r="142" spans="1:21" x14ac:dyDescent="0.4">
      <c r="A142" t="s">
        <v>66</v>
      </c>
      <c r="B142" t="s">
        <v>69</v>
      </c>
      <c r="C142">
        <v>6</v>
      </c>
      <c r="D142" t="s">
        <v>100</v>
      </c>
      <c r="E142" t="s">
        <v>96</v>
      </c>
      <c r="F142" t="s">
        <v>97</v>
      </c>
      <c r="G142">
        <v>0.82323740090020403</v>
      </c>
      <c r="H142">
        <v>2E+20</v>
      </c>
      <c r="I142">
        <v>0</v>
      </c>
      <c r="J142">
        <v>1</v>
      </c>
      <c r="K142">
        <v>1</v>
      </c>
      <c r="L142">
        <v>0</v>
      </c>
      <c r="M142" s="5" t="str">
        <f>ContinuousStatsTable[[#This Row],[ProjectName]]&amp;ContinuousStatsTable[[#This Row],[Name]]&amp;ContinuousStatsTable[[#This Row],[Type]]&amp;ContinuousStatsTable[[#This Row],[Source]]</f>
        <v>Unnamed ProjectM2Instantaneous UtilizationResource</v>
      </c>
      <c r="N142" s="5" cm="1">
        <f t="array" ref="N142">MAX(IF((ProjectInfoTable[ProjectName]=ContinuousStatsTable[[#This Row],[ProjectName]]),(ProjectInfoTable[ProjectName]=ContinuousStatsTable[[#This Row],[ProjectName]])*ProjectInfoTable[NumberOfReplications]))</f>
        <v>10</v>
      </c>
      <c r="O142" s="5" cm="1">
        <f t="array" ref="O142">IFERROR(AVERAGE(IF((ContinuousStatsTable[GroupByKey]=ContinuousStatsTable[[#This Row],[GroupByKey]]),(ContinuousStatsTable[GroupByKey]=ContinuousStatsTable[[#This Row],[GroupByKey]])*ContinuousStatsTable[Average])),0)</f>
        <v>0.79069410142096264</v>
      </c>
      <c r="P142" s="5" cm="1">
        <f t="array" ref="P142">IFERROR(_xlfn.STDEV.S(IF((ContinuousStatsTable[GroupByKey]=ContinuousStatsTable[[#This Row],[GroupByKey]]),(ContinuousStatsTable[GroupByKey]=ContinuousStatsTable[[#This Row],[GroupByKey]])*ContinuousStatsTable[Average])),0)</f>
        <v>8.4677985904895448E-2</v>
      </c>
      <c r="Q142" s="5" cm="1">
        <f t="array" ref="Q142">MAX(IF((ProjectInfoTable[ProjectName]=ContinuousStatsTable[[#This Row],[ProjectName]]),(ProjectInfoTable[ProjectName]=ContinuousStatsTable[[#This Row],[ProjectName]])*ProjectInfoTable[ConfidenceInterval]))</f>
        <v>0.95</v>
      </c>
      <c r="R1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6.0574982000753563E-2</v>
      </c>
      <c r="S142" s="5" cm="1">
        <f t="array" ref="S142">MIN(IF((ContinuousStatsTable[GroupByKey]=ContinuousStatsTable[[#This Row],[GroupByKey]]),(ContinuousStatsTable[GroupByKey]=ContinuousStatsTable[[#This Row],[GroupByKey]])*ContinuousStatsTable[Average]))</f>
        <v>0.62412916158771403</v>
      </c>
      <c r="T142" s="5" cm="1">
        <f t="array" ref="T142">MAX(IF((ContinuousStatsTable[GroupByKey]=ContinuousStatsTable[[#This Row],[GroupByKey]]),(ContinuousStatsTable[GroupByKey]=ContinuousStatsTable[[#This Row],[GroupByKey]])*ContinuousStatsTable[Average]))</f>
        <v>0.92247891730008102</v>
      </c>
      <c r="U142" s="5">
        <f>IF((ContinuousStatsTable[[#This Row],[RepsRequested]]&gt;1),ContinuousStatsTable[[#This Row],[HalfWidth]],ContinuousStatsTable[[#This Row],[BatchMeansHalfWidth]])</f>
        <v>6.0574982000753563E-2</v>
      </c>
    </row>
    <row r="143" spans="1:21" x14ac:dyDescent="0.4">
      <c r="A143" t="s">
        <v>66</v>
      </c>
      <c r="B143" t="s">
        <v>69</v>
      </c>
      <c r="C143">
        <v>6</v>
      </c>
      <c r="D143" t="s">
        <v>100</v>
      </c>
      <c r="E143" t="s">
        <v>98</v>
      </c>
      <c r="F143" t="s">
        <v>97</v>
      </c>
      <c r="G143">
        <v>0.82323740090020403</v>
      </c>
      <c r="H143">
        <v>2E+20</v>
      </c>
      <c r="I143">
        <v>0</v>
      </c>
      <c r="J143">
        <v>1</v>
      </c>
      <c r="K143">
        <v>1</v>
      </c>
      <c r="L143">
        <v>0</v>
      </c>
      <c r="M143" s="5" t="str">
        <f>ContinuousStatsTable[[#This Row],[ProjectName]]&amp;ContinuousStatsTable[[#This Row],[Name]]&amp;ContinuousStatsTable[[#This Row],[Type]]&amp;ContinuousStatsTable[[#This Row],[Source]]</f>
        <v>Unnamed ProjectM2Number BusyResource</v>
      </c>
      <c r="N143" s="5" cm="1">
        <f t="array" ref="N143">MAX(IF((ProjectInfoTable[ProjectName]=ContinuousStatsTable[[#This Row],[ProjectName]]),(ProjectInfoTable[ProjectName]=ContinuousStatsTable[[#This Row],[ProjectName]])*ProjectInfoTable[NumberOfReplications]))</f>
        <v>10</v>
      </c>
      <c r="O143" s="5" cm="1">
        <f t="array" ref="O143">IFERROR(AVERAGE(IF((ContinuousStatsTable[GroupByKey]=ContinuousStatsTable[[#This Row],[GroupByKey]]),(ContinuousStatsTable[GroupByKey]=ContinuousStatsTable[[#This Row],[GroupByKey]])*ContinuousStatsTable[Average])),0)</f>
        <v>0.79069410142096264</v>
      </c>
      <c r="P143" s="5" cm="1">
        <f t="array" ref="P143">IFERROR(_xlfn.STDEV.S(IF((ContinuousStatsTable[GroupByKey]=ContinuousStatsTable[[#This Row],[GroupByKey]]),(ContinuousStatsTable[GroupByKey]=ContinuousStatsTable[[#This Row],[GroupByKey]])*ContinuousStatsTable[Average])),0)</f>
        <v>8.4677985904895448E-2</v>
      </c>
      <c r="Q143" s="5" cm="1">
        <f t="array" ref="Q143">MAX(IF((ProjectInfoTable[ProjectName]=ContinuousStatsTable[[#This Row],[ProjectName]]),(ProjectInfoTable[ProjectName]=ContinuousStatsTable[[#This Row],[ProjectName]])*ProjectInfoTable[ConfidenceInterval]))</f>
        <v>0.95</v>
      </c>
      <c r="R1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6.0574982000753563E-2</v>
      </c>
      <c r="S143" s="5" cm="1">
        <f t="array" ref="S143">MIN(IF((ContinuousStatsTable[GroupByKey]=ContinuousStatsTable[[#This Row],[GroupByKey]]),(ContinuousStatsTable[GroupByKey]=ContinuousStatsTable[[#This Row],[GroupByKey]])*ContinuousStatsTable[Average]))</f>
        <v>0.62412916158771403</v>
      </c>
      <c r="T143" s="5" cm="1">
        <f t="array" ref="T143">MAX(IF((ContinuousStatsTable[GroupByKey]=ContinuousStatsTable[[#This Row],[GroupByKey]]),(ContinuousStatsTable[GroupByKey]=ContinuousStatsTable[[#This Row],[GroupByKey]])*ContinuousStatsTable[Average]))</f>
        <v>0.92247891730008102</v>
      </c>
      <c r="U143" s="5">
        <f>IF((ContinuousStatsTable[[#This Row],[RepsRequested]]&gt;1),ContinuousStatsTable[[#This Row],[HalfWidth]],ContinuousStatsTable[[#This Row],[BatchMeansHalfWidth]])</f>
        <v>6.0574982000753563E-2</v>
      </c>
    </row>
    <row r="144" spans="1:21" x14ac:dyDescent="0.4">
      <c r="A144" t="s">
        <v>66</v>
      </c>
      <c r="B144" t="s">
        <v>69</v>
      </c>
      <c r="C144">
        <v>6</v>
      </c>
      <c r="D144" t="s">
        <v>100</v>
      </c>
      <c r="E144" t="s">
        <v>99</v>
      </c>
      <c r="F144" t="s">
        <v>97</v>
      </c>
      <c r="G144">
        <v>1</v>
      </c>
      <c r="H144">
        <v>2E+20</v>
      </c>
      <c r="I144">
        <v>1</v>
      </c>
      <c r="J144">
        <v>1</v>
      </c>
      <c r="K144">
        <v>1</v>
      </c>
      <c r="L144">
        <v>0</v>
      </c>
      <c r="M144" s="5" t="str">
        <f>ContinuousStatsTable[[#This Row],[ProjectName]]&amp;ContinuousStatsTable[[#This Row],[Name]]&amp;ContinuousStatsTable[[#This Row],[Type]]&amp;ContinuousStatsTable[[#This Row],[Source]]</f>
        <v>Unnamed ProjectM2Number ScheduledResource</v>
      </c>
      <c r="N144" s="5" cm="1">
        <f t="array" ref="N144">MAX(IF((ProjectInfoTable[ProjectName]=ContinuousStatsTable[[#This Row],[ProjectName]]),(ProjectInfoTable[ProjectName]=ContinuousStatsTable[[#This Row],[ProjectName]])*ProjectInfoTable[NumberOfReplications]))</f>
        <v>10</v>
      </c>
      <c r="O144" s="5" cm="1">
        <f t="array" ref="O144">IFERROR(AVERAGE(IF((ContinuousStatsTable[GroupByKey]=ContinuousStatsTable[[#This Row],[GroupByKey]]),(ContinuousStatsTable[GroupByKey]=ContinuousStatsTable[[#This Row],[GroupByKey]])*ContinuousStatsTable[Average])),0)</f>
        <v>1</v>
      </c>
      <c r="P144" s="5" cm="1">
        <f t="array" ref="P144">IFERROR(_xlfn.STDEV.S(IF((ContinuousStatsTable[GroupByKey]=ContinuousStatsTable[[#This Row],[GroupByKey]]),(ContinuousStatsTable[GroupByKey]=ContinuousStatsTable[[#This Row],[GroupByKey]])*ContinuousStatsTable[Average])),0)</f>
        <v>0</v>
      </c>
      <c r="Q144" s="5" cm="1">
        <f t="array" ref="Q144">MAX(IF((ProjectInfoTable[ProjectName]=ContinuousStatsTable[[#This Row],[ProjectName]]),(ProjectInfoTable[ProjectName]=ContinuousStatsTable[[#This Row],[ProjectName]])*ProjectInfoTable[ConfidenceInterval]))</f>
        <v>0.95</v>
      </c>
      <c r="R1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4" s="5" cm="1">
        <f t="array" ref="S144">MIN(IF((ContinuousStatsTable[GroupByKey]=ContinuousStatsTable[[#This Row],[GroupByKey]]),(ContinuousStatsTable[GroupByKey]=ContinuousStatsTable[[#This Row],[GroupByKey]])*ContinuousStatsTable[Average]))</f>
        <v>1</v>
      </c>
      <c r="T144" s="5" cm="1">
        <f t="array" ref="T144">MAX(IF((ContinuousStatsTable[GroupByKey]=ContinuousStatsTable[[#This Row],[GroupByKey]]),(ContinuousStatsTable[GroupByKey]=ContinuousStatsTable[[#This Row],[GroupByKey]])*ContinuousStatsTable[Average]))</f>
        <v>1</v>
      </c>
      <c r="U144" s="5">
        <f>IF((ContinuousStatsTable[[#This Row],[RepsRequested]]&gt;1),ContinuousStatsTable[[#This Row],[HalfWidth]],ContinuousStatsTable[[#This Row],[BatchMeansHalfWidth]])</f>
        <v>0</v>
      </c>
    </row>
    <row r="145" spans="1:21" x14ac:dyDescent="0.4">
      <c r="A145" t="s">
        <v>66</v>
      </c>
      <c r="B145" t="s">
        <v>69</v>
      </c>
      <c r="C145">
        <v>6</v>
      </c>
      <c r="D145" t="s">
        <v>86</v>
      </c>
      <c r="E145" t="s">
        <v>94</v>
      </c>
      <c r="F145" t="s">
        <v>80</v>
      </c>
      <c r="G145">
        <v>1.7112270440261701</v>
      </c>
      <c r="H145">
        <v>2E+20</v>
      </c>
      <c r="I145">
        <v>0</v>
      </c>
      <c r="J145">
        <v>9</v>
      </c>
      <c r="K145">
        <v>1</v>
      </c>
      <c r="L145">
        <v>0</v>
      </c>
      <c r="M145" s="5" t="str">
        <f>ContinuousStatsTable[[#This Row],[ProjectName]]&amp;ContinuousStatsTable[[#This Row],[Name]]&amp;ContinuousStatsTable[[#This Row],[Type]]&amp;ContinuousStatsTable[[#This Row],[Source]]</f>
        <v>Unnamed ProjectM2.QNumber WaitingQueue</v>
      </c>
      <c r="N145" s="5" cm="1">
        <f t="array" ref="N145">MAX(IF((ProjectInfoTable[ProjectName]=ContinuousStatsTable[[#This Row],[ProjectName]]),(ProjectInfoTable[ProjectName]=ContinuousStatsTable[[#This Row],[ProjectName]])*ProjectInfoTable[NumberOfReplications]))</f>
        <v>10</v>
      </c>
      <c r="O145" s="5" cm="1">
        <f t="array" ref="O145">IFERROR(AVERAGE(IF((ContinuousStatsTable[GroupByKey]=ContinuousStatsTable[[#This Row],[GroupByKey]]),(ContinuousStatsTable[GroupByKey]=ContinuousStatsTable[[#This Row],[GroupByKey]])*ContinuousStatsTable[Average])),0)</f>
        <v>1.9414248775037748</v>
      </c>
      <c r="P145" s="5" cm="1">
        <f t="array" ref="P145">IFERROR(_xlfn.STDEV.S(IF((ContinuousStatsTable[GroupByKey]=ContinuousStatsTable[[#This Row],[GroupByKey]]),(ContinuousStatsTable[GroupByKey]=ContinuousStatsTable[[#This Row],[GroupByKey]])*ContinuousStatsTable[Average])),0)</f>
        <v>1.0999712931753487</v>
      </c>
      <c r="Q145" s="5" cm="1">
        <f t="array" ref="Q145">MAX(IF((ProjectInfoTable[ProjectName]=ContinuousStatsTable[[#This Row],[ProjectName]]),(ProjectInfoTable[ProjectName]=ContinuousStatsTable[[#This Row],[ProjectName]])*ProjectInfoTable[ConfidenceInterval]))</f>
        <v>0.95</v>
      </c>
      <c r="R1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0.78687206094246831</v>
      </c>
      <c r="S145" s="5" cm="1">
        <f t="array" ref="S145">MIN(IF((ContinuousStatsTable[GroupByKey]=ContinuousStatsTable[[#This Row],[GroupByKey]]),(ContinuousStatsTable[GroupByKey]=ContinuousStatsTable[[#This Row],[GroupByKey]])*ContinuousStatsTable[Average]))</f>
        <v>0.64368437614034602</v>
      </c>
      <c r="T145" s="5" cm="1">
        <f t="array" ref="T145">MAX(IF((ContinuousStatsTable[GroupByKey]=ContinuousStatsTable[[#This Row],[GroupByKey]]),(ContinuousStatsTable[GroupByKey]=ContinuousStatsTable[[#This Row],[GroupByKey]])*ContinuousStatsTable[Average]))</f>
        <v>3.96038812902029</v>
      </c>
      <c r="U145" s="5">
        <f>IF((ContinuousStatsTable[[#This Row],[RepsRequested]]&gt;1),ContinuousStatsTable[[#This Row],[HalfWidth]],ContinuousStatsTable[[#This Row],[BatchMeansHalfWidth]])</f>
        <v>0.78687206094246831</v>
      </c>
    </row>
    <row r="146" spans="1:21" x14ac:dyDescent="0.4">
      <c r="A146" t="s">
        <v>66</v>
      </c>
      <c r="B146" t="s">
        <v>69</v>
      </c>
      <c r="C146">
        <v>6</v>
      </c>
      <c r="D146" t="s">
        <v>101</v>
      </c>
      <c r="E146" t="s">
        <v>96</v>
      </c>
      <c r="F146" t="s">
        <v>97</v>
      </c>
      <c r="G146">
        <v>0.39092037028876497</v>
      </c>
      <c r="H146">
        <v>4.7629988723500799E-2</v>
      </c>
      <c r="I146">
        <v>0</v>
      </c>
      <c r="J146">
        <v>1</v>
      </c>
      <c r="K146">
        <v>1</v>
      </c>
      <c r="L146">
        <v>0</v>
      </c>
      <c r="M146" s="5" t="str">
        <f>ContinuousStatsTable[[#This Row],[ProjectName]]&amp;ContinuousStatsTable[[#This Row],[Name]]&amp;ContinuousStatsTable[[#This Row],[Type]]&amp;ContinuousStatsTable[[#This Row],[Source]]</f>
        <v>Unnamed ProjectM3Instantaneous UtilizationResource</v>
      </c>
      <c r="N146" s="5" cm="1">
        <f t="array" ref="N146">MAX(IF((ProjectInfoTable[ProjectName]=ContinuousStatsTable[[#This Row],[ProjectName]]),(ProjectInfoTable[ProjectName]=ContinuousStatsTable[[#This Row],[ProjectName]])*ProjectInfoTable[NumberOfReplications]))</f>
        <v>10</v>
      </c>
      <c r="O146" s="5" cm="1">
        <f t="array" ref="O146">IFERROR(AVERAGE(IF((ContinuousStatsTable[GroupByKey]=ContinuousStatsTable[[#This Row],[GroupByKey]]),(ContinuousStatsTable[GroupByKey]=ContinuousStatsTable[[#This Row],[GroupByKey]])*ContinuousStatsTable[Average])),0)</f>
        <v>0.38204498745219106</v>
      </c>
      <c r="P146" s="5" cm="1">
        <f t="array" ref="P146">IFERROR(_xlfn.STDEV.S(IF((ContinuousStatsTable[GroupByKey]=ContinuousStatsTable[[#This Row],[GroupByKey]]),(ContinuousStatsTable[GroupByKey]=ContinuousStatsTable[[#This Row],[GroupByKey]])*ContinuousStatsTable[Average])),0)</f>
        <v>2.9603647703352595E-2</v>
      </c>
      <c r="Q146" s="5" cm="1">
        <f t="array" ref="Q146">MAX(IF((ProjectInfoTable[ProjectName]=ContinuousStatsTable[[#This Row],[ProjectName]]),(ProjectInfoTable[ProjectName]=ContinuousStatsTable[[#This Row],[ProjectName]])*ProjectInfoTable[ConfidenceInterval]))</f>
        <v>0.95</v>
      </c>
      <c r="R1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2.1177173826515884E-2</v>
      </c>
      <c r="S146" s="5" cm="1">
        <f t="array" ref="S146">MIN(IF((ContinuousStatsTable[GroupByKey]=ContinuousStatsTable[[#This Row],[GroupByKey]]),(ContinuousStatsTable[GroupByKey]=ContinuousStatsTable[[#This Row],[GroupByKey]])*ContinuousStatsTable[Average]))</f>
        <v>0.32566726436532201</v>
      </c>
      <c r="T146" s="5" cm="1">
        <f t="array" ref="T146">MAX(IF((ContinuousStatsTable[GroupByKey]=ContinuousStatsTable[[#This Row],[GroupByKey]]),(ContinuousStatsTable[GroupByKey]=ContinuousStatsTable[[#This Row],[GroupByKey]])*ContinuousStatsTable[Average]))</f>
        <v>0.42511230467838501</v>
      </c>
      <c r="U146" s="5">
        <f>IF((ContinuousStatsTable[[#This Row],[RepsRequested]]&gt;1),ContinuousStatsTable[[#This Row],[HalfWidth]],ContinuousStatsTable[[#This Row],[BatchMeansHalfWidth]])</f>
        <v>2.1177173826515884E-2</v>
      </c>
    </row>
    <row r="147" spans="1:21" x14ac:dyDescent="0.4">
      <c r="A147" t="s">
        <v>66</v>
      </c>
      <c r="B147" t="s">
        <v>69</v>
      </c>
      <c r="C147">
        <v>6</v>
      </c>
      <c r="D147" t="s">
        <v>101</v>
      </c>
      <c r="E147" t="s">
        <v>98</v>
      </c>
      <c r="F147" t="s">
        <v>97</v>
      </c>
      <c r="G147">
        <v>0.78184074057752995</v>
      </c>
      <c r="H147">
        <v>9.5259977447001598E-2</v>
      </c>
      <c r="I147">
        <v>0</v>
      </c>
      <c r="J147">
        <v>2</v>
      </c>
      <c r="K147">
        <v>2</v>
      </c>
      <c r="L147">
        <v>0</v>
      </c>
      <c r="M147" s="5" t="str">
        <f>ContinuousStatsTable[[#This Row],[ProjectName]]&amp;ContinuousStatsTable[[#This Row],[Name]]&amp;ContinuousStatsTable[[#This Row],[Type]]&amp;ContinuousStatsTable[[#This Row],[Source]]</f>
        <v>Unnamed ProjectM3Number BusyResource</v>
      </c>
      <c r="N147" s="5" cm="1">
        <f t="array" ref="N147">MAX(IF((ProjectInfoTable[ProjectName]=ContinuousStatsTable[[#This Row],[ProjectName]]),(ProjectInfoTable[ProjectName]=ContinuousStatsTable[[#This Row],[ProjectName]])*ProjectInfoTable[NumberOfReplications]))</f>
        <v>10</v>
      </c>
      <c r="O147" s="5" cm="1">
        <f t="array" ref="O147">IFERROR(AVERAGE(IF((ContinuousStatsTable[GroupByKey]=ContinuousStatsTable[[#This Row],[GroupByKey]]),(ContinuousStatsTable[GroupByKey]=ContinuousStatsTable[[#This Row],[GroupByKey]])*ContinuousStatsTable[Average])),0)</f>
        <v>0.76408997490438202</v>
      </c>
      <c r="P147" s="5" cm="1">
        <f t="array" ref="P147">IFERROR(_xlfn.STDEV.S(IF((ContinuousStatsTable[GroupByKey]=ContinuousStatsTable[[#This Row],[GroupByKey]]),(ContinuousStatsTable[GroupByKey]=ContinuousStatsTable[[#This Row],[GroupByKey]])*ContinuousStatsTable[Average])),0)</f>
        <v>5.9207295406705232E-2</v>
      </c>
      <c r="Q147" s="5" cm="1">
        <f t="array" ref="Q147">MAX(IF((ProjectInfoTable[ProjectName]=ContinuousStatsTable[[#This Row],[ProjectName]]),(ProjectInfoTable[ProjectName]=ContinuousStatsTable[[#This Row],[ProjectName]])*ProjectInfoTable[ConfidenceInterval]))</f>
        <v>0.95</v>
      </c>
      <c r="R1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4.2354347653031796E-2</v>
      </c>
      <c r="S147" s="5" cm="1">
        <f t="array" ref="S147">MIN(IF((ContinuousStatsTable[GroupByKey]=ContinuousStatsTable[[#This Row],[GroupByKey]]),(ContinuousStatsTable[GroupByKey]=ContinuousStatsTable[[#This Row],[GroupByKey]])*ContinuousStatsTable[Average]))</f>
        <v>0.65133452873064301</v>
      </c>
      <c r="T147" s="5" cm="1">
        <f t="array" ref="T147">MAX(IF((ContinuousStatsTable[GroupByKey]=ContinuousStatsTable[[#This Row],[GroupByKey]]),(ContinuousStatsTable[GroupByKey]=ContinuousStatsTable[[#This Row],[GroupByKey]])*ContinuousStatsTable[Average]))</f>
        <v>0.85022460935677002</v>
      </c>
      <c r="U147" s="5">
        <f>IF((ContinuousStatsTable[[#This Row],[RepsRequested]]&gt;1),ContinuousStatsTable[[#This Row],[HalfWidth]],ContinuousStatsTable[[#This Row],[BatchMeansHalfWidth]])</f>
        <v>4.2354347653031796E-2</v>
      </c>
    </row>
    <row r="148" spans="1:21" x14ac:dyDescent="0.4">
      <c r="A148" t="s">
        <v>66</v>
      </c>
      <c r="B148" t="s">
        <v>69</v>
      </c>
      <c r="C148">
        <v>6</v>
      </c>
      <c r="D148" t="s">
        <v>101</v>
      </c>
      <c r="E148" t="s">
        <v>99</v>
      </c>
      <c r="F148" t="s">
        <v>97</v>
      </c>
      <c r="G148">
        <v>2</v>
      </c>
      <c r="H148">
        <v>2E+20</v>
      </c>
      <c r="I148">
        <v>2</v>
      </c>
      <c r="J148">
        <v>2</v>
      </c>
      <c r="K148">
        <v>2</v>
      </c>
      <c r="L148">
        <v>0</v>
      </c>
      <c r="M148" s="5" t="str">
        <f>ContinuousStatsTable[[#This Row],[ProjectName]]&amp;ContinuousStatsTable[[#This Row],[Name]]&amp;ContinuousStatsTable[[#This Row],[Type]]&amp;ContinuousStatsTable[[#This Row],[Source]]</f>
        <v>Unnamed ProjectM3Number ScheduledResource</v>
      </c>
      <c r="N148" s="5" cm="1">
        <f t="array" ref="N148">MAX(IF((ProjectInfoTable[ProjectName]=ContinuousStatsTable[[#This Row],[ProjectName]]),(ProjectInfoTable[ProjectName]=ContinuousStatsTable[[#This Row],[ProjectName]])*ProjectInfoTable[NumberOfReplications]))</f>
        <v>10</v>
      </c>
      <c r="O148" s="5" cm="1">
        <f t="array" ref="O148">IFERROR(AVERAGE(IF((ContinuousStatsTable[GroupByKey]=ContinuousStatsTable[[#This Row],[GroupByKey]]),(ContinuousStatsTable[GroupByKey]=ContinuousStatsTable[[#This Row],[GroupByKey]])*ContinuousStatsTable[Average])),0)</f>
        <v>2</v>
      </c>
      <c r="P148" s="5" cm="1">
        <f t="array" ref="P148">IFERROR(_xlfn.STDEV.S(IF((ContinuousStatsTable[GroupByKey]=ContinuousStatsTable[[#This Row],[GroupByKey]]),(ContinuousStatsTable[GroupByKey]=ContinuousStatsTable[[#This Row],[GroupByKey]])*ContinuousStatsTable[Average])),0)</f>
        <v>0</v>
      </c>
      <c r="Q148" s="5" cm="1">
        <f t="array" ref="Q148">MAX(IF((ProjectInfoTable[ProjectName]=ContinuousStatsTable[[#This Row],[ProjectName]]),(ProjectInfoTable[ProjectName]=ContinuousStatsTable[[#This Row],[ProjectName]])*ProjectInfoTable[ConfidenceInterval]))</f>
        <v>0.95</v>
      </c>
      <c r="R1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8" s="5" cm="1">
        <f t="array" ref="S148">MIN(IF((ContinuousStatsTable[GroupByKey]=ContinuousStatsTable[[#This Row],[GroupByKey]]),(ContinuousStatsTable[GroupByKey]=ContinuousStatsTable[[#This Row],[GroupByKey]])*ContinuousStatsTable[Average]))</f>
        <v>2</v>
      </c>
      <c r="T148" s="5" cm="1">
        <f t="array" ref="T148">MAX(IF((ContinuousStatsTable[GroupByKey]=ContinuousStatsTable[[#This Row],[GroupByKey]]),(ContinuousStatsTable[GroupByKey]=ContinuousStatsTable[[#This Row],[GroupByKey]])*ContinuousStatsTable[Average]))</f>
        <v>2</v>
      </c>
      <c r="U148" s="5">
        <f>IF((ContinuousStatsTable[[#This Row],[RepsRequested]]&gt;1),ContinuousStatsTable[[#This Row],[HalfWidth]],ContinuousStatsTable[[#This Row],[BatchMeansHalfWidth]])</f>
        <v>0</v>
      </c>
    </row>
    <row r="149" spans="1:21" x14ac:dyDescent="0.4">
      <c r="A149" t="s">
        <v>66</v>
      </c>
      <c r="B149" t="s">
        <v>69</v>
      </c>
      <c r="C149">
        <v>6</v>
      </c>
      <c r="D149" t="s">
        <v>87</v>
      </c>
      <c r="E149" t="s">
        <v>94</v>
      </c>
      <c r="F149" t="s">
        <v>80</v>
      </c>
      <c r="G149">
        <v>1.7183032756251101E-2</v>
      </c>
      <c r="H149">
        <v>2E+20</v>
      </c>
      <c r="I149">
        <v>0</v>
      </c>
      <c r="J149">
        <v>1</v>
      </c>
      <c r="K149">
        <v>0</v>
      </c>
      <c r="L149">
        <v>0</v>
      </c>
      <c r="M149" s="5" t="str">
        <f>ContinuousStatsTable[[#This Row],[ProjectName]]&amp;ContinuousStatsTable[[#This Row],[Name]]&amp;ContinuousStatsTable[[#This Row],[Type]]&amp;ContinuousStatsTable[[#This Row],[Source]]</f>
        <v>Unnamed ProjectM3.QNumber WaitingQueue</v>
      </c>
      <c r="N149" s="5" cm="1">
        <f t="array" ref="N149">MAX(IF((ProjectInfoTable[ProjectName]=ContinuousStatsTable[[#This Row],[ProjectName]]),(ProjectInfoTable[ProjectName]=ContinuousStatsTable[[#This Row],[ProjectName]])*ProjectInfoTable[NumberOfReplications]))</f>
        <v>10</v>
      </c>
      <c r="O149" s="5" cm="1">
        <f t="array" ref="O149">IFERROR(AVERAGE(IF((ContinuousStatsTable[GroupByKey]=ContinuousStatsTable[[#This Row],[GroupByKey]]),(ContinuousStatsTable[GroupByKey]=ContinuousStatsTable[[#This Row],[GroupByKey]])*ContinuousStatsTable[Average])),0)</f>
        <v>2.5183140573256935E-2</v>
      </c>
      <c r="P149" s="5" cm="1">
        <f t="array" ref="P149">IFERROR(_xlfn.STDEV.S(IF((ContinuousStatsTable[GroupByKey]=ContinuousStatsTable[[#This Row],[GroupByKey]]),(ContinuousStatsTable[GroupByKey]=ContinuousStatsTable[[#This Row],[GroupByKey]])*ContinuousStatsTable[Average])),0)</f>
        <v>6.5933898933538881E-3</v>
      </c>
      <c r="Q149" s="5" cm="1">
        <f t="array" ref="Q149">MAX(IF((ProjectInfoTable[ProjectName]=ContinuousStatsTable[[#This Row],[ProjectName]]),(ProjectInfoTable[ProjectName]=ContinuousStatsTable[[#This Row],[ProjectName]])*ProjectInfoTable[ConfidenceInterval]))</f>
        <v>0.95</v>
      </c>
      <c r="R1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4.7166269939678878E-3</v>
      </c>
      <c r="S149" s="5" cm="1">
        <f t="array" ref="S149">MIN(IF((ContinuousStatsTable[GroupByKey]=ContinuousStatsTable[[#This Row],[GroupByKey]]),(ContinuousStatsTable[GroupByKey]=ContinuousStatsTable[[#This Row],[GroupByKey]])*ContinuousStatsTable[Average]))</f>
        <v>1.7183032756251101E-2</v>
      </c>
      <c r="T149" s="5" cm="1">
        <f t="array" ref="T149">MAX(IF((ContinuousStatsTable[GroupByKey]=ContinuousStatsTable[[#This Row],[GroupByKey]]),(ContinuousStatsTable[GroupByKey]=ContinuousStatsTable[[#This Row],[GroupByKey]])*ContinuousStatsTable[Average]))</f>
        <v>3.3093677405251203E-2</v>
      </c>
      <c r="U149" s="5">
        <f>IF((ContinuousStatsTable[[#This Row],[RepsRequested]]&gt;1),ContinuousStatsTable[[#This Row],[HalfWidth]],ContinuousStatsTable[[#This Row],[BatchMeansHalfWidth]])</f>
        <v>4.7166269939678878E-3</v>
      </c>
    </row>
    <row r="150" spans="1:21" x14ac:dyDescent="0.4">
      <c r="A150" t="s">
        <v>66</v>
      </c>
      <c r="B150" t="s">
        <v>69</v>
      </c>
      <c r="C150">
        <v>6</v>
      </c>
      <c r="D150" t="s">
        <v>102</v>
      </c>
      <c r="E150" t="s">
        <v>96</v>
      </c>
      <c r="F150" t="s">
        <v>97</v>
      </c>
      <c r="G150">
        <v>0.71830326862960303</v>
      </c>
      <c r="H150">
        <v>2E+20</v>
      </c>
      <c r="I150">
        <v>0</v>
      </c>
      <c r="J150">
        <v>1</v>
      </c>
      <c r="K150">
        <v>1</v>
      </c>
      <c r="L150">
        <v>0</v>
      </c>
      <c r="M150" s="5" t="str">
        <f>ContinuousStatsTable[[#This Row],[ProjectName]]&amp;ContinuousStatsTable[[#This Row],[Name]]&amp;ContinuousStatsTable[[#This Row],[Type]]&amp;ContinuousStatsTable[[#This Row],[Source]]</f>
        <v>Unnamed ProjectM4Instantaneous UtilizationResource</v>
      </c>
      <c r="N150" s="5" cm="1">
        <f t="array" ref="N150">MAX(IF((ProjectInfoTable[ProjectName]=ContinuousStatsTable[[#This Row],[ProjectName]]),(ProjectInfoTable[ProjectName]=ContinuousStatsTable[[#This Row],[ProjectName]])*ProjectInfoTable[NumberOfReplications]))</f>
        <v>10</v>
      </c>
      <c r="O150" s="5" cm="1">
        <f t="array" ref="O150">IFERROR(AVERAGE(IF((ContinuousStatsTable[GroupByKey]=ContinuousStatsTable[[#This Row],[GroupByKey]]),(ContinuousStatsTable[GroupByKey]=ContinuousStatsTable[[#This Row],[GroupByKey]])*ContinuousStatsTable[Average])),0)</f>
        <v>0.68948907951108873</v>
      </c>
      <c r="P150" s="5" cm="1">
        <f t="array" ref="P150">IFERROR(_xlfn.STDEV.S(IF((ContinuousStatsTable[GroupByKey]=ContinuousStatsTable[[#This Row],[GroupByKey]]),(ContinuousStatsTable[GroupByKey]=ContinuousStatsTable[[#This Row],[GroupByKey]])*ContinuousStatsTable[Average])),0)</f>
        <v>7.0099805521104841E-2</v>
      </c>
      <c r="Q150" s="5" cm="1">
        <f t="array" ref="Q150">MAX(IF((ProjectInfoTable[ProjectName]=ContinuousStatsTable[[#This Row],[ProjectName]]),(ProjectInfoTable[ProjectName]=ContinuousStatsTable[[#This Row],[ProjectName]])*ProjectInfoTable[ConfidenceInterval]))</f>
        <v>0.95</v>
      </c>
      <c r="R1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5.0146379986722875E-2</v>
      </c>
      <c r="S150" s="5" cm="1">
        <f t="array" ref="S150">MIN(IF((ContinuousStatsTable[GroupByKey]=ContinuousStatsTable[[#This Row],[GroupByKey]]),(ContinuousStatsTable[GroupByKey]=ContinuousStatsTable[[#This Row],[GroupByKey]])*ContinuousStatsTable[Average]))</f>
        <v>0.59708526729729605</v>
      </c>
      <c r="T150" s="5" cm="1">
        <f t="array" ref="T150">MAX(IF((ContinuousStatsTable[GroupByKey]=ContinuousStatsTable[[#This Row],[GroupByKey]]),(ContinuousStatsTable[GroupByKey]=ContinuousStatsTable[[#This Row],[GroupByKey]])*ContinuousStatsTable[Average]))</f>
        <v>0.81511052462014799</v>
      </c>
      <c r="U150" s="5">
        <f>IF((ContinuousStatsTable[[#This Row],[RepsRequested]]&gt;1),ContinuousStatsTable[[#This Row],[HalfWidth]],ContinuousStatsTable[[#This Row],[BatchMeansHalfWidth]])</f>
        <v>5.0146379986722875E-2</v>
      </c>
    </row>
    <row r="151" spans="1:21" x14ac:dyDescent="0.4">
      <c r="A151" t="s">
        <v>66</v>
      </c>
      <c r="B151" t="s">
        <v>69</v>
      </c>
      <c r="C151">
        <v>6</v>
      </c>
      <c r="D151" t="s">
        <v>102</v>
      </c>
      <c r="E151" t="s">
        <v>98</v>
      </c>
      <c r="F151" t="s">
        <v>97</v>
      </c>
      <c r="G151">
        <v>0.71830326862960303</v>
      </c>
      <c r="H151">
        <v>2E+20</v>
      </c>
      <c r="I151">
        <v>0</v>
      </c>
      <c r="J151">
        <v>1</v>
      </c>
      <c r="K151">
        <v>1</v>
      </c>
      <c r="L151">
        <v>0</v>
      </c>
      <c r="M151" s="5" t="str">
        <f>ContinuousStatsTable[[#This Row],[ProjectName]]&amp;ContinuousStatsTable[[#This Row],[Name]]&amp;ContinuousStatsTable[[#This Row],[Type]]&amp;ContinuousStatsTable[[#This Row],[Source]]</f>
        <v>Unnamed ProjectM4Number BusyResource</v>
      </c>
      <c r="N151" s="5" cm="1">
        <f t="array" ref="N151">MAX(IF((ProjectInfoTable[ProjectName]=ContinuousStatsTable[[#This Row],[ProjectName]]),(ProjectInfoTable[ProjectName]=ContinuousStatsTable[[#This Row],[ProjectName]])*ProjectInfoTable[NumberOfReplications]))</f>
        <v>10</v>
      </c>
      <c r="O151" s="5" cm="1">
        <f t="array" ref="O151">IFERROR(AVERAGE(IF((ContinuousStatsTable[GroupByKey]=ContinuousStatsTable[[#This Row],[GroupByKey]]),(ContinuousStatsTable[GroupByKey]=ContinuousStatsTable[[#This Row],[GroupByKey]])*ContinuousStatsTable[Average])),0)</f>
        <v>0.68948907951108873</v>
      </c>
      <c r="P151" s="5" cm="1">
        <f t="array" ref="P151">IFERROR(_xlfn.STDEV.S(IF((ContinuousStatsTable[GroupByKey]=ContinuousStatsTable[[#This Row],[GroupByKey]]),(ContinuousStatsTable[GroupByKey]=ContinuousStatsTable[[#This Row],[GroupByKey]])*ContinuousStatsTable[Average])),0)</f>
        <v>7.0099805521104841E-2</v>
      </c>
      <c r="Q151" s="5" cm="1">
        <f t="array" ref="Q151">MAX(IF((ProjectInfoTable[ProjectName]=ContinuousStatsTable[[#This Row],[ProjectName]]),(ProjectInfoTable[ProjectName]=ContinuousStatsTable[[#This Row],[ProjectName]])*ProjectInfoTable[ConfidenceInterval]))</f>
        <v>0.95</v>
      </c>
      <c r="R1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5.0146379986722875E-2</v>
      </c>
      <c r="S151" s="5" cm="1">
        <f t="array" ref="S151">MIN(IF((ContinuousStatsTable[GroupByKey]=ContinuousStatsTable[[#This Row],[GroupByKey]]),(ContinuousStatsTable[GroupByKey]=ContinuousStatsTable[[#This Row],[GroupByKey]])*ContinuousStatsTable[Average]))</f>
        <v>0.59708526729729605</v>
      </c>
      <c r="T151" s="5" cm="1">
        <f t="array" ref="T151">MAX(IF((ContinuousStatsTable[GroupByKey]=ContinuousStatsTable[[#This Row],[GroupByKey]]),(ContinuousStatsTable[GroupByKey]=ContinuousStatsTable[[#This Row],[GroupByKey]])*ContinuousStatsTable[Average]))</f>
        <v>0.81511052462014799</v>
      </c>
      <c r="U151" s="5">
        <f>IF((ContinuousStatsTable[[#This Row],[RepsRequested]]&gt;1),ContinuousStatsTable[[#This Row],[HalfWidth]],ContinuousStatsTable[[#This Row],[BatchMeansHalfWidth]])</f>
        <v>5.0146379986722875E-2</v>
      </c>
    </row>
    <row r="152" spans="1:21" x14ac:dyDescent="0.4">
      <c r="A152" t="s">
        <v>66</v>
      </c>
      <c r="B152" t="s">
        <v>69</v>
      </c>
      <c r="C152">
        <v>6</v>
      </c>
      <c r="D152" t="s">
        <v>102</v>
      </c>
      <c r="E152" t="s">
        <v>99</v>
      </c>
      <c r="F152" t="s">
        <v>97</v>
      </c>
      <c r="G152">
        <v>1</v>
      </c>
      <c r="H152">
        <v>2E+20</v>
      </c>
      <c r="I152">
        <v>1</v>
      </c>
      <c r="J152">
        <v>1</v>
      </c>
      <c r="K152">
        <v>1</v>
      </c>
      <c r="L152">
        <v>0</v>
      </c>
      <c r="M152" s="5" t="str">
        <f>ContinuousStatsTable[[#This Row],[ProjectName]]&amp;ContinuousStatsTable[[#This Row],[Name]]&amp;ContinuousStatsTable[[#This Row],[Type]]&amp;ContinuousStatsTable[[#This Row],[Source]]</f>
        <v>Unnamed ProjectM4Number ScheduledResource</v>
      </c>
      <c r="N152" s="5" cm="1">
        <f t="array" ref="N152">MAX(IF((ProjectInfoTable[ProjectName]=ContinuousStatsTable[[#This Row],[ProjectName]]),(ProjectInfoTable[ProjectName]=ContinuousStatsTable[[#This Row],[ProjectName]])*ProjectInfoTable[NumberOfReplications]))</f>
        <v>10</v>
      </c>
      <c r="O152" s="5" cm="1">
        <f t="array" ref="O152">IFERROR(AVERAGE(IF((ContinuousStatsTable[GroupByKey]=ContinuousStatsTable[[#This Row],[GroupByKey]]),(ContinuousStatsTable[GroupByKey]=ContinuousStatsTable[[#This Row],[GroupByKey]])*ContinuousStatsTable[Average])),0)</f>
        <v>1</v>
      </c>
      <c r="P152" s="5" cm="1">
        <f t="array" ref="P152">IFERROR(_xlfn.STDEV.S(IF((ContinuousStatsTable[GroupByKey]=ContinuousStatsTable[[#This Row],[GroupByKey]]),(ContinuousStatsTable[GroupByKey]=ContinuousStatsTable[[#This Row],[GroupByKey]])*ContinuousStatsTable[Average])),0)</f>
        <v>0</v>
      </c>
      <c r="Q152" s="5" cm="1">
        <f t="array" ref="Q152">MAX(IF((ProjectInfoTable[ProjectName]=ContinuousStatsTable[[#This Row],[ProjectName]]),(ProjectInfoTable[ProjectName]=ContinuousStatsTable[[#This Row],[ProjectName]])*ProjectInfoTable[ConfidenceInterval]))</f>
        <v>0.95</v>
      </c>
      <c r="R1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2" s="5" cm="1">
        <f t="array" ref="S152">MIN(IF((ContinuousStatsTable[GroupByKey]=ContinuousStatsTable[[#This Row],[GroupByKey]]),(ContinuousStatsTable[GroupByKey]=ContinuousStatsTable[[#This Row],[GroupByKey]])*ContinuousStatsTable[Average]))</f>
        <v>1</v>
      </c>
      <c r="T152" s="5" cm="1">
        <f t="array" ref="T152">MAX(IF((ContinuousStatsTable[GroupByKey]=ContinuousStatsTable[[#This Row],[GroupByKey]]),(ContinuousStatsTable[GroupByKey]=ContinuousStatsTable[[#This Row],[GroupByKey]])*ContinuousStatsTable[Average]))</f>
        <v>1</v>
      </c>
      <c r="U152" s="5">
        <f>IF((ContinuousStatsTable[[#This Row],[RepsRequested]]&gt;1),ContinuousStatsTable[[#This Row],[HalfWidth]],ContinuousStatsTable[[#This Row],[BatchMeansHalfWidth]])</f>
        <v>0</v>
      </c>
    </row>
    <row r="153" spans="1:21" x14ac:dyDescent="0.4">
      <c r="A153" t="s">
        <v>66</v>
      </c>
      <c r="B153" t="s">
        <v>69</v>
      </c>
      <c r="C153">
        <v>6</v>
      </c>
      <c r="D153" t="s">
        <v>88</v>
      </c>
      <c r="E153" t="s">
        <v>94</v>
      </c>
      <c r="F153" t="s">
        <v>80</v>
      </c>
      <c r="G153">
        <v>1.08363590415651</v>
      </c>
      <c r="H153">
        <v>2E+20</v>
      </c>
      <c r="I153">
        <v>0</v>
      </c>
      <c r="J153">
        <v>9</v>
      </c>
      <c r="K153">
        <v>2</v>
      </c>
      <c r="L153">
        <v>0</v>
      </c>
      <c r="M153" s="5" t="str">
        <f>ContinuousStatsTable[[#This Row],[ProjectName]]&amp;ContinuousStatsTable[[#This Row],[Name]]&amp;ContinuousStatsTable[[#This Row],[Type]]&amp;ContinuousStatsTable[[#This Row],[Source]]</f>
        <v>Unnamed ProjectM4.QNumber WaitingQueue</v>
      </c>
      <c r="N153" s="5" cm="1">
        <f t="array" ref="N153">MAX(IF((ProjectInfoTable[ProjectName]=ContinuousStatsTable[[#This Row],[ProjectName]]),(ProjectInfoTable[ProjectName]=ContinuousStatsTable[[#This Row],[ProjectName]])*ProjectInfoTable[NumberOfReplications]))</f>
        <v>10</v>
      </c>
      <c r="O153" s="5" cm="1">
        <f t="array" ref="O153">IFERROR(AVERAGE(IF((ContinuousStatsTable[GroupByKey]=ContinuousStatsTable[[#This Row],[GroupByKey]]),(ContinuousStatsTable[GroupByKey]=ContinuousStatsTable[[#This Row],[GroupByKey]])*ContinuousStatsTable[Average])),0)</f>
        <v>0.92596780474390472</v>
      </c>
      <c r="P153" s="5" cm="1">
        <f t="array" ref="P153">IFERROR(_xlfn.STDEV.S(IF((ContinuousStatsTable[GroupByKey]=ContinuousStatsTable[[#This Row],[GroupByKey]]),(ContinuousStatsTable[GroupByKey]=ContinuousStatsTable[[#This Row],[GroupByKey]])*ContinuousStatsTable[Average])),0)</f>
        <v>0.23565784373506599</v>
      </c>
      <c r="Q153" s="5" cm="1">
        <f t="array" ref="Q153">MAX(IF((ProjectInfoTable[ProjectName]=ContinuousStatsTable[[#This Row],[ProjectName]]),(ProjectInfoTable[ProjectName]=ContinuousStatsTable[[#This Row],[ProjectName]])*ProjectInfoTable[ConfidenceInterval]))</f>
        <v>0.95</v>
      </c>
      <c r="R1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0.16857946596203516</v>
      </c>
      <c r="S153" s="5" cm="1">
        <f t="array" ref="S153">MIN(IF((ContinuousStatsTable[GroupByKey]=ContinuousStatsTable[[#This Row],[GroupByKey]]),(ContinuousStatsTable[GroupByKey]=ContinuousStatsTable[[#This Row],[GroupByKey]])*ContinuousStatsTable[Average]))</f>
        <v>0.61954382246291895</v>
      </c>
      <c r="T153" s="5" cm="1">
        <f t="array" ref="T153">MAX(IF((ContinuousStatsTable[GroupByKey]=ContinuousStatsTable[[#This Row],[GroupByKey]]),(ContinuousStatsTable[GroupByKey]=ContinuousStatsTable[[#This Row],[GroupByKey]])*ContinuousStatsTable[Average]))</f>
        <v>1.4060201140591599</v>
      </c>
      <c r="U153" s="5">
        <f>IF((ContinuousStatsTable[[#This Row],[RepsRequested]]&gt;1),ContinuousStatsTable[[#This Row],[HalfWidth]],ContinuousStatsTable[[#This Row],[BatchMeansHalfWidth]])</f>
        <v>0.16857946596203516</v>
      </c>
    </row>
    <row r="154" spans="1:21" x14ac:dyDescent="0.4">
      <c r="A154" t="s">
        <v>66</v>
      </c>
      <c r="B154" t="s">
        <v>69</v>
      </c>
      <c r="C154">
        <v>6</v>
      </c>
      <c r="D154" t="s">
        <v>103</v>
      </c>
      <c r="E154" t="s">
        <v>96</v>
      </c>
      <c r="F154" t="s">
        <v>97</v>
      </c>
      <c r="G154">
        <v>0.36488042746038601</v>
      </c>
      <c r="H154">
        <v>4.2789202633829397E-2</v>
      </c>
      <c r="I154">
        <v>0</v>
      </c>
      <c r="J154">
        <v>1</v>
      </c>
      <c r="K154">
        <v>0.5</v>
      </c>
      <c r="L154">
        <v>0</v>
      </c>
      <c r="M154" s="5" t="str">
        <f>ContinuousStatsTable[[#This Row],[ProjectName]]&amp;ContinuousStatsTable[[#This Row],[Name]]&amp;ContinuousStatsTable[[#This Row],[Type]]&amp;ContinuousStatsTable[[#This Row],[Source]]</f>
        <v>Unnamed ProjectM5Instantaneous UtilizationResource</v>
      </c>
      <c r="N154" s="5" cm="1">
        <f t="array" ref="N154">MAX(IF((ProjectInfoTable[ProjectName]=ContinuousStatsTable[[#This Row],[ProjectName]]),(ProjectInfoTable[ProjectName]=ContinuousStatsTable[[#This Row],[ProjectName]])*ProjectInfoTable[NumberOfReplications]))</f>
        <v>10</v>
      </c>
      <c r="O154" s="5" cm="1">
        <f t="array" ref="O154">IFERROR(AVERAGE(IF((ContinuousStatsTable[GroupByKey]=ContinuousStatsTable[[#This Row],[GroupByKey]]),(ContinuousStatsTable[GroupByKey]=ContinuousStatsTable[[#This Row],[GroupByKey]])*ContinuousStatsTable[Average])),0)</f>
        <v>0.35254112855323727</v>
      </c>
      <c r="P154" s="5" cm="1">
        <f t="array" ref="P154">IFERROR(_xlfn.STDEV.S(IF((ContinuousStatsTable[GroupByKey]=ContinuousStatsTable[[#This Row],[GroupByKey]]),(ContinuousStatsTable[GroupByKey]=ContinuousStatsTable[[#This Row],[GroupByKey]])*ContinuousStatsTable[Average])),0)</f>
        <v>2.0819740340978523E-2</v>
      </c>
      <c r="Q154" s="5" cm="1">
        <f t="array" ref="Q154">MAX(IF((ProjectInfoTable[ProjectName]=ContinuousStatsTable[[#This Row],[ProjectName]]),(ProjectInfoTable[ProjectName]=ContinuousStatsTable[[#This Row],[ProjectName]])*ProjectInfoTable[ConfidenceInterval]))</f>
        <v>0.95</v>
      </c>
      <c r="R1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1.4893545033435028E-2</v>
      </c>
      <c r="S154" s="5" cm="1">
        <f t="array" ref="S154">MIN(IF((ContinuousStatsTable[GroupByKey]=ContinuousStatsTable[[#This Row],[GroupByKey]]),(ContinuousStatsTable[GroupByKey]=ContinuousStatsTable[[#This Row],[GroupByKey]])*ContinuousStatsTable[Average]))</f>
        <v>0.319082016284436</v>
      </c>
      <c r="T154" s="5" cm="1">
        <f t="array" ref="T154">MAX(IF((ContinuousStatsTable[GroupByKey]=ContinuousStatsTable[[#This Row],[GroupByKey]]),(ContinuousStatsTable[GroupByKey]=ContinuousStatsTable[[#This Row],[GroupByKey]])*ContinuousStatsTable[Average]))</f>
        <v>0.391918845838306</v>
      </c>
      <c r="U154" s="5">
        <f>IF((ContinuousStatsTable[[#This Row],[RepsRequested]]&gt;1),ContinuousStatsTable[[#This Row],[HalfWidth]],ContinuousStatsTable[[#This Row],[BatchMeansHalfWidth]])</f>
        <v>1.4893545033435028E-2</v>
      </c>
    </row>
    <row r="155" spans="1:21" x14ac:dyDescent="0.4">
      <c r="A155" t="s">
        <v>66</v>
      </c>
      <c r="B155" t="s">
        <v>69</v>
      </c>
      <c r="C155">
        <v>6</v>
      </c>
      <c r="D155" t="s">
        <v>103</v>
      </c>
      <c r="E155" t="s">
        <v>98</v>
      </c>
      <c r="F155" t="s">
        <v>97</v>
      </c>
      <c r="G155">
        <v>0.72976085492077103</v>
      </c>
      <c r="H155">
        <v>8.5578405267658794E-2</v>
      </c>
      <c r="I155">
        <v>0</v>
      </c>
      <c r="J155">
        <v>2</v>
      </c>
      <c r="K155">
        <v>1</v>
      </c>
      <c r="L155">
        <v>0</v>
      </c>
      <c r="M155" s="5" t="str">
        <f>ContinuousStatsTable[[#This Row],[ProjectName]]&amp;ContinuousStatsTable[[#This Row],[Name]]&amp;ContinuousStatsTable[[#This Row],[Type]]&amp;ContinuousStatsTable[[#This Row],[Source]]</f>
        <v>Unnamed ProjectM5Number BusyResource</v>
      </c>
      <c r="N155" s="5" cm="1">
        <f t="array" ref="N155">MAX(IF((ProjectInfoTable[ProjectName]=ContinuousStatsTable[[#This Row],[ProjectName]]),(ProjectInfoTable[ProjectName]=ContinuousStatsTable[[#This Row],[ProjectName]])*ProjectInfoTable[NumberOfReplications]))</f>
        <v>10</v>
      </c>
      <c r="O155" s="5" cm="1">
        <f t="array" ref="O155">IFERROR(AVERAGE(IF((ContinuousStatsTable[GroupByKey]=ContinuousStatsTable[[#This Row],[GroupByKey]]),(ContinuousStatsTable[GroupByKey]=ContinuousStatsTable[[#This Row],[GroupByKey]])*ContinuousStatsTable[Average])),0)</f>
        <v>0.70508225710647443</v>
      </c>
      <c r="P155" s="5" cm="1">
        <f t="array" ref="P155">IFERROR(_xlfn.STDEV.S(IF((ContinuousStatsTable[GroupByKey]=ContinuousStatsTable[[#This Row],[GroupByKey]]),(ContinuousStatsTable[GroupByKey]=ContinuousStatsTable[[#This Row],[GroupByKey]])*ContinuousStatsTable[Average])),0)</f>
        <v>4.1639480681956775E-2</v>
      </c>
      <c r="Q155" s="5" cm="1">
        <f t="array" ref="Q155">MAX(IF((ProjectInfoTable[ProjectName]=ContinuousStatsTable[[#This Row],[ProjectName]]),(ProjectInfoTable[ProjectName]=ContinuousStatsTable[[#This Row],[ProjectName]])*ProjectInfoTable[ConfidenceInterval]))</f>
        <v>0.95</v>
      </c>
      <c r="R1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2.9787090066869859E-2</v>
      </c>
      <c r="S155" s="5" cm="1">
        <f t="array" ref="S155">MIN(IF((ContinuousStatsTable[GroupByKey]=ContinuousStatsTable[[#This Row],[GroupByKey]]),(ContinuousStatsTable[GroupByKey]=ContinuousStatsTable[[#This Row],[GroupByKey]])*ContinuousStatsTable[Average]))</f>
        <v>0.638164032568872</v>
      </c>
      <c r="T155" s="5" cm="1">
        <f t="array" ref="T155">MAX(IF((ContinuousStatsTable[GroupByKey]=ContinuousStatsTable[[#This Row],[GroupByKey]]),(ContinuousStatsTable[GroupByKey]=ContinuousStatsTable[[#This Row],[GroupByKey]])*ContinuousStatsTable[Average]))</f>
        <v>0.78383769167661099</v>
      </c>
      <c r="U155" s="5">
        <f>IF((ContinuousStatsTable[[#This Row],[RepsRequested]]&gt;1),ContinuousStatsTable[[#This Row],[HalfWidth]],ContinuousStatsTable[[#This Row],[BatchMeansHalfWidth]])</f>
        <v>2.9787090066869859E-2</v>
      </c>
    </row>
    <row r="156" spans="1:21" x14ac:dyDescent="0.4">
      <c r="A156" t="s">
        <v>66</v>
      </c>
      <c r="B156" t="s">
        <v>69</v>
      </c>
      <c r="C156">
        <v>6</v>
      </c>
      <c r="D156" t="s">
        <v>103</v>
      </c>
      <c r="E156" t="s">
        <v>99</v>
      </c>
      <c r="F156" t="s">
        <v>97</v>
      </c>
      <c r="G156">
        <v>2</v>
      </c>
      <c r="H156">
        <v>2E+20</v>
      </c>
      <c r="I156">
        <v>2</v>
      </c>
      <c r="J156">
        <v>2</v>
      </c>
      <c r="K156">
        <v>2</v>
      </c>
      <c r="L156">
        <v>0</v>
      </c>
      <c r="M156" s="5" t="str">
        <f>ContinuousStatsTable[[#This Row],[ProjectName]]&amp;ContinuousStatsTable[[#This Row],[Name]]&amp;ContinuousStatsTable[[#This Row],[Type]]&amp;ContinuousStatsTable[[#This Row],[Source]]</f>
        <v>Unnamed ProjectM5Number ScheduledResource</v>
      </c>
      <c r="N156" s="5" cm="1">
        <f t="array" ref="N156">MAX(IF((ProjectInfoTable[ProjectName]=ContinuousStatsTable[[#This Row],[ProjectName]]),(ProjectInfoTable[ProjectName]=ContinuousStatsTable[[#This Row],[ProjectName]])*ProjectInfoTable[NumberOfReplications]))</f>
        <v>10</v>
      </c>
      <c r="O156" s="5" cm="1">
        <f t="array" ref="O156">IFERROR(AVERAGE(IF((ContinuousStatsTable[GroupByKey]=ContinuousStatsTable[[#This Row],[GroupByKey]]),(ContinuousStatsTable[GroupByKey]=ContinuousStatsTable[[#This Row],[GroupByKey]])*ContinuousStatsTable[Average])),0)</f>
        <v>2</v>
      </c>
      <c r="P156" s="5" cm="1">
        <f t="array" ref="P156">IFERROR(_xlfn.STDEV.S(IF((ContinuousStatsTable[GroupByKey]=ContinuousStatsTable[[#This Row],[GroupByKey]]),(ContinuousStatsTable[GroupByKey]=ContinuousStatsTable[[#This Row],[GroupByKey]])*ContinuousStatsTable[Average])),0)</f>
        <v>0</v>
      </c>
      <c r="Q156" s="5" cm="1">
        <f t="array" ref="Q156">MAX(IF((ProjectInfoTable[ProjectName]=ContinuousStatsTable[[#This Row],[ProjectName]]),(ProjectInfoTable[ProjectName]=ContinuousStatsTable[[#This Row],[ProjectName]])*ProjectInfoTable[ConfidenceInterval]))</f>
        <v>0.95</v>
      </c>
      <c r="R1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6" s="5" cm="1">
        <f t="array" ref="S156">MIN(IF((ContinuousStatsTable[GroupByKey]=ContinuousStatsTable[[#This Row],[GroupByKey]]),(ContinuousStatsTable[GroupByKey]=ContinuousStatsTable[[#This Row],[GroupByKey]])*ContinuousStatsTable[Average]))</f>
        <v>2</v>
      </c>
      <c r="T156" s="5" cm="1">
        <f t="array" ref="T156">MAX(IF((ContinuousStatsTable[GroupByKey]=ContinuousStatsTable[[#This Row],[GroupByKey]]),(ContinuousStatsTable[GroupByKey]=ContinuousStatsTable[[#This Row],[GroupByKey]])*ContinuousStatsTable[Average]))</f>
        <v>2</v>
      </c>
      <c r="U156" s="5">
        <f>IF((ContinuousStatsTable[[#This Row],[RepsRequested]]&gt;1),ContinuousStatsTable[[#This Row],[HalfWidth]],ContinuousStatsTable[[#This Row],[BatchMeansHalfWidth]])</f>
        <v>0</v>
      </c>
    </row>
    <row r="157" spans="1:21" x14ac:dyDescent="0.4">
      <c r="A157" t="s">
        <v>66</v>
      </c>
      <c r="B157" t="s">
        <v>69</v>
      </c>
      <c r="C157">
        <v>6</v>
      </c>
      <c r="D157" t="s">
        <v>89</v>
      </c>
      <c r="E157" t="s">
        <v>94</v>
      </c>
      <c r="F157" t="s">
        <v>80</v>
      </c>
      <c r="G157">
        <v>1.58912341215269E-2</v>
      </c>
      <c r="H157">
        <v>2E+20</v>
      </c>
      <c r="I157">
        <v>0</v>
      </c>
      <c r="J157">
        <v>2</v>
      </c>
      <c r="K157">
        <v>0</v>
      </c>
      <c r="L157">
        <v>0</v>
      </c>
      <c r="M157" s="5" t="str">
        <f>ContinuousStatsTable[[#This Row],[ProjectName]]&amp;ContinuousStatsTable[[#This Row],[Name]]&amp;ContinuousStatsTable[[#This Row],[Type]]&amp;ContinuousStatsTable[[#This Row],[Source]]</f>
        <v>Unnamed ProjectM5.QNumber WaitingQueue</v>
      </c>
      <c r="N157" s="5" cm="1">
        <f t="array" ref="N157">MAX(IF((ProjectInfoTable[ProjectName]=ContinuousStatsTable[[#This Row],[ProjectName]]),(ProjectInfoTable[ProjectName]=ContinuousStatsTable[[#This Row],[ProjectName]])*ProjectInfoTable[NumberOfReplications]))</f>
        <v>10</v>
      </c>
      <c r="O157" s="5" cm="1">
        <f t="array" ref="O157">IFERROR(AVERAGE(IF((ContinuousStatsTable[GroupByKey]=ContinuousStatsTable[[#This Row],[GroupByKey]]),(ContinuousStatsTable[GroupByKey]=ContinuousStatsTable[[#This Row],[GroupByKey]])*ContinuousStatsTable[Average])),0)</f>
        <v>4.0588719153078524E-2</v>
      </c>
      <c r="P157" s="5" cm="1">
        <f t="array" ref="P157">IFERROR(_xlfn.STDEV.S(IF((ContinuousStatsTable[GroupByKey]=ContinuousStatsTable[[#This Row],[GroupByKey]]),(ContinuousStatsTable[GroupByKey]=ContinuousStatsTable[[#This Row],[GroupByKey]])*ContinuousStatsTable[Average])),0)</f>
        <v>2.3271584618520549E-2</v>
      </c>
      <c r="Q157" s="5" cm="1">
        <f t="array" ref="Q157">MAX(IF((ProjectInfoTable[ProjectName]=ContinuousStatsTable[[#This Row],[ProjectName]]),(ProjectInfoTable[ProjectName]=ContinuousStatsTable[[#This Row],[ProjectName]])*ProjectInfoTable[ConfidenceInterval]))</f>
        <v>0.95</v>
      </c>
      <c r="R1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1.6647488769739371E-2</v>
      </c>
      <c r="S157" s="5" cm="1">
        <f t="array" ref="S157">MIN(IF((ContinuousStatsTable[GroupByKey]=ContinuousStatsTable[[#This Row],[GroupByKey]]),(ContinuousStatsTable[GroupByKey]=ContinuousStatsTable[[#This Row],[GroupByKey]])*ContinuousStatsTable[Average]))</f>
        <v>1.58912341215269E-2</v>
      </c>
      <c r="T157" s="5" cm="1">
        <f t="array" ref="T157">MAX(IF((ContinuousStatsTable[GroupByKey]=ContinuousStatsTable[[#This Row],[GroupByKey]]),(ContinuousStatsTable[GroupByKey]=ContinuousStatsTable[[#This Row],[GroupByKey]])*ContinuousStatsTable[Average]))</f>
        <v>9.0065456910795705E-2</v>
      </c>
      <c r="U157" s="5">
        <f>IF((ContinuousStatsTable[[#This Row],[RepsRequested]]&gt;1),ContinuousStatsTable[[#This Row],[HalfWidth]],ContinuousStatsTable[[#This Row],[BatchMeansHalfWidth]])</f>
        <v>1.6647488769739371E-2</v>
      </c>
    </row>
    <row r="158" spans="1:21" x14ac:dyDescent="0.4">
      <c r="A158" t="s">
        <v>66</v>
      </c>
      <c r="B158" t="s">
        <v>69</v>
      </c>
      <c r="C158">
        <v>7</v>
      </c>
      <c r="D158" t="s">
        <v>70</v>
      </c>
      <c r="E158" t="s">
        <v>93</v>
      </c>
      <c r="F158" t="s">
        <v>72</v>
      </c>
      <c r="G158">
        <v>4.94564672961185</v>
      </c>
      <c r="H158">
        <v>3E+20</v>
      </c>
      <c r="I158">
        <v>0</v>
      </c>
      <c r="J158">
        <v>14</v>
      </c>
      <c r="K158">
        <v>2</v>
      </c>
      <c r="L158">
        <v>0</v>
      </c>
      <c r="M158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158" s="5" cm="1">
        <f t="array" ref="N158">MAX(IF((ProjectInfoTable[ProjectName]=ContinuousStatsTable[[#This Row],[ProjectName]]),(ProjectInfoTable[ProjectName]=ContinuousStatsTable[[#This Row],[ProjectName]])*ProjectInfoTable[NumberOfReplications]))</f>
        <v>10</v>
      </c>
      <c r="O158" s="5" cm="1">
        <f t="array" ref="O158">IFERROR(AVERAGE(IF((ContinuousStatsTable[GroupByKey]=ContinuousStatsTable[[#This Row],[GroupByKey]]),(ContinuousStatsTable[GroupByKey]=ContinuousStatsTable[[#This Row],[GroupByKey]])*ContinuousStatsTable[Average])),0)</f>
        <v>6.6735315353875011</v>
      </c>
      <c r="P158" s="5" cm="1">
        <f t="array" ref="P158">IFERROR(_xlfn.STDEV.S(IF((ContinuousStatsTable[GroupByKey]=ContinuousStatsTable[[#This Row],[GroupByKey]]),(ContinuousStatsTable[GroupByKey]=ContinuousStatsTable[[#This Row],[GroupByKey]])*ContinuousStatsTable[Average])),0)</f>
        <v>1.4829188547421246</v>
      </c>
      <c r="Q158" s="5" cm="1">
        <f t="array" ref="Q158">MAX(IF((ProjectInfoTable[ProjectName]=ContinuousStatsTable[[#This Row],[ProjectName]]),(ProjectInfoTable[ProjectName]=ContinuousStatsTable[[#This Row],[ProjectName]])*ProjectInfoTable[ConfidenceInterval]))</f>
        <v>0.95</v>
      </c>
      <c r="R1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1.0608162437338877</v>
      </c>
      <c r="S158" s="5" cm="1">
        <f t="array" ref="S158">MIN(IF((ContinuousStatsTable[GroupByKey]=ContinuousStatsTable[[#This Row],[GroupByKey]]),(ContinuousStatsTable[GroupByKey]=ContinuousStatsTable[[#This Row],[GroupByKey]])*ContinuousStatsTable[Average]))</f>
        <v>4.5894957727661101</v>
      </c>
      <c r="T158" s="5" cm="1">
        <f t="array" ref="T158">MAX(IF((ContinuousStatsTable[GroupByKey]=ContinuousStatsTable[[#This Row],[GroupByKey]]),(ContinuousStatsTable[GroupByKey]=ContinuousStatsTable[[#This Row],[GroupByKey]])*ContinuousStatsTable[Average]))</f>
        <v>9.5134854029509093</v>
      </c>
      <c r="U158" s="5">
        <f>IF((ContinuousStatsTable[[#This Row],[RepsRequested]]&gt;1),ContinuousStatsTable[[#This Row],[HalfWidth]],ContinuousStatsTable[[#This Row],[BatchMeansHalfWidth]])</f>
        <v>1.0608162437338877</v>
      </c>
    </row>
    <row r="159" spans="1:21" x14ac:dyDescent="0.4">
      <c r="A159" t="s">
        <v>66</v>
      </c>
      <c r="B159" t="s">
        <v>69</v>
      </c>
      <c r="C159">
        <v>7</v>
      </c>
      <c r="D159" t="s">
        <v>78</v>
      </c>
      <c r="E159" t="s">
        <v>94</v>
      </c>
      <c r="F159" t="s">
        <v>80</v>
      </c>
      <c r="G159">
        <v>0</v>
      </c>
      <c r="H159">
        <v>2E+20</v>
      </c>
      <c r="I159">
        <v>0</v>
      </c>
      <c r="J159">
        <v>0</v>
      </c>
      <c r="K159">
        <v>0</v>
      </c>
      <c r="L159">
        <v>0</v>
      </c>
      <c r="M159" s="5" t="str">
        <f>ContinuousStatsTable[[#This Row],[ProjectName]]&amp;ContinuousStatsTable[[#This Row],[Name]]&amp;ContinuousStatsTable[[#This Row],[Type]]&amp;ContinuousStatsTable[[#This Row],[Source]]</f>
        <v>Unnamed ProjectHold M1.QueueNumber WaitingQueue</v>
      </c>
      <c r="N159" s="5" cm="1">
        <f t="array" ref="N159">MAX(IF((ProjectInfoTable[ProjectName]=ContinuousStatsTable[[#This Row],[ProjectName]]),(ProjectInfoTable[ProjectName]=ContinuousStatsTable[[#This Row],[ProjectName]])*ProjectInfoTable[NumberOfReplications]))</f>
        <v>10</v>
      </c>
      <c r="O159" s="5" cm="1">
        <f t="array" ref="O159">IFERROR(AVERAGE(IF((ContinuousStatsTable[GroupByKey]=ContinuousStatsTable[[#This Row],[GroupByKey]]),(ContinuousStatsTable[GroupByKey]=ContinuousStatsTable[[#This Row],[GroupByKey]])*ContinuousStatsTable[Average])),0)</f>
        <v>0</v>
      </c>
      <c r="P159" s="5" cm="1">
        <f t="array" ref="P159">IFERROR(_xlfn.STDEV.S(IF((ContinuousStatsTable[GroupByKey]=ContinuousStatsTable[[#This Row],[GroupByKey]]),(ContinuousStatsTable[GroupByKey]=ContinuousStatsTable[[#This Row],[GroupByKey]])*ContinuousStatsTable[Average])),0)</f>
        <v>0</v>
      </c>
      <c r="Q159" s="5" cm="1">
        <f t="array" ref="Q159">MAX(IF((ProjectInfoTable[ProjectName]=ContinuousStatsTable[[#This Row],[ProjectName]]),(ProjectInfoTable[ProjectName]=ContinuousStatsTable[[#This Row],[ProjectName]])*ProjectInfoTable[ConfidenceInterval]))</f>
        <v>0.95</v>
      </c>
      <c r="R1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9" s="5" cm="1">
        <f t="array" ref="S159">MIN(IF((ContinuousStatsTable[GroupByKey]=ContinuousStatsTable[[#This Row],[GroupByKey]]),(ContinuousStatsTable[GroupByKey]=ContinuousStatsTable[[#This Row],[GroupByKey]])*ContinuousStatsTable[Average]))</f>
        <v>0</v>
      </c>
      <c r="T159" s="5" cm="1">
        <f t="array" ref="T159">MAX(IF((ContinuousStatsTable[GroupByKey]=ContinuousStatsTable[[#This Row],[GroupByKey]]),(ContinuousStatsTable[GroupByKey]=ContinuousStatsTable[[#This Row],[GroupByKey]])*ContinuousStatsTable[Average]))</f>
        <v>0</v>
      </c>
      <c r="U159" s="5">
        <f>IF((ContinuousStatsTable[[#This Row],[RepsRequested]]&gt;1),ContinuousStatsTable[[#This Row],[HalfWidth]],ContinuousStatsTable[[#This Row],[BatchMeansHalfWidth]])</f>
        <v>0</v>
      </c>
    </row>
    <row r="160" spans="1:21" x14ac:dyDescent="0.4">
      <c r="A160" t="s">
        <v>66</v>
      </c>
      <c r="B160" t="s">
        <v>69</v>
      </c>
      <c r="C160">
        <v>7</v>
      </c>
      <c r="D160" t="s">
        <v>81</v>
      </c>
      <c r="E160" t="s">
        <v>94</v>
      </c>
      <c r="F160" t="s">
        <v>80</v>
      </c>
      <c r="G160">
        <v>0</v>
      </c>
      <c r="H160">
        <v>2E+20</v>
      </c>
      <c r="I160">
        <v>0</v>
      </c>
      <c r="J160">
        <v>0</v>
      </c>
      <c r="K160">
        <v>0</v>
      </c>
      <c r="L160">
        <v>0</v>
      </c>
      <c r="M160" s="5" t="str">
        <f>ContinuousStatsTable[[#This Row],[ProjectName]]&amp;ContinuousStatsTable[[#This Row],[Name]]&amp;ContinuousStatsTable[[#This Row],[Type]]&amp;ContinuousStatsTable[[#This Row],[Source]]</f>
        <v>Unnamed ProjectHold M2.QueueNumber WaitingQueue</v>
      </c>
      <c r="N160" s="5" cm="1">
        <f t="array" ref="N160">MAX(IF((ProjectInfoTable[ProjectName]=ContinuousStatsTable[[#This Row],[ProjectName]]),(ProjectInfoTable[ProjectName]=ContinuousStatsTable[[#This Row],[ProjectName]])*ProjectInfoTable[NumberOfReplications]))</f>
        <v>10</v>
      </c>
      <c r="O160" s="5" cm="1">
        <f t="array" ref="O160">IFERROR(AVERAGE(IF((ContinuousStatsTable[GroupByKey]=ContinuousStatsTable[[#This Row],[GroupByKey]]),(ContinuousStatsTable[GroupByKey]=ContinuousStatsTable[[#This Row],[GroupByKey]])*ContinuousStatsTable[Average])),0)</f>
        <v>0</v>
      </c>
      <c r="P160" s="5" cm="1">
        <f t="array" ref="P160">IFERROR(_xlfn.STDEV.S(IF((ContinuousStatsTable[GroupByKey]=ContinuousStatsTable[[#This Row],[GroupByKey]]),(ContinuousStatsTable[GroupByKey]=ContinuousStatsTable[[#This Row],[GroupByKey]])*ContinuousStatsTable[Average])),0)</f>
        <v>0</v>
      </c>
      <c r="Q160" s="5" cm="1">
        <f t="array" ref="Q160">MAX(IF((ProjectInfoTable[ProjectName]=ContinuousStatsTable[[#This Row],[ProjectName]]),(ProjectInfoTable[ProjectName]=ContinuousStatsTable[[#This Row],[ProjectName]])*ProjectInfoTable[ConfidenceInterval]))</f>
        <v>0.95</v>
      </c>
      <c r="R1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0" s="5" cm="1">
        <f t="array" ref="S160">MIN(IF((ContinuousStatsTable[GroupByKey]=ContinuousStatsTable[[#This Row],[GroupByKey]]),(ContinuousStatsTable[GroupByKey]=ContinuousStatsTable[[#This Row],[GroupByKey]])*ContinuousStatsTable[Average]))</f>
        <v>0</v>
      </c>
      <c r="T160" s="5" cm="1">
        <f t="array" ref="T160">MAX(IF((ContinuousStatsTable[GroupByKey]=ContinuousStatsTable[[#This Row],[GroupByKey]]),(ContinuousStatsTable[GroupByKey]=ContinuousStatsTable[[#This Row],[GroupByKey]])*ContinuousStatsTable[Average]))</f>
        <v>0</v>
      </c>
      <c r="U160" s="5">
        <f>IF((ContinuousStatsTable[[#This Row],[RepsRequested]]&gt;1),ContinuousStatsTable[[#This Row],[HalfWidth]],ContinuousStatsTable[[#This Row],[BatchMeansHalfWidth]])</f>
        <v>0</v>
      </c>
    </row>
    <row r="161" spans="1:21" x14ac:dyDescent="0.4">
      <c r="A161" t="s">
        <v>66</v>
      </c>
      <c r="B161" t="s">
        <v>69</v>
      </c>
      <c r="C161">
        <v>7</v>
      </c>
      <c r="D161" t="s">
        <v>82</v>
      </c>
      <c r="E161" t="s">
        <v>94</v>
      </c>
      <c r="F161" t="s">
        <v>80</v>
      </c>
      <c r="G161">
        <v>0</v>
      </c>
      <c r="H161">
        <v>2E+20</v>
      </c>
      <c r="I161">
        <v>0</v>
      </c>
      <c r="J161">
        <v>0</v>
      </c>
      <c r="K161">
        <v>0</v>
      </c>
      <c r="L161">
        <v>0</v>
      </c>
      <c r="M161" s="5" t="str">
        <f>ContinuousStatsTable[[#This Row],[ProjectName]]&amp;ContinuousStatsTable[[#This Row],[Name]]&amp;ContinuousStatsTable[[#This Row],[Type]]&amp;ContinuousStatsTable[[#This Row],[Source]]</f>
        <v>Unnamed ProjectHold M3.QueueNumber WaitingQueue</v>
      </c>
      <c r="N161" s="5" cm="1">
        <f t="array" ref="N161">MAX(IF((ProjectInfoTable[ProjectName]=ContinuousStatsTable[[#This Row],[ProjectName]]),(ProjectInfoTable[ProjectName]=ContinuousStatsTable[[#This Row],[ProjectName]])*ProjectInfoTable[NumberOfReplications]))</f>
        <v>10</v>
      </c>
      <c r="O161" s="5" cm="1">
        <f t="array" ref="O161">IFERROR(AVERAGE(IF((ContinuousStatsTable[GroupByKey]=ContinuousStatsTable[[#This Row],[GroupByKey]]),(ContinuousStatsTable[GroupByKey]=ContinuousStatsTable[[#This Row],[GroupByKey]])*ContinuousStatsTable[Average])),0)</f>
        <v>0</v>
      </c>
      <c r="P161" s="5" cm="1">
        <f t="array" ref="P161">IFERROR(_xlfn.STDEV.S(IF((ContinuousStatsTable[GroupByKey]=ContinuousStatsTable[[#This Row],[GroupByKey]]),(ContinuousStatsTable[GroupByKey]=ContinuousStatsTable[[#This Row],[GroupByKey]])*ContinuousStatsTable[Average])),0)</f>
        <v>0</v>
      </c>
      <c r="Q161" s="5" cm="1">
        <f t="array" ref="Q161">MAX(IF((ProjectInfoTable[ProjectName]=ContinuousStatsTable[[#This Row],[ProjectName]]),(ProjectInfoTable[ProjectName]=ContinuousStatsTable[[#This Row],[ProjectName]])*ProjectInfoTable[ConfidenceInterval]))</f>
        <v>0.95</v>
      </c>
      <c r="R1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1" s="5" cm="1">
        <f t="array" ref="S161">MIN(IF((ContinuousStatsTable[GroupByKey]=ContinuousStatsTable[[#This Row],[GroupByKey]]),(ContinuousStatsTable[GroupByKey]=ContinuousStatsTable[[#This Row],[GroupByKey]])*ContinuousStatsTable[Average]))</f>
        <v>0</v>
      </c>
      <c r="T161" s="5" cm="1">
        <f t="array" ref="T161">MAX(IF((ContinuousStatsTable[GroupByKey]=ContinuousStatsTable[[#This Row],[GroupByKey]]),(ContinuousStatsTable[GroupByKey]=ContinuousStatsTable[[#This Row],[GroupByKey]])*ContinuousStatsTable[Average]))</f>
        <v>0</v>
      </c>
      <c r="U161" s="5">
        <f>IF((ContinuousStatsTable[[#This Row],[RepsRequested]]&gt;1),ContinuousStatsTable[[#This Row],[HalfWidth]],ContinuousStatsTable[[#This Row],[BatchMeansHalfWidth]])</f>
        <v>0</v>
      </c>
    </row>
    <row r="162" spans="1:21" x14ac:dyDescent="0.4">
      <c r="A162" t="s">
        <v>66</v>
      </c>
      <c r="B162" t="s">
        <v>69</v>
      </c>
      <c r="C162">
        <v>7</v>
      </c>
      <c r="D162" t="s">
        <v>83</v>
      </c>
      <c r="E162" t="s">
        <v>94</v>
      </c>
      <c r="F162" t="s">
        <v>80</v>
      </c>
      <c r="G162">
        <v>0</v>
      </c>
      <c r="H162">
        <v>2E+20</v>
      </c>
      <c r="I162">
        <v>0</v>
      </c>
      <c r="J162">
        <v>0</v>
      </c>
      <c r="K162">
        <v>0</v>
      </c>
      <c r="L162">
        <v>0</v>
      </c>
      <c r="M162" s="5" t="str">
        <f>ContinuousStatsTable[[#This Row],[ProjectName]]&amp;ContinuousStatsTable[[#This Row],[Name]]&amp;ContinuousStatsTable[[#This Row],[Type]]&amp;ContinuousStatsTable[[#This Row],[Source]]</f>
        <v>Unnamed ProjectHold M4.QueueNumber WaitingQueue</v>
      </c>
      <c r="N162" s="5" cm="1">
        <f t="array" ref="N162">MAX(IF((ProjectInfoTable[ProjectName]=ContinuousStatsTable[[#This Row],[ProjectName]]),(ProjectInfoTable[ProjectName]=ContinuousStatsTable[[#This Row],[ProjectName]])*ProjectInfoTable[NumberOfReplications]))</f>
        <v>10</v>
      </c>
      <c r="O162" s="5" cm="1">
        <f t="array" ref="O162">IFERROR(AVERAGE(IF((ContinuousStatsTable[GroupByKey]=ContinuousStatsTable[[#This Row],[GroupByKey]]),(ContinuousStatsTable[GroupByKey]=ContinuousStatsTable[[#This Row],[GroupByKey]])*ContinuousStatsTable[Average])),0)</f>
        <v>0</v>
      </c>
      <c r="P162" s="5" cm="1">
        <f t="array" ref="P162">IFERROR(_xlfn.STDEV.S(IF((ContinuousStatsTable[GroupByKey]=ContinuousStatsTable[[#This Row],[GroupByKey]]),(ContinuousStatsTable[GroupByKey]=ContinuousStatsTable[[#This Row],[GroupByKey]])*ContinuousStatsTable[Average])),0)</f>
        <v>0</v>
      </c>
      <c r="Q162" s="5" cm="1">
        <f t="array" ref="Q162">MAX(IF((ProjectInfoTable[ProjectName]=ContinuousStatsTable[[#This Row],[ProjectName]]),(ProjectInfoTable[ProjectName]=ContinuousStatsTable[[#This Row],[ProjectName]])*ProjectInfoTable[ConfidenceInterval]))</f>
        <v>0.95</v>
      </c>
      <c r="R1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2" s="5" cm="1">
        <f t="array" ref="S162">MIN(IF((ContinuousStatsTable[GroupByKey]=ContinuousStatsTable[[#This Row],[GroupByKey]]),(ContinuousStatsTable[GroupByKey]=ContinuousStatsTable[[#This Row],[GroupByKey]])*ContinuousStatsTable[Average]))</f>
        <v>0</v>
      </c>
      <c r="T162" s="5" cm="1">
        <f t="array" ref="T162">MAX(IF((ContinuousStatsTable[GroupByKey]=ContinuousStatsTable[[#This Row],[GroupByKey]]),(ContinuousStatsTable[GroupByKey]=ContinuousStatsTable[[#This Row],[GroupByKey]])*ContinuousStatsTable[Average]))</f>
        <v>0</v>
      </c>
      <c r="U162" s="5">
        <f>IF((ContinuousStatsTable[[#This Row],[RepsRequested]]&gt;1),ContinuousStatsTable[[#This Row],[HalfWidth]],ContinuousStatsTable[[#This Row],[BatchMeansHalfWidth]])</f>
        <v>0</v>
      </c>
    </row>
    <row r="163" spans="1:21" x14ac:dyDescent="0.4">
      <c r="A163" t="s">
        <v>66</v>
      </c>
      <c r="B163" t="s">
        <v>69</v>
      </c>
      <c r="C163">
        <v>7</v>
      </c>
      <c r="D163" t="s">
        <v>84</v>
      </c>
      <c r="E163" t="s">
        <v>94</v>
      </c>
      <c r="F163" t="s">
        <v>80</v>
      </c>
      <c r="G163">
        <v>0</v>
      </c>
      <c r="H163">
        <v>2E+20</v>
      </c>
      <c r="I163">
        <v>0</v>
      </c>
      <c r="J163">
        <v>0</v>
      </c>
      <c r="K163">
        <v>0</v>
      </c>
      <c r="L163">
        <v>0</v>
      </c>
      <c r="M163" s="5" t="str">
        <f>ContinuousStatsTable[[#This Row],[ProjectName]]&amp;ContinuousStatsTable[[#This Row],[Name]]&amp;ContinuousStatsTable[[#This Row],[Type]]&amp;ContinuousStatsTable[[#This Row],[Source]]</f>
        <v>Unnamed ProjectHold M5.QueueNumber WaitingQueue</v>
      </c>
      <c r="N163" s="5" cm="1">
        <f t="array" ref="N163">MAX(IF((ProjectInfoTable[ProjectName]=ContinuousStatsTable[[#This Row],[ProjectName]]),(ProjectInfoTable[ProjectName]=ContinuousStatsTable[[#This Row],[ProjectName]])*ProjectInfoTable[NumberOfReplications]))</f>
        <v>10</v>
      </c>
      <c r="O163" s="5" cm="1">
        <f t="array" ref="O163">IFERROR(AVERAGE(IF((ContinuousStatsTable[GroupByKey]=ContinuousStatsTable[[#This Row],[GroupByKey]]),(ContinuousStatsTable[GroupByKey]=ContinuousStatsTable[[#This Row],[GroupByKey]])*ContinuousStatsTable[Average])),0)</f>
        <v>0</v>
      </c>
      <c r="P163" s="5" cm="1">
        <f t="array" ref="P163">IFERROR(_xlfn.STDEV.S(IF((ContinuousStatsTable[GroupByKey]=ContinuousStatsTable[[#This Row],[GroupByKey]]),(ContinuousStatsTable[GroupByKey]=ContinuousStatsTable[[#This Row],[GroupByKey]])*ContinuousStatsTable[Average])),0)</f>
        <v>0</v>
      </c>
      <c r="Q163" s="5" cm="1">
        <f t="array" ref="Q163">MAX(IF((ProjectInfoTable[ProjectName]=ContinuousStatsTable[[#This Row],[ProjectName]]),(ProjectInfoTable[ProjectName]=ContinuousStatsTable[[#This Row],[ProjectName]])*ProjectInfoTable[ConfidenceInterval]))</f>
        <v>0.95</v>
      </c>
      <c r="R1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3" s="5" cm="1">
        <f t="array" ref="S163">MIN(IF((ContinuousStatsTable[GroupByKey]=ContinuousStatsTable[[#This Row],[GroupByKey]]),(ContinuousStatsTable[GroupByKey]=ContinuousStatsTable[[#This Row],[GroupByKey]])*ContinuousStatsTable[Average]))</f>
        <v>0</v>
      </c>
      <c r="T163" s="5" cm="1">
        <f t="array" ref="T163">MAX(IF((ContinuousStatsTable[GroupByKey]=ContinuousStatsTable[[#This Row],[GroupByKey]]),(ContinuousStatsTable[GroupByKey]=ContinuousStatsTable[[#This Row],[GroupByKey]])*ContinuousStatsTable[Average]))</f>
        <v>0</v>
      </c>
      <c r="U163" s="5">
        <f>IF((ContinuousStatsTable[[#This Row],[RepsRequested]]&gt;1),ContinuousStatsTable[[#This Row],[HalfWidth]],ContinuousStatsTable[[#This Row],[BatchMeansHalfWidth]])</f>
        <v>0</v>
      </c>
    </row>
    <row r="164" spans="1:21" x14ac:dyDescent="0.4">
      <c r="A164" t="s">
        <v>66</v>
      </c>
      <c r="B164" t="s">
        <v>69</v>
      </c>
      <c r="C164">
        <v>7</v>
      </c>
      <c r="D164" t="s">
        <v>95</v>
      </c>
      <c r="E164" t="s">
        <v>96</v>
      </c>
      <c r="F164" t="s">
        <v>97</v>
      </c>
      <c r="G164">
        <v>0.307504592385202</v>
      </c>
      <c r="H164">
        <v>2E+20</v>
      </c>
      <c r="I164">
        <v>0</v>
      </c>
      <c r="J164">
        <v>1</v>
      </c>
      <c r="K164">
        <v>0</v>
      </c>
      <c r="L164">
        <v>0</v>
      </c>
      <c r="M164" s="5" t="str">
        <f>ContinuousStatsTable[[#This Row],[ProjectName]]&amp;ContinuousStatsTable[[#This Row],[Name]]&amp;ContinuousStatsTable[[#This Row],[Type]]&amp;ContinuousStatsTable[[#This Row],[Source]]</f>
        <v>Unnamed ProjectM1Instantaneous UtilizationResource</v>
      </c>
      <c r="N164" s="5" cm="1">
        <f t="array" ref="N164">MAX(IF((ProjectInfoTable[ProjectName]=ContinuousStatsTable[[#This Row],[ProjectName]]),(ProjectInfoTable[ProjectName]=ContinuousStatsTable[[#This Row],[ProjectName]])*ProjectInfoTable[NumberOfReplications]))</f>
        <v>10</v>
      </c>
      <c r="O164" s="5" cm="1">
        <f t="array" ref="O164">IFERROR(AVERAGE(IF((ContinuousStatsTable[GroupByKey]=ContinuousStatsTable[[#This Row],[GroupByKey]]),(ContinuousStatsTable[GroupByKey]=ContinuousStatsTable[[#This Row],[GroupByKey]])*ContinuousStatsTable[Average])),0)</f>
        <v>0.35418637725041224</v>
      </c>
      <c r="P164" s="5" cm="1">
        <f t="array" ref="P164">IFERROR(_xlfn.STDEV.S(IF((ContinuousStatsTable[GroupByKey]=ContinuousStatsTable[[#This Row],[GroupByKey]]),(ContinuousStatsTable[GroupByKey]=ContinuousStatsTable[[#This Row],[GroupByKey]])*ContinuousStatsTable[Average])),0)</f>
        <v>3.3453936231241439E-2</v>
      </c>
      <c r="Q164" s="5" cm="1">
        <f t="array" ref="Q164">MAX(IF((ProjectInfoTable[ProjectName]=ContinuousStatsTable[[#This Row],[ProjectName]]),(ProjectInfoTable[ProjectName]=ContinuousStatsTable[[#This Row],[ProjectName]])*ProjectInfoTable[ConfidenceInterval]))</f>
        <v>0.95</v>
      </c>
      <c r="R1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2.3931504314920794E-2</v>
      </c>
      <c r="S164" s="5" cm="1">
        <f t="array" ref="S164">MIN(IF((ContinuousStatsTable[GroupByKey]=ContinuousStatsTable[[#This Row],[GroupByKey]]),(ContinuousStatsTable[GroupByKey]=ContinuousStatsTable[[#This Row],[GroupByKey]])*ContinuousStatsTable[Average]))</f>
        <v>0.29539806709730798</v>
      </c>
      <c r="T164" s="5" cm="1">
        <f t="array" ref="T164">MAX(IF((ContinuousStatsTable[GroupByKey]=ContinuousStatsTable[[#This Row],[GroupByKey]]),(ContinuousStatsTable[GroupByKey]=ContinuousStatsTable[[#This Row],[GroupByKey]])*ContinuousStatsTable[Average]))</f>
        <v>0.39865120046345498</v>
      </c>
      <c r="U164" s="5">
        <f>IF((ContinuousStatsTable[[#This Row],[RepsRequested]]&gt;1),ContinuousStatsTable[[#This Row],[HalfWidth]],ContinuousStatsTable[[#This Row],[BatchMeansHalfWidth]])</f>
        <v>2.3931504314920794E-2</v>
      </c>
    </row>
    <row r="165" spans="1:21" x14ac:dyDescent="0.4">
      <c r="A165" t="s">
        <v>66</v>
      </c>
      <c r="B165" t="s">
        <v>69</v>
      </c>
      <c r="C165">
        <v>7</v>
      </c>
      <c r="D165" t="s">
        <v>95</v>
      </c>
      <c r="E165" t="s">
        <v>98</v>
      </c>
      <c r="F165" t="s">
        <v>97</v>
      </c>
      <c r="G165">
        <v>0.61500918477040301</v>
      </c>
      <c r="H165">
        <v>2E+20</v>
      </c>
      <c r="I165">
        <v>0</v>
      </c>
      <c r="J165">
        <v>2</v>
      </c>
      <c r="K165">
        <v>0</v>
      </c>
      <c r="L165">
        <v>0</v>
      </c>
      <c r="M165" s="5" t="str">
        <f>ContinuousStatsTable[[#This Row],[ProjectName]]&amp;ContinuousStatsTable[[#This Row],[Name]]&amp;ContinuousStatsTable[[#This Row],[Type]]&amp;ContinuousStatsTable[[#This Row],[Source]]</f>
        <v>Unnamed ProjectM1Number BusyResource</v>
      </c>
      <c r="N165" s="5" cm="1">
        <f t="array" ref="N165">MAX(IF((ProjectInfoTable[ProjectName]=ContinuousStatsTable[[#This Row],[ProjectName]]),(ProjectInfoTable[ProjectName]=ContinuousStatsTable[[#This Row],[ProjectName]])*ProjectInfoTable[NumberOfReplications]))</f>
        <v>10</v>
      </c>
      <c r="O165" s="5" cm="1">
        <f t="array" ref="O165">IFERROR(AVERAGE(IF((ContinuousStatsTable[GroupByKey]=ContinuousStatsTable[[#This Row],[GroupByKey]]),(ContinuousStatsTable[GroupByKey]=ContinuousStatsTable[[#This Row],[GroupByKey]])*ContinuousStatsTable[Average])),0)</f>
        <v>0.70837275450082438</v>
      </c>
      <c r="P165" s="5" cm="1">
        <f t="array" ref="P165">IFERROR(_xlfn.STDEV.S(IF((ContinuousStatsTable[GroupByKey]=ContinuousStatsTable[[#This Row],[GroupByKey]]),(ContinuousStatsTable[GroupByKey]=ContinuousStatsTable[[#This Row],[GroupByKey]])*ContinuousStatsTable[Average])),0)</f>
        <v>6.6907872462483045E-2</v>
      </c>
      <c r="Q165" s="5" cm="1">
        <f t="array" ref="Q165">MAX(IF((ProjectInfoTable[ProjectName]=ContinuousStatsTable[[#This Row],[ProjectName]]),(ProjectInfoTable[ProjectName]=ContinuousStatsTable[[#This Row],[ProjectName]])*ProjectInfoTable[ConfidenceInterval]))</f>
        <v>0.95</v>
      </c>
      <c r="R1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4.7863008629841705E-2</v>
      </c>
      <c r="S165" s="5" cm="1">
        <f t="array" ref="S165">MIN(IF((ContinuousStatsTable[GroupByKey]=ContinuousStatsTable[[#This Row],[GroupByKey]]),(ContinuousStatsTable[GroupByKey]=ContinuousStatsTable[[#This Row],[GroupByKey]])*ContinuousStatsTable[Average]))</f>
        <v>0.59079613419461596</v>
      </c>
      <c r="T165" s="5" cm="1">
        <f t="array" ref="T165">MAX(IF((ContinuousStatsTable[GroupByKey]=ContinuousStatsTable[[#This Row],[GroupByKey]]),(ContinuousStatsTable[GroupByKey]=ContinuousStatsTable[[#This Row],[GroupByKey]])*ContinuousStatsTable[Average]))</f>
        <v>0.79730240092691096</v>
      </c>
      <c r="U165" s="5">
        <f>IF((ContinuousStatsTable[[#This Row],[RepsRequested]]&gt;1),ContinuousStatsTable[[#This Row],[HalfWidth]],ContinuousStatsTable[[#This Row],[BatchMeansHalfWidth]])</f>
        <v>4.7863008629841705E-2</v>
      </c>
    </row>
    <row r="166" spans="1:21" x14ac:dyDescent="0.4">
      <c r="A166" t="s">
        <v>66</v>
      </c>
      <c r="B166" t="s">
        <v>69</v>
      </c>
      <c r="C166">
        <v>7</v>
      </c>
      <c r="D166" t="s">
        <v>95</v>
      </c>
      <c r="E166" t="s">
        <v>99</v>
      </c>
      <c r="F166" t="s">
        <v>97</v>
      </c>
      <c r="G166">
        <v>2</v>
      </c>
      <c r="H166">
        <v>2E+20</v>
      </c>
      <c r="I166">
        <v>2</v>
      </c>
      <c r="J166">
        <v>2</v>
      </c>
      <c r="K166">
        <v>2</v>
      </c>
      <c r="L166">
        <v>0</v>
      </c>
      <c r="M166" s="5" t="str">
        <f>ContinuousStatsTable[[#This Row],[ProjectName]]&amp;ContinuousStatsTable[[#This Row],[Name]]&amp;ContinuousStatsTable[[#This Row],[Type]]&amp;ContinuousStatsTable[[#This Row],[Source]]</f>
        <v>Unnamed ProjectM1Number ScheduledResource</v>
      </c>
      <c r="N166" s="5" cm="1">
        <f t="array" ref="N166">MAX(IF((ProjectInfoTable[ProjectName]=ContinuousStatsTable[[#This Row],[ProjectName]]),(ProjectInfoTable[ProjectName]=ContinuousStatsTable[[#This Row],[ProjectName]])*ProjectInfoTable[NumberOfReplications]))</f>
        <v>10</v>
      </c>
      <c r="O166" s="5" cm="1">
        <f t="array" ref="O166">IFERROR(AVERAGE(IF((ContinuousStatsTable[GroupByKey]=ContinuousStatsTable[[#This Row],[GroupByKey]]),(ContinuousStatsTable[GroupByKey]=ContinuousStatsTable[[#This Row],[GroupByKey]])*ContinuousStatsTable[Average])),0)</f>
        <v>2</v>
      </c>
      <c r="P166" s="5" cm="1">
        <f t="array" ref="P166">IFERROR(_xlfn.STDEV.S(IF((ContinuousStatsTable[GroupByKey]=ContinuousStatsTable[[#This Row],[GroupByKey]]),(ContinuousStatsTable[GroupByKey]=ContinuousStatsTable[[#This Row],[GroupByKey]])*ContinuousStatsTable[Average])),0)</f>
        <v>0</v>
      </c>
      <c r="Q166" s="5" cm="1">
        <f t="array" ref="Q166">MAX(IF((ProjectInfoTable[ProjectName]=ContinuousStatsTable[[#This Row],[ProjectName]]),(ProjectInfoTable[ProjectName]=ContinuousStatsTable[[#This Row],[ProjectName]])*ProjectInfoTable[ConfidenceInterval]))</f>
        <v>0.95</v>
      </c>
      <c r="R1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6" s="5" cm="1">
        <f t="array" ref="S166">MIN(IF((ContinuousStatsTable[GroupByKey]=ContinuousStatsTable[[#This Row],[GroupByKey]]),(ContinuousStatsTable[GroupByKey]=ContinuousStatsTable[[#This Row],[GroupByKey]])*ContinuousStatsTable[Average]))</f>
        <v>2</v>
      </c>
      <c r="T166" s="5" cm="1">
        <f t="array" ref="T166">MAX(IF((ContinuousStatsTable[GroupByKey]=ContinuousStatsTable[[#This Row],[GroupByKey]]),(ContinuousStatsTable[GroupByKey]=ContinuousStatsTable[[#This Row],[GroupByKey]])*ContinuousStatsTable[Average]))</f>
        <v>2</v>
      </c>
      <c r="U166" s="5">
        <f>IF((ContinuousStatsTable[[#This Row],[RepsRequested]]&gt;1),ContinuousStatsTable[[#This Row],[HalfWidth]],ContinuousStatsTable[[#This Row],[BatchMeansHalfWidth]])</f>
        <v>0</v>
      </c>
    </row>
    <row r="167" spans="1:21" x14ac:dyDescent="0.4">
      <c r="A167" t="s">
        <v>66</v>
      </c>
      <c r="B167" t="s">
        <v>69</v>
      </c>
      <c r="C167">
        <v>7</v>
      </c>
      <c r="D167" t="s">
        <v>85</v>
      </c>
      <c r="E167" t="s">
        <v>94</v>
      </c>
      <c r="F167" t="s">
        <v>80</v>
      </c>
      <c r="G167">
        <v>8.1723221917591002E-2</v>
      </c>
      <c r="H167">
        <v>2E+20</v>
      </c>
      <c r="I167">
        <v>0</v>
      </c>
      <c r="J167">
        <v>4</v>
      </c>
      <c r="K167">
        <v>0</v>
      </c>
      <c r="L167">
        <v>0</v>
      </c>
      <c r="M167" s="5" t="str">
        <f>ContinuousStatsTable[[#This Row],[ProjectName]]&amp;ContinuousStatsTable[[#This Row],[Name]]&amp;ContinuousStatsTable[[#This Row],[Type]]&amp;ContinuousStatsTable[[#This Row],[Source]]</f>
        <v>Unnamed ProjectM1.QNumber WaitingQueue</v>
      </c>
      <c r="N167" s="5" cm="1">
        <f t="array" ref="N167">MAX(IF((ProjectInfoTable[ProjectName]=ContinuousStatsTable[[#This Row],[ProjectName]]),(ProjectInfoTable[ProjectName]=ContinuousStatsTable[[#This Row],[ProjectName]])*ProjectInfoTable[NumberOfReplications]))</f>
        <v>10</v>
      </c>
      <c r="O167" s="5" cm="1">
        <f t="array" ref="O167">IFERROR(AVERAGE(IF((ContinuousStatsTable[GroupByKey]=ContinuousStatsTable[[#This Row],[GroupByKey]]),(ContinuousStatsTable[GroupByKey]=ContinuousStatsTable[[#This Row],[GroupByKey]])*ContinuousStatsTable[Average])),0)</f>
        <v>8.2638825969756052E-2</v>
      </c>
      <c r="P167" s="5" cm="1">
        <f t="array" ref="P167">IFERROR(_xlfn.STDEV.S(IF((ContinuousStatsTable[GroupByKey]=ContinuousStatsTable[[#This Row],[GroupByKey]]),(ContinuousStatsTable[GroupByKey]=ContinuousStatsTable[[#This Row],[GroupByKey]])*ContinuousStatsTable[Average])),0)</f>
        <v>2.9983492659856659E-2</v>
      </c>
      <c r="Q167" s="5" cm="1">
        <f t="array" ref="Q167">MAX(IF((ProjectInfoTable[ProjectName]=ContinuousStatsTable[[#This Row],[ProjectName]]),(ProjectInfoTable[ProjectName]=ContinuousStatsTable[[#This Row],[ProjectName]])*ProjectInfoTable[ConfidenceInterval]))</f>
        <v>0.95</v>
      </c>
      <c r="R1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2.1448898539349195E-2</v>
      </c>
      <c r="S167" s="5" cm="1">
        <f t="array" ref="S167">MIN(IF((ContinuousStatsTable[GroupByKey]=ContinuousStatsTable[[#This Row],[GroupByKey]]),(ContinuousStatsTable[GroupByKey]=ContinuousStatsTable[[#This Row],[GroupByKey]])*ContinuousStatsTable[Average]))</f>
        <v>3.4990004496426703E-2</v>
      </c>
      <c r="T167" s="5" cm="1">
        <f t="array" ref="T167">MAX(IF((ContinuousStatsTable[GroupByKey]=ContinuousStatsTable[[#This Row],[GroupByKey]]),(ContinuousStatsTable[GroupByKey]=ContinuousStatsTable[[#This Row],[GroupByKey]])*ContinuousStatsTable[Average]))</f>
        <v>0.13146637852281401</v>
      </c>
      <c r="U167" s="5">
        <f>IF((ContinuousStatsTable[[#This Row],[RepsRequested]]&gt;1),ContinuousStatsTable[[#This Row],[HalfWidth]],ContinuousStatsTable[[#This Row],[BatchMeansHalfWidth]])</f>
        <v>2.1448898539349195E-2</v>
      </c>
    </row>
    <row r="168" spans="1:21" x14ac:dyDescent="0.4">
      <c r="A168" t="s">
        <v>66</v>
      </c>
      <c r="B168" t="s">
        <v>69</v>
      </c>
      <c r="C168">
        <v>7</v>
      </c>
      <c r="D168" t="s">
        <v>100</v>
      </c>
      <c r="E168" t="s">
        <v>96</v>
      </c>
      <c r="F168" t="s">
        <v>97</v>
      </c>
      <c r="G168">
        <v>0.69174424328472295</v>
      </c>
      <c r="H168">
        <v>2E+20</v>
      </c>
      <c r="I168">
        <v>0</v>
      </c>
      <c r="J168">
        <v>1</v>
      </c>
      <c r="K168">
        <v>1</v>
      </c>
      <c r="L168">
        <v>0</v>
      </c>
      <c r="M168" s="5" t="str">
        <f>ContinuousStatsTable[[#This Row],[ProjectName]]&amp;ContinuousStatsTable[[#This Row],[Name]]&amp;ContinuousStatsTable[[#This Row],[Type]]&amp;ContinuousStatsTable[[#This Row],[Source]]</f>
        <v>Unnamed ProjectM2Instantaneous UtilizationResource</v>
      </c>
      <c r="N168" s="5" cm="1">
        <f t="array" ref="N168">MAX(IF((ProjectInfoTable[ProjectName]=ContinuousStatsTable[[#This Row],[ProjectName]]),(ProjectInfoTable[ProjectName]=ContinuousStatsTable[[#This Row],[ProjectName]])*ProjectInfoTable[NumberOfReplications]))</f>
        <v>10</v>
      </c>
      <c r="O168" s="5" cm="1">
        <f t="array" ref="O168">IFERROR(AVERAGE(IF((ContinuousStatsTable[GroupByKey]=ContinuousStatsTable[[#This Row],[GroupByKey]]),(ContinuousStatsTable[GroupByKey]=ContinuousStatsTable[[#This Row],[GroupByKey]])*ContinuousStatsTable[Average])),0)</f>
        <v>0.79069410142096264</v>
      </c>
      <c r="P168" s="5" cm="1">
        <f t="array" ref="P168">IFERROR(_xlfn.STDEV.S(IF((ContinuousStatsTable[GroupByKey]=ContinuousStatsTable[[#This Row],[GroupByKey]]),(ContinuousStatsTable[GroupByKey]=ContinuousStatsTable[[#This Row],[GroupByKey]])*ContinuousStatsTable[Average])),0)</f>
        <v>8.4677985904895448E-2</v>
      </c>
      <c r="Q168" s="5" cm="1">
        <f t="array" ref="Q168">MAX(IF((ProjectInfoTable[ProjectName]=ContinuousStatsTable[[#This Row],[ProjectName]]),(ProjectInfoTable[ProjectName]=ContinuousStatsTable[[#This Row],[ProjectName]])*ProjectInfoTable[ConfidenceInterval]))</f>
        <v>0.95</v>
      </c>
      <c r="R1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6.0574982000753563E-2</v>
      </c>
      <c r="S168" s="5" cm="1">
        <f t="array" ref="S168">MIN(IF((ContinuousStatsTable[GroupByKey]=ContinuousStatsTable[[#This Row],[GroupByKey]]),(ContinuousStatsTable[GroupByKey]=ContinuousStatsTable[[#This Row],[GroupByKey]])*ContinuousStatsTable[Average]))</f>
        <v>0.62412916158771403</v>
      </c>
      <c r="T168" s="5" cm="1">
        <f t="array" ref="T168">MAX(IF((ContinuousStatsTable[GroupByKey]=ContinuousStatsTable[[#This Row],[GroupByKey]]),(ContinuousStatsTable[GroupByKey]=ContinuousStatsTable[[#This Row],[GroupByKey]])*ContinuousStatsTable[Average]))</f>
        <v>0.92247891730008102</v>
      </c>
      <c r="U168" s="5">
        <f>IF((ContinuousStatsTable[[#This Row],[RepsRequested]]&gt;1),ContinuousStatsTable[[#This Row],[HalfWidth]],ContinuousStatsTable[[#This Row],[BatchMeansHalfWidth]])</f>
        <v>6.0574982000753563E-2</v>
      </c>
    </row>
    <row r="169" spans="1:21" x14ac:dyDescent="0.4">
      <c r="A169" t="s">
        <v>66</v>
      </c>
      <c r="B169" t="s">
        <v>69</v>
      </c>
      <c r="C169">
        <v>7</v>
      </c>
      <c r="D169" t="s">
        <v>100</v>
      </c>
      <c r="E169" t="s">
        <v>98</v>
      </c>
      <c r="F169" t="s">
        <v>97</v>
      </c>
      <c r="G169">
        <v>0.69174424328472295</v>
      </c>
      <c r="H169">
        <v>2E+20</v>
      </c>
      <c r="I169">
        <v>0</v>
      </c>
      <c r="J169">
        <v>1</v>
      </c>
      <c r="K169">
        <v>1</v>
      </c>
      <c r="L169">
        <v>0</v>
      </c>
      <c r="M169" s="5" t="str">
        <f>ContinuousStatsTable[[#This Row],[ProjectName]]&amp;ContinuousStatsTable[[#This Row],[Name]]&amp;ContinuousStatsTable[[#This Row],[Type]]&amp;ContinuousStatsTable[[#This Row],[Source]]</f>
        <v>Unnamed ProjectM2Number BusyResource</v>
      </c>
      <c r="N169" s="5" cm="1">
        <f t="array" ref="N169">MAX(IF((ProjectInfoTable[ProjectName]=ContinuousStatsTable[[#This Row],[ProjectName]]),(ProjectInfoTable[ProjectName]=ContinuousStatsTable[[#This Row],[ProjectName]])*ProjectInfoTable[NumberOfReplications]))</f>
        <v>10</v>
      </c>
      <c r="O169" s="5" cm="1">
        <f t="array" ref="O169">IFERROR(AVERAGE(IF((ContinuousStatsTable[GroupByKey]=ContinuousStatsTable[[#This Row],[GroupByKey]]),(ContinuousStatsTable[GroupByKey]=ContinuousStatsTable[[#This Row],[GroupByKey]])*ContinuousStatsTable[Average])),0)</f>
        <v>0.79069410142096264</v>
      </c>
      <c r="P169" s="5" cm="1">
        <f t="array" ref="P169">IFERROR(_xlfn.STDEV.S(IF((ContinuousStatsTable[GroupByKey]=ContinuousStatsTable[[#This Row],[GroupByKey]]),(ContinuousStatsTable[GroupByKey]=ContinuousStatsTable[[#This Row],[GroupByKey]])*ContinuousStatsTable[Average])),0)</f>
        <v>8.4677985904895448E-2</v>
      </c>
      <c r="Q169" s="5" cm="1">
        <f t="array" ref="Q169">MAX(IF((ProjectInfoTable[ProjectName]=ContinuousStatsTable[[#This Row],[ProjectName]]),(ProjectInfoTable[ProjectName]=ContinuousStatsTable[[#This Row],[ProjectName]])*ProjectInfoTable[ConfidenceInterval]))</f>
        <v>0.95</v>
      </c>
      <c r="R1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6.0574982000753563E-2</v>
      </c>
      <c r="S169" s="5" cm="1">
        <f t="array" ref="S169">MIN(IF((ContinuousStatsTable[GroupByKey]=ContinuousStatsTable[[#This Row],[GroupByKey]]),(ContinuousStatsTable[GroupByKey]=ContinuousStatsTable[[#This Row],[GroupByKey]])*ContinuousStatsTable[Average]))</f>
        <v>0.62412916158771403</v>
      </c>
      <c r="T169" s="5" cm="1">
        <f t="array" ref="T169">MAX(IF((ContinuousStatsTable[GroupByKey]=ContinuousStatsTable[[#This Row],[GroupByKey]]),(ContinuousStatsTable[GroupByKey]=ContinuousStatsTable[[#This Row],[GroupByKey]])*ContinuousStatsTable[Average]))</f>
        <v>0.92247891730008102</v>
      </c>
      <c r="U169" s="5">
        <f>IF((ContinuousStatsTable[[#This Row],[RepsRequested]]&gt;1),ContinuousStatsTable[[#This Row],[HalfWidth]],ContinuousStatsTable[[#This Row],[BatchMeansHalfWidth]])</f>
        <v>6.0574982000753563E-2</v>
      </c>
    </row>
    <row r="170" spans="1:21" x14ac:dyDescent="0.4">
      <c r="A170" t="s">
        <v>66</v>
      </c>
      <c r="B170" t="s">
        <v>69</v>
      </c>
      <c r="C170">
        <v>7</v>
      </c>
      <c r="D170" t="s">
        <v>100</v>
      </c>
      <c r="E170" t="s">
        <v>99</v>
      </c>
      <c r="F170" t="s">
        <v>97</v>
      </c>
      <c r="G170">
        <v>1</v>
      </c>
      <c r="H170">
        <v>2E+20</v>
      </c>
      <c r="I170">
        <v>1</v>
      </c>
      <c r="J170">
        <v>1</v>
      </c>
      <c r="K170">
        <v>1</v>
      </c>
      <c r="L170">
        <v>0</v>
      </c>
      <c r="M170" s="5" t="str">
        <f>ContinuousStatsTable[[#This Row],[ProjectName]]&amp;ContinuousStatsTable[[#This Row],[Name]]&amp;ContinuousStatsTable[[#This Row],[Type]]&amp;ContinuousStatsTable[[#This Row],[Source]]</f>
        <v>Unnamed ProjectM2Number ScheduledResource</v>
      </c>
      <c r="N170" s="5" cm="1">
        <f t="array" ref="N170">MAX(IF((ProjectInfoTable[ProjectName]=ContinuousStatsTable[[#This Row],[ProjectName]]),(ProjectInfoTable[ProjectName]=ContinuousStatsTable[[#This Row],[ProjectName]])*ProjectInfoTable[NumberOfReplications]))</f>
        <v>10</v>
      </c>
      <c r="O170" s="5" cm="1">
        <f t="array" ref="O170">IFERROR(AVERAGE(IF((ContinuousStatsTable[GroupByKey]=ContinuousStatsTable[[#This Row],[GroupByKey]]),(ContinuousStatsTable[GroupByKey]=ContinuousStatsTable[[#This Row],[GroupByKey]])*ContinuousStatsTable[Average])),0)</f>
        <v>1</v>
      </c>
      <c r="P170" s="5" cm="1">
        <f t="array" ref="P170">IFERROR(_xlfn.STDEV.S(IF((ContinuousStatsTable[GroupByKey]=ContinuousStatsTable[[#This Row],[GroupByKey]]),(ContinuousStatsTable[GroupByKey]=ContinuousStatsTable[[#This Row],[GroupByKey]])*ContinuousStatsTable[Average])),0)</f>
        <v>0</v>
      </c>
      <c r="Q170" s="5" cm="1">
        <f t="array" ref="Q170">MAX(IF((ProjectInfoTable[ProjectName]=ContinuousStatsTable[[#This Row],[ProjectName]]),(ProjectInfoTable[ProjectName]=ContinuousStatsTable[[#This Row],[ProjectName]])*ProjectInfoTable[ConfidenceInterval]))</f>
        <v>0.95</v>
      </c>
      <c r="R1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0" s="5" cm="1">
        <f t="array" ref="S170">MIN(IF((ContinuousStatsTable[GroupByKey]=ContinuousStatsTable[[#This Row],[GroupByKey]]),(ContinuousStatsTable[GroupByKey]=ContinuousStatsTable[[#This Row],[GroupByKey]])*ContinuousStatsTable[Average]))</f>
        <v>1</v>
      </c>
      <c r="T170" s="5" cm="1">
        <f t="array" ref="T170">MAX(IF((ContinuousStatsTable[GroupByKey]=ContinuousStatsTable[[#This Row],[GroupByKey]]),(ContinuousStatsTable[GroupByKey]=ContinuousStatsTable[[#This Row],[GroupByKey]])*ContinuousStatsTable[Average]))</f>
        <v>1</v>
      </c>
      <c r="U170" s="5">
        <f>IF((ContinuousStatsTable[[#This Row],[RepsRequested]]&gt;1),ContinuousStatsTable[[#This Row],[HalfWidth]],ContinuousStatsTable[[#This Row],[BatchMeansHalfWidth]])</f>
        <v>0</v>
      </c>
    </row>
    <row r="171" spans="1:21" x14ac:dyDescent="0.4">
      <c r="A171" t="s">
        <v>66</v>
      </c>
      <c r="B171" t="s">
        <v>69</v>
      </c>
      <c r="C171">
        <v>7</v>
      </c>
      <c r="D171" t="s">
        <v>86</v>
      </c>
      <c r="E171" t="s">
        <v>94</v>
      </c>
      <c r="F171" t="s">
        <v>80</v>
      </c>
      <c r="G171">
        <v>0.648900457261402</v>
      </c>
      <c r="H171">
        <v>2E+20</v>
      </c>
      <c r="I171">
        <v>0</v>
      </c>
      <c r="J171">
        <v>4</v>
      </c>
      <c r="K171">
        <v>0</v>
      </c>
      <c r="L171">
        <v>0</v>
      </c>
      <c r="M171" s="5" t="str">
        <f>ContinuousStatsTable[[#This Row],[ProjectName]]&amp;ContinuousStatsTable[[#This Row],[Name]]&amp;ContinuousStatsTable[[#This Row],[Type]]&amp;ContinuousStatsTable[[#This Row],[Source]]</f>
        <v>Unnamed ProjectM2.QNumber WaitingQueue</v>
      </c>
      <c r="N171" s="5" cm="1">
        <f t="array" ref="N171">MAX(IF((ProjectInfoTable[ProjectName]=ContinuousStatsTable[[#This Row],[ProjectName]]),(ProjectInfoTable[ProjectName]=ContinuousStatsTable[[#This Row],[ProjectName]])*ProjectInfoTable[NumberOfReplications]))</f>
        <v>10</v>
      </c>
      <c r="O171" s="5" cm="1">
        <f t="array" ref="O171">IFERROR(AVERAGE(IF((ContinuousStatsTable[GroupByKey]=ContinuousStatsTable[[#This Row],[GroupByKey]]),(ContinuousStatsTable[GroupByKey]=ContinuousStatsTable[[#This Row],[GroupByKey]])*ContinuousStatsTable[Average])),0)</f>
        <v>1.9414248775037748</v>
      </c>
      <c r="P171" s="5" cm="1">
        <f t="array" ref="P171">IFERROR(_xlfn.STDEV.S(IF((ContinuousStatsTable[GroupByKey]=ContinuousStatsTable[[#This Row],[GroupByKey]]),(ContinuousStatsTable[GroupByKey]=ContinuousStatsTable[[#This Row],[GroupByKey]])*ContinuousStatsTable[Average])),0)</f>
        <v>1.0999712931753487</v>
      </c>
      <c r="Q171" s="5" cm="1">
        <f t="array" ref="Q171">MAX(IF((ProjectInfoTable[ProjectName]=ContinuousStatsTable[[#This Row],[ProjectName]]),(ProjectInfoTable[ProjectName]=ContinuousStatsTable[[#This Row],[ProjectName]])*ProjectInfoTable[ConfidenceInterval]))</f>
        <v>0.95</v>
      </c>
      <c r="R1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0.78687206094246831</v>
      </c>
      <c r="S171" s="5" cm="1">
        <f t="array" ref="S171">MIN(IF((ContinuousStatsTable[GroupByKey]=ContinuousStatsTable[[#This Row],[GroupByKey]]),(ContinuousStatsTable[GroupByKey]=ContinuousStatsTable[[#This Row],[GroupByKey]])*ContinuousStatsTable[Average]))</f>
        <v>0.64368437614034602</v>
      </c>
      <c r="T171" s="5" cm="1">
        <f t="array" ref="T171">MAX(IF((ContinuousStatsTable[GroupByKey]=ContinuousStatsTable[[#This Row],[GroupByKey]]),(ContinuousStatsTable[GroupByKey]=ContinuousStatsTable[[#This Row],[GroupByKey]])*ContinuousStatsTable[Average]))</f>
        <v>3.96038812902029</v>
      </c>
      <c r="U171" s="5">
        <f>IF((ContinuousStatsTable[[#This Row],[RepsRequested]]&gt;1),ContinuousStatsTable[[#This Row],[HalfWidth]],ContinuousStatsTable[[#This Row],[BatchMeansHalfWidth]])</f>
        <v>0.78687206094246831</v>
      </c>
    </row>
    <row r="172" spans="1:21" x14ac:dyDescent="0.4">
      <c r="A172" t="s">
        <v>66</v>
      </c>
      <c r="B172" t="s">
        <v>69</v>
      </c>
      <c r="C172">
        <v>7</v>
      </c>
      <c r="D172" t="s">
        <v>101</v>
      </c>
      <c r="E172" t="s">
        <v>96</v>
      </c>
      <c r="F172" t="s">
        <v>97</v>
      </c>
      <c r="G172">
        <v>0.36937393500093302</v>
      </c>
      <c r="H172">
        <v>2E+20</v>
      </c>
      <c r="I172">
        <v>0</v>
      </c>
      <c r="J172">
        <v>1</v>
      </c>
      <c r="K172">
        <v>0.5</v>
      </c>
      <c r="L172">
        <v>0</v>
      </c>
      <c r="M172" s="5" t="str">
        <f>ContinuousStatsTable[[#This Row],[ProjectName]]&amp;ContinuousStatsTable[[#This Row],[Name]]&amp;ContinuousStatsTable[[#This Row],[Type]]&amp;ContinuousStatsTable[[#This Row],[Source]]</f>
        <v>Unnamed ProjectM3Instantaneous UtilizationResource</v>
      </c>
      <c r="N172" s="5" cm="1">
        <f t="array" ref="N172">MAX(IF((ProjectInfoTable[ProjectName]=ContinuousStatsTable[[#This Row],[ProjectName]]),(ProjectInfoTable[ProjectName]=ContinuousStatsTable[[#This Row],[ProjectName]])*ProjectInfoTable[NumberOfReplications]))</f>
        <v>10</v>
      </c>
      <c r="O172" s="5" cm="1">
        <f t="array" ref="O172">IFERROR(AVERAGE(IF((ContinuousStatsTable[GroupByKey]=ContinuousStatsTable[[#This Row],[GroupByKey]]),(ContinuousStatsTable[GroupByKey]=ContinuousStatsTable[[#This Row],[GroupByKey]])*ContinuousStatsTable[Average])),0)</f>
        <v>0.38204498745219106</v>
      </c>
      <c r="P172" s="5" cm="1">
        <f t="array" ref="P172">IFERROR(_xlfn.STDEV.S(IF((ContinuousStatsTable[GroupByKey]=ContinuousStatsTable[[#This Row],[GroupByKey]]),(ContinuousStatsTable[GroupByKey]=ContinuousStatsTable[[#This Row],[GroupByKey]])*ContinuousStatsTable[Average])),0)</f>
        <v>2.9603647703352595E-2</v>
      </c>
      <c r="Q172" s="5" cm="1">
        <f t="array" ref="Q172">MAX(IF((ProjectInfoTable[ProjectName]=ContinuousStatsTable[[#This Row],[ProjectName]]),(ProjectInfoTable[ProjectName]=ContinuousStatsTable[[#This Row],[ProjectName]])*ProjectInfoTable[ConfidenceInterval]))</f>
        <v>0.95</v>
      </c>
      <c r="R1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2.1177173826515884E-2</v>
      </c>
      <c r="S172" s="5" cm="1">
        <f t="array" ref="S172">MIN(IF((ContinuousStatsTable[GroupByKey]=ContinuousStatsTable[[#This Row],[GroupByKey]]),(ContinuousStatsTable[GroupByKey]=ContinuousStatsTable[[#This Row],[GroupByKey]])*ContinuousStatsTable[Average]))</f>
        <v>0.32566726436532201</v>
      </c>
      <c r="T172" s="5" cm="1">
        <f t="array" ref="T172">MAX(IF((ContinuousStatsTable[GroupByKey]=ContinuousStatsTable[[#This Row],[GroupByKey]]),(ContinuousStatsTable[GroupByKey]=ContinuousStatsTable[[#This Row],[GroupByKey]])*ContinuousStatsTable[Average]))</f>
        <v>0.42511230467838501</v>
      </c>
      <c r="U172" s="5">
        <f>IF((ContinuousStatsTable[[#This Row],[RepsRequested]]&gt;1),ContinuousStatsTable[[#This Row],[HalfWidth]],ContinuousStatsTable[[#This Row],[BatchMeansHalfWidth]])</f>
        <v>2.1177173826515884E-2</v>
      </c>
    </row>
    <row r="173" spans="1:21" x14ac:dyDescent="0.4">
      <c r="A173" t="s">
        <v>66</v>
      </c>
      <c r="B173" t="s">
        <v>69</v>
      </c>
      <c r="C173">
        <v>7</v>
      </c>
      <c r="D173" t="s">
        <v>101</v>
      </c>
      <c r="E173" t="s">
        <v>98</v>
      </c>
      <c r="F173" t="s">
        <v>97</v>
      </c>
      <c r="G173">
        <v>0.73874787000186504</v>
      </c>
      <c r="H173">
        <v>2E+20</v>
      </c>
      <c r="I173">
        <v>0</v>
      </c>
      <c r="J173">
        <v>2</v>
      </c>
      <c r="K173">
        <v>1</v>
      </c>
      <c r="L173">
        <v>0</v>
      </c>
      <c r="M173" s="5" t="str">
        <f>ContinuousStatsTable[[#This Row],[ProjectName]]&amp;ContinuousStatsTable[[#This Row],[Name]]&amp;ContinuousStatsTable[[#This Row],[Type]]&amp;ContinuousStatsTable[[#This Row],[Source]]</f>
        <v>Unnamed ProjectM3Number BusyResource</v>
      </c>
      <c r="N173" s="5" cm="1">
        <f t="array" ref="N173">MAX(IF((ProjectInfoTable[ProjectName]=ContinuousStatsTable[[#This Row],[ProjectName]]),(ProjectInfoTable[ProjectName]=ContinuousStatsTable[[#This Row],[ProjectName]])*ProjectInfoTable[NumberOfReplications]))</f>
        <v>10</v>
      </c>
      <c r="O173" s="5" cm="1">
        <f t="array" ref="O173">IFERROR(AVERAGE(IF((ContinuousStatsTable[GroupByKey]=ContinuousStatsTable[[#This Row],[GroupByKey]]),(ContinuousStatsTable[GroupByKey]=ContinuousStatsTable[[#This Row],[GroupByKey]])*ContinuousStatsTable[Average])),0)</f>
        <v>0.76408997490438202</v>
      </c>
      <c r="P173" s="5" cm="1">
        <f t="array" ref="P173">IFERROR(_xlfn.STDEV.S(IF((ContinuousStatsTable[GroupByKey]=ContinuousStatsTable[[#This Row],[GroupByKey]]),(ContinuousStatsTable[GroupByKey]=ContinuousStatsTable[[#This Row],[GroupByKey]])*ContinuousStatsTable[Average])),0)</f>
        <v>5.9207295406705232E-2</v>
      </c>
      <c r="Q173" s="5" cm="1">
        <f t="array" ref="Q173">MAX(IF((ProjectInfoTable[ProjectName]=ContinuousStatsTable[[#This Row],[ProjectName]]),(ProjectInfoTable[ProjectName]=ContinuousStatsTable[[#This Row],[ProjectName]])*ProjectInfoTable[ConfidenceInterval]))</f>
        <v>0.95</v>
      </c>
      <c r="R1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4.2354347653031796E-2</v>
      </c>
      <c r="S173" s="5" cm="1">
        <f t="array" ref="S173">MIN(IF((ContinuousStatsTable[GroupByKey]=ContinuousStatsTable[[#This Row],[GroupByKey]]),(ContinuousStatsTable[GroupByKey]=ContinuousStatsTable[[#This Row],[GroupByKey]])*ContinuousStatsTable[Average]))</f>
        <v>0.65133452873064301</v>
      </c>
      <c r="T173" s="5" cm="1">
        <f t="array" ref="T173">MAX(IF((ContinuousStatsTable[GroupByKey]=ContinuousStatsTable[[#This Row],[GroupByKey]]),(ContinuousStatsTable[GroupByKey]=ContinuousStatsTable[[#This Row],[GroupByKey]])*ContinuousStatsTable[Average]))</f>
        <v>0.85022460935677002</v>
      </c>
      <c r="U173" s="5">
        <f>IF((ContinuousStatsTable[[#This Row],[RepsRequested]]&gt;1),ContinuousStatsTable[[#This Row],[HalfWidth]],ContinuousStatsTable[[#This Row],[BatchMeansHalfWidth]])</f>
        <v>4.2354347653031796E-2</v>
      </c>
    </row>
    <row r="174" spans="1:21" x14ac:dyDescent="0.4">
      <c r="A174" t="s">
        <v>66</v>
      </c>
      <c r="B174" t="s">
        <v>69</v>
      </c>
      <c r="C174">
        <v>7</v>
      </c>
      <c r="D174" t="s">
        <v>101</v>
      </c>
      <c r="E174" t="s">
        <v>99</v>
      </c>
      <c r="F174" t="s">
        <v>97</v>
      </c>
      <c r="G174">
        <v>2</v>
      </c>
      <c r="H174">
        <v>2E+20</v>
      </c>
      <c r="I174">
        <v>2</v>
      </c>
      <c r="J174">
        <v>2</v>
      </c>
      <c r="K174">
        <v>2</v>
      </c>
      <c r="L174">
        <v>0</v>
      </c>
      <c r="M174" s="5" t="str">
        <f>ContinuousStatsTable[[#This Row],[ProjectName]]&amp;ContinuousStatsTable[[#This Row],[Name]]&amp;ContinuousStatsTable[[#This Row],[Type]]&amp;ContinuousStatsTable[[#This Row],[Source]]</f>
        <v>Unnamed ProjectM3Number ScheduledResource</v>
      </c>
      <c r="N174" s="5" cm="1">
        <f t="array" ref="N174">MAX(IF((ProjectInfoTable[ProjectName]=ContinuousStatsTable[[#This Row],[ProjectName]]),(ProjectInfoTable[ProjectName]=ContinuousStatsTable[[#This Row],[ProjectName]])*ProjectInfoTable[NumberOfReplications]))</f>
        <v>10</v>
      </c>
      <c r="O174" s="5" cm="1">
        <f t="array" ref="O174">IFERROR(AVERAGE(IF((ContinuousStatsTable[GroupByKey]=ContinuousStatsTable[[#This Row],[GroupByKey]]),(ContinuousStatsTable[GroupByKey]=ContinuousStatsTable[[#This Row],[GroupByKey]])*ContinuousStatsTable[Average])),0)</f>
        <v>2</v>
      </c>
      <c r="P174" s="5" cm="1">
        <f t="array" ref="P174">IFERROR(_xlfn.STDEV.S(IF((ContinuousStatsTable[GroupByKey]=ContinuousStatsTable[[#This Row],[GroupByKey]]),(ContinuousStatsTable[GroupByKey]=ContinuousStatsTable[[#This Row],[GroupByKey]])*ContinuousStatsTable[Average])),0)</f>
        <v>0</v>
      </c>
      <c r="Q174" s="5" cm="1">
        <f t="array" ref="Q174">MAX(IF((ProjectInfoTable[ProjectName]=ContinuousStatsTable[[#This Row],[ProjectName]]),(ProjectInfoTable[ProjectName]=ContinuousStatsTable[[#This Row],[ProjectName]])*ProjectInfoTable[ConfidenceInterval]))</f>
        <v>0.95</v>
      </c>
      <c r="R1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4" s="5" cm="1">
        <f t="array" ref="S174">MIN(IF((ContinuousStatsTable[GroupByKey]=ContinuousStatsTable[[#This Row],[GroupByKey]]),(ContinuousStatsTable[GroupByKey]=ContinuousStatsTable[[#This Row],[GroupByKey]])*ContinuousStatsTable[Average]))</f>
        <v>2</v>
      </c>
      <c r="T174" s="5" cm="1">
        <f t="array" ref="T174">MAX(IF((ContinuousStatsTable[GroupByKey]=ContinuousStatsTable[[#This Row],[GroupByKey]]),(ContinuousStatsTable[GroupByKey]=ContinuousStatsTable[[#This Row],[GroupByKey]])*ContinuousStatsTable[Average]))</f>
        <v>2</v>
      </c>
      <c r="U174" s="5">
        <f>IF((ContinuousStatsTable[[#This Row],[RepsRequested]]&gt;1),ContinuousStatsTable[[#This Row],[HalfWidth]],ContinuousStatsTable[[#This Row],[BatchMeansHalfWidth]])</f>
        <v>0</v>
      </c>
    </row>
    <row r="175" spans="1:21" x14ac:dyDescent="0.4">
      <c r="A175" t="s">
        <v>66</v>
      </c>
      <c r="B175" t="s">
        <v>69</v>
      </c>
      <c r="C175">
        <v>7</v>
      </c>
      <c r="D175" t="s">
        <v>87</v>
      </c>
      <c r="E175" t="s">
        <v>94</v>
      </c>
      <c r="F175" t="s">
        <v>80</v>
      </c>
      <c r="G175">
        <v>2.9064977154107399E-2</v>
      </c>
      <c r="H175">
        <v>2E+20</v>
      </c>
      <c r="I175">
        <v>0</v>
      </c>
      <c r="J175">
        <v>2</v>
      </c>
      <c r="K175">
        <v>0</v>
      </c>
      <c r="L175">
        <v>0</v>
      </c>
      <c r="M175" s="5" t="str">
        <f>ContinuousStatsTable[[#This Row],[ProjectName]]&amp;ContinuousStatsTable[[#This Row],[Name]]&amp;ContinuousStatsTable[[#This Row],[Type]]&amp;ContinuousStatsTable[[#This Row],[Source]]</f>
        <v>Unnamed ProjectM3.QNumber WaitingQueue</v>
      </c>
      <c r="N175" s="5" cm="1">
        <f t="array" ref="N175">MAX(IF((ProjectInfoTable[ProjectName]=ContinuousStatsTable[[#This Row],[ProjectName]]),(ProjectInfoTable[ProjectName]=ContinuousStatsTable[[#This Row],[ProjectName]])*ProjectInfoTable[NumberOfReplications]))</f>
        <v>10</v>
      </c>
      <c r="O175" s="5" cm="1">
        <f t="array" ref="O175">IFERROR(AVERAGE(IF((ContinuousStatsTable[GroupByKey]=ContinuousStatsTable[[#This Row],[GroupByKey]]),(ContinuousStatsTable[GroupByKey]=ContinuousStatsTable[[#This Row],[GroupByKey]])*ContinuousStatsTable[Average])),0)</f>
        <v>2.5183140573256935E-2</v>
      </c>
      <c r="P175" s="5" cm="1">
        <f t="array" ref="P175">IFERROR(_xlfn.STDEV.S(IF((ContinuousStatsTable[GroupByKey]=ContinuousStatsTable[[#This Row],[GroupByKey]]),(ContinuousStatsTable[GroupByKey]=ContinuousStatsTable[[#This Row],[GroupByKey]])*ContinuousStatsTable[Average])),0)</f>
        <v>6.5933898933538881E-3</v>
      </c>
      <c r="Q175" s="5" cm="1">
        <f t="array" ref="Q175">MAX(IF((ProjectInfoTable[ProjectName]=ContinuousStatsTable[[#This Row],[ProjectName]]),(ProjectInfoTable[ProjectName]=ContinuousStatsTable[[#This Row],[ProjectName]])*ProjectInfoTable[ConfidenceInterval]))</f>
        <v>0.95</v>
      </c>
      <c r="R1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4.7166269939678878E-3</v>
      </c>
      <c r="S175" s="5" cm="1">
        <f t="array" ref="S175">MIN(IF((ContinuousStatsTable[GroupByKey]=ContinuousStatsTable[[#This Row],[GroupByKey]]),(ContinuousStatsTable[GroupByKey]=ContinuousStatsTable[[#This Row],[GroupByKey]])*ContinuousStatsTable[Average]))</f>
        <v>1.7183032756251101E-2</v>
      </c>
      <c r="T175" s="5" cm="1">
        <f t="array" ref="T175">MAX(IF((ContinuousStatsTable[GroupByKey]=ContinuousStatsTable[[#This Row],[GroupByKey]]),(ContinuousStatsTable[GroupByKey]=ContinuousStatsTable[[#This Row],[GroupByKey]])*ContinuousStatsTable[Average]))</f>
        <v>3.3093677405251203E-2</v>
      </c>
      <c r="U175" s="5">
        <f>IF((ContinuousStatsTable[[#This Row],[RepsRequested]]&gt;1),ContinuousStatsTable[[#This Row],[HalfWidth]],ContinuousStatsTable[[#This Row],[BatchMeansHalfWidth]])</f>
        <v>4.7166269939678878E-3</v>
      </c>
    </row>
    <row r="176" spans="1:21" x14ac:dyDescent="0.4">
      <c r="A176" t="s">
        <v>66</v>
      </c>
      <c r="B176" t="s">
        <v>69</v>
      </c>
      <c r="C176">
        <v>7</v>
      </c>
      <c r="D176" t="s">
        <v>102</v>
      </c>
      <c r="E176" t="s">
        <v>96</v>
      </c>
      <c r="F176" t="s">
        <v>97</v>
      </c>
      <c r="G176">
        <v>0.61163391044335702</v>
      </c>
      <c r="H176">
        <v>2E+20</v>
      </c>
      <c r="I176">
        <v>0</v>
      </c>
      <c r="J176">
        <v>1</v>
      </c>
      <c r="K176">
        <v>0</v>
      </c>
      <c r="L176">
        <v>0</v>
      </c>
      <c r="M176" s="5" t="str">
        <f>ContinuousStatsTable[[#This Row],[ProjectName]]&amp;ContinuousStatsTable[[#This Row],[Name]]&amp;ContinuousStatsTable[[#This Row],[Type]]&amp;ContinuousStatsTable[[#This Row],[Source]]</f>
        <v>Unnamed ProjectM4Instantaneous UtilizationResource</v>
      </c>
      <c r="N176" s="5" cm="1">
        <f t="array" ref="N176">MAX(IF((ProjectInfoTable[ProjectName]=ContinuousStatsTable[[#This Row],[ProjectName]]),(ProjectInfoTable[ProjectName]=ContinuousStatsTable[[#This Row],[ProjectName]])*ProjectInfoTable[NumberOfReplications]))</f>
        <v>10</v>
      </c>
      <c r="O176" s="5" cm="1">
        <f t="array" ref="O176">IFERROR(AVERAGE(IF((ContinuousStatsTable[GroupByKey]=ContinuousStatsTable[[#This Row],[GroupByKey]]),(ContinuousStatsTable[GroupByKey]=ContinuousStatsTable[[#This Row],[GroupByKey]])*ContinuousStatsTable[Average])),0)</f>
        <v>0.68948907951108873</v>
      </c>
      <c r="P176" s="5" cm="1">
        <f t="array" ref="P176">IFERROR(_xlfn.STDEV.S(IF((ContinuousStatsTable[GroupByKey]=ContinuousStatsTable[[#This Row],[GroupByKey]]),(ContinuousStatsTable[GroupByKey]=ContinuousStatsTable[[#This Row],[GroupByKey]])*ContinuousStatsTable[Average])),0)</f>
        <v>7.0099805521104841E-2</v>
      </c>
      <c r="Q176" s="5" cm="1">
        <f t="array" ref="Q176">MAX(IF((ProjectInfoTable[ProjectName]=ContinuousStatsTable[[#This Row],[ProjectName]]),(ProjectInfoTable[ProjectName]=ContinuousStatsTable[[#This Row],[ProjectName]])*ProjectInfoTable[ConfidenceInterval]))</f>
        <v>0.95</v>
      </c>
      <c r="R1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5.0146379986722875E-2</v>
      </c>
      <c r="S176" s="5" cm="1">
        <f t="array" ref="S176">MIN(IF((ContinuousStatsTable[GroupByKey]=ContinuousStatsTable[[#This Row],[GroupByKey]]),(ContinuousStatsTable[GroupByKey]=ContinuousStatsTable[[#This Row],[GroupByKey]])*ContinuousStatsTable[Average]))</f>
        <v>0.59708526729729605</v>
      </c>
      <c r="T176" s="5" cm="1">
        <f t="array" ref="T176">MAX(IF((ContinuousStatsTable[GroupByKey]=ContinuousStatsTable[[#This Row],[GroupByKey]]),(ContinuousStatsTable[GroupByKey]=ContinuousStatsTable[[#This Row],[GroupByKey]])*ContinuousStatsTable[Average]))</f>
        <v>0.81511052462014799</v>
      </c>
      <c r="U176" s="5">
        <f>IF((ContinuousStatsTable[[#This Row],[RepsRequested]]&gt;1),ContinuousStatsTable[[#This Row],[HalfWidth]],ContinuousStatsTable[[#This Row],[BatchMeansHalfWidth]])</f>
        <v>5.0146379986722875E-2</v>
      </c>
    </row>
    <row r="177" spans="1:21" x14ac:dyDescent="0.4">
      <c r="A177" t="s">
        <v>66</v>
      </c>
      <c r="B177" t="s">
        <v>69</v>
      </c>
      <c r="C177">
        <v>7</v>
      </c>
      <c r="D177" t="s">
        <v>102</v>
      </c>
      <c r="E177" t="s">
        <v>98</v>
      </c>
      <c r="F177" t="s">
        <v>97</v>
      </c>
      <c r="G177">
        <v>0.61163391044335702</v>
      </c>
      <c r="H177">
        <v>2E+20</v>
      </c>
      <c r="I177">
        <v>0</v>
      </c>
      <c r="J177">
        <v>1</v>
      </c>
      <c r="K177">
        <v>0</v>
      </c>
      <c r="L177">
        <v>0</v>
      </c>
      <c r="M177" s="5" t="str">
        <f>ContinuousStatsTable[[#This Row],[ProjectName]]&amp;ContinuousStatsTable[[#This Row],[Name]]&amp;ContinuousStatsTable[[#This Row],[Type]]&amp;ContinuousStatsTable[[#This Row],[Source]]</f>
        <v>Unnamed ProjectM4Number BusyResource</v>
      </c>
      <c r="N177" s="5" cm="1">
        <f t="array" ref="N177">MAX(IF((ProjectInfoTable[ProjectName]=ContinuousStatsTable[[#This Row],[ProjectName]]),(ProjectInfoTable[ProjectName]=ContinuousStatsTable[[#This Row],[ProjectName]])*ProjectInfoTable[NumberOfReplications]))</f>
        <v>10</v>
      </c>
      <c r="O177" s="5" cm="1">
        <f t="array" ref="O177">IFERROR(AVERAGE(IF((ContinuousStatsTable[GroupByKey]=ContinuousStatsTable[[#This Row],[GroupByKey]]),(ContinuousStatsTable[GroupByKey]=ContinuousStatsTable[[#This Row],[GroupByKey]])*ContinuousStatsTable[Average])),0)</f>
        <v>0.68948907951108873</v>
      </c>
      <c r="P177" s="5" cm="1">
        <f t="array" ref="P177">IFERROR(_xlfn.STDEV.S(IF((ContinuousStatsTable[GroupByKey]=ContinuousStatsTable[[#This Row],[GroupByKey]]),(ContinuousStatsTable[GroupByKey]=ContinuousStatsTable[[#This Row],[GroupByKey]])*ContinuousStatsTable[Average])),0)</f>
        <v>7.0099805521104841E-2</v>
      </c>
      <c r="Q177" s="5" cm="1">
        <f t="array" ref="Q177">MAX(IF((ProjectInfoTable[ProjectName]=ContinuousStatsTable[[#This Row],[ProjectName]]),(ProjectInfoTable[ProjectName]=ContinuousStatsTable[[#This Row],[ProjectName]])*ProjectInfoTable[ConfidenceInterval]))</f>
        <v>0.95</v>
      </c>
      <c r="R1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5.0146379986722875E-2</v>
      </c>
      <c r="S177" s="5" cm="1">
        <f t="array" ref="S177">MIN(IF((ContinuousStatsTable[GroupByKey]=ContinuousStatsTable[[#This Row],[GroupByKey]]),(ContinuousStatsTable[GroupByKey]=ContinuousStatsTable[[#This Row],[GroupByKey]])*ContinuousStatsTable[Average]))</f>
        <v>0.59708526729729605</v>
      </c>
      <c r="T177" s="5" cm="1">
        <f t="array" ref="T177">MAX(IF((ContinuousStatsTable[GroupByKey]=ContinuousStatsTable[[#This Row],[GroupByKey]]),(ContinuousStatsTable[GroupByKey]=ContinuousStatsTable[[#This Row],[GroupByKey]])*ContinuousStatsTable[Average]))</f>
        <v>0.81511052462014799</v>
      </c>
      <c r="U177" s="5">
        <f>IF((ContinuousStatsTable[[#This Row],[RepsRequested]]&gt;1),ContinuousStatsTable[[#This Row],[HalfWidth]],ContinuousStatsTable[[#This Row],[BatchMeansHalfWidth]])</f>
        <v>5.0146379986722875E-2</v>
      </c>
    </row>
    <row r="178" spans="1:21" x14ac:dyDescent="0.4">
      <c r="A178" t="s">
        <v>66</v>
      </c>
      <c r="B178" t="s">
        <v>69</v>
      </c>
      <c r="C178">
        <v>7</v>
      </c>
      <c r="D178" t="s">
        <v>102</v>
      </c>
      <c r="E178" t="s">
        <v>99</v>
      </c>
      <c r="F178" t="s">
        <v>97</v>
      </c>
      <c r="G178">
        <v>1</v>
      </c>
      <c r="H178">
        <v>2E+20</v>
      </c>
      <c r="I178">
        <v>1</v>
      </c>
      <c r="J178">
        <v>1</v>
      </c>
      <c r="K178">
        <v>1</v>
      </c>
      <c r="L178">
        <v>0</v>
      </c>
      <c r="M178" s="5" t="str">
        <f>ContinuousStatsTable[[#This Row],[ProjectName]]&amp;ContinuousStatsTable[[#This Row],[Name]]&amp;ContinuousStatsTable[[#This Row],[Type]]&amp;ContinuousStatsTable[[#This Row],[Source]]</f>
        <v>Unnamed ProjectM4Number ScheduledResource</v>
      </c>
      <c r="N178" s="5" cm="1">
        <f t="array" ref="N178">MAX(IF((ProjectInfoTable[ProjectName]=ContinuousStatsTable[[#This Row],[ProjectName]]),(ProjectInfoTable[ProjectName]=ContinuousStatsTable[[#This Row],[ProjectName]])*ProjectInfoTable[NumberOfReplications]))</f>
        <v>10</v>
      </c>
      <c r="O178" s="5" cm="1">
        <f t="array" ref="O178">IFERROR(AVERAGE(IF((ContinuousStatsTable[GroupByKey]=ContinuousStatsTable[[#This Row],[GroupByKey]]),(ContinuousStatsTable[GroupByKey]=ContinuousStatsTable[[#This Row],[GroupByKey]])*ContinuousStatsTable[Average])),0)</f>
        <v>1</v>
      </c>
      <c r="P178" s="5" cm="1">
        <f t="array" ref="P178">IFERROR(_xlfn.STDEV.S(IF((ContinuousStatsTable[GroupByKey]=ContinuousStatsTable[[#This Row],[GroupByKey]]),(ContinuousStatsTable[GroupByKey]=ContinuousStatsTable[[#This Row],[GroupByKey]])*ContinuousStatsTable[Average])),0)</f>
        <v>0</v>
      </c>
      <c r="Q178" s="5" cm="1">
        <f t="array" ref="Q178">MAX(IF((ProjectInfoTable[ProjectName]=ContinuousStatsTable[[#This Row],[ProjectName]]),(ProjectInfoTable[ProjectName]=ContinuousStatsTable[[#This Row],[ProjectName]])*ProjectInfoTable[ConfidenceInterval]))</f>
        <v>0.95</v>
      </c>
      <c r="R1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8" s="5" cm="1">
        <f t="array" ref="S178">MIN(IF((ContinuousStatsTable[GroupByKey]=ContinuousStatsTable[[#This Row],[GroupByKey]]),(ContinuousStatsTable[GroupByKey]=ContinuousStatsTable[[#This Row],[GroupByKey]])*ContinuousStatsTable[Average]))</f>
        <v>1</v>
      </c>
      <c r="T178" s="5" cm="1">
        <f t="array" ref="T178">MAX(IF((ContinuousStatsTable[GroupByKey]=ContinuousStatsTable[[#This Row],[GroupByKey]]),(ContinuousStatsTable[GroupByKey]=ContinuousStatsTable[[#This Row],[GroupByKey]])*ContinuousStatsTable[Average]))</f>
        <v>1</v>
      </c>
      <c r="U178" s="5">
        <f>IF((ContinuousStatsTable[[#This Row],[RepsRequested]]&gt;1),ContinuousStatsTable[[#This Row],[HalfWidth]],ContinuousStatsTable[[#This Row],[BatchMeansHalfWidth]])</f>
        <v>0</v>
      </c>
    </row>
    <row r="179" spans="1:21" x14ac:dyDescent="0.4">
      <c r="A179" t="s">
        <v>66</v>
      </c>
      <c r="B179" t="s">
        <v>69</v>
      </c>
      <c r="C179">
        <v>7</v>
      </c>
      <c r="D179" t="s">
        <v>88</v>
      </c>
      <c r="E179" t="s">
        <v>94</v>
      </c>
      <c r="F179" t="s">
        <v>80</v>
      </c>
      <c r="G179">
        <v>0.80016628384350297</v>
      </c>
      <c r="H179">
        <v>2E+20</v>
      </c>
      <c r="I179">
        <v>0</v>
      </c>
      <c r="J179">
        <v>6</v>
      </c>
      <c r="K179">
        <v>0</v>
      </c>
      <c r="L179">
        <v>0</v>
      </c>
      <c r="M179" s="5" t="str">
        <f>ContinuousStatsTable[[#This Row],[ProjectName]]&amp;ContinuousStatsTable[[#This Row],[Name]]&amp;ContinuousStatsTable[[#This Row],[Type]]&amp;ContinuousStatsTable[[#This Row],[Source]]</f>
        <v>Unnamed ProjectM4.QNumber WaitingQueue</v>
      </c>
      <c r="N179" s="5" cm="1">
        <f t="array" ref="N179">MAX(IF((ProjectInfoTable[ProjectName]=ContinuousStatsTable[[#This Row],[ProjectName]]),(ProjectInfoTable[ProjectName]=ContinuousStatsTable[[#This Row],[ProjectName]])*ProjectInfoTable[NumberOfReplications]))</f>
        <v>10</v>
      </c>
      <c r="O179" s="5" cm="1">
        <f t="array" ref="O179">IFERROR(AVERAGE(IF((ContinuousStatsTable[GroupByKey]=ContinuousStatsTable[[#This Row],[GroupByKey]]),(ContinuousStatsTable[GroupByKey]=ContinuousStatsTable[[#This Row],[GroupByKey]])*ContinuousStatsTable[Average])),0)</f>
        <v>0.92596780474390472</v>
      </c>
      <c r="P179" s="5" cm="1">
        <f t="array" ref="P179">IFERROR(_xlfn.STDEV.S(IF((ContinuousStatsTable[GroupByKey]=ContinuousStatsTable[[#This Row],[GroupByKey]]),(ContinuousStatsTable[GroupByKey]=ContinuousStatsTable[[#This Row],[GroupByKey]])*ContinuousStatsTable[Average])),0)</f>
        <v>0.23565784373506599</v>
      </c>
      <c r="Q179" s="5" cm="1">
        <f t="array" ref="Q179">MAX(IF((ProjectInfoTable[ProjectName]=ContinuousStatsTable[[#This Row],[ProjectName]]),(ProjectInfoTable[ProjectName]=ContinuousStatsTable[[#This Row],[ProjectName]])*ProjectInfoTable[ConfidenceInterval]))</f>
        <v>0.95</v>
      </c>
      <c r="R1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0.16857946596203516</v>
      </c>
      <c r="S179" s="5" cm="1">
        <f t="array" ref="S179">MIN(IF((ContinuousStatsTable[GroupByKey]=ContinuousStatsTable[[#This Row],[GroupByKey]]),(ContinuousStatsTable[GroupByKey]=ContinuousStatsTable[[#This Row],[GroupByKey]])*ContinuousStatsTable[Average]))</f>
        <v>0.61954382246291895</v>
      </c>
      <c r="T179" s="5" cm="1">
        <f t="array" ref="T179">MAX(IF((ContinuousStatsTable[GroupByKey]=ContinuousStatsTable[[#This Row],[GroupByKey]]),(ContinuousStatsTable[GroupByKey]=ContinuousStatsTable[[#This Row],[GroupByKey]])*ContinuousStatsTable[Average]))</f>
        <v>1.4060201140591599</v>
      </c>
      <c r="U179" s="5">
        <f>IF((ContinuousStatsTable[[#This Row],[RepsRequested]]&gt;1),ContinuousStatsTable[[#This Row],[HalfWidth]],ContinuousStatsTable[[#This Row],[BatchMeansHalfWidth]])</f>
        <v>0.16857946596203516</v>
      </c>
    </row>
    <row r="180" spans="1:21" x14ac:dyDescent="0.4">
      <c r="A180" t="s">
        <v>66</v>
      </c>
      <c r="B180" t="s">
        <v>69</v>
      </c>
      <c r="C180">
        <v>7</v>
      </c>
      <c r="D180" t="s">
        <v>103</v>
      </c>
      <c r="E180" t="s">
        <v>96</v>
      </c>
      <c r="F180" t="s">
        <v>97</v>
      </c>
      <c r="G180">
        <v>0.34474851090540098</v>
      </c>
      <c r="H180">
        <v>4.7384694908339603E-2</v>
      </c>
      <c r="I180">
        <v>0</v>
      </c>
      <c r="J180">
        <v>1</v>
      </c>
      <c r="K180">
        <v>0</v>
      </c>
      <c r="L180">
        <v>0</v>
      </c>
      <c r="M180" s="5" t="str">
        <f>ContinuousStatsTable[[#This Row],[ProjectName]]&amp;ContinuousStatsTable[[#This Row],[Name]]&amp;ContinuousStatsTable[[#This Row],[Type]]&amp;ContinuousStatsTable[[#This Row],[Source]]</f>
        <v>Unnamed ProjectM5Instantaneous UtilizationResource</v>
      </c>
      <c r="N180" s="5" cm="1">
        <f t="array" ref="N180">MAX(IF((ProjectInfoTable[ProjectName]=ContinuousStatsTable[[#This Row],[ProjectName]]),(ProjectInfoTable[ProjectName]=ContinuousStatsTable[[#This Row],[ProjectName]])*ProjectInfoTable[NumberOfReplications]))</f>
        <v>10</v>
      </c>
      <c r="O180" s="5" cm="1">
        <f t="array" ref="O180">IFERROR(AVERAGE(IF((ContinuousStatsTable[GroupByKey]=ContinuousStatsTable[[#This Row],[GroupByKey]]),(ContinuousStatsTable[GroupByKey]=ContinuousStatsTable[[#This Row],[GroupByKey]])*ContinuousStatsTable[Average])),0)</f>
        <v>0.35254112855323727</v>
      </c>
      <c r="P180" s="5" cm="1">
        <f t="array" ref="P180">IFERROR(_xlfn.STDEV.S(IF((ContinuousStatsTable[GroupByKey]=ContinuousStatsTable[[#This Row],[GroupByKey]]),(ContinuousStatsTable[GroupByKey]=ContinuousStatsTable[[#This Row],[GroupByKey]])*ContinuousStatsTable[Average])),0)</f>
        <v>2.0819740340978523E-2</v>
      </c>
      <c r="Q180" s="5" cm="1">
        <f t="array" ref="Q180">MAX(IF((ProjectInfoTable[ProjectName]=ContinuousStatsTable[[#This Row],[ProjectName]]),(ProjectInfoTable[ProjectName]=ContinuousStatsTable[[#This Row],[ProjectName]])*ProjectInfoTable[ConfidenceInterval]))</f>
        <v>0.95</v>
      </c>
      <c r="R1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1.4893545033435028E-2</v>
      </c>
      <c r="S180" s="5" cm="1">
        <f t="array" ref="S180">MIN(IF((ContinuousStatsTable[GroupByKey]=ContinuousStatsTable[[#This Row],[GroupByKey]]),(ContinuousStatsTable[GroupByKey]=ContinuousStatsTable[[#This Row],[GroupByKey]])*ContinuousStatsTable[Average]))</f>
        <v>0.319082016284436</v>
      </c>
      <c r="T180" s="5" cm="1">
        <f t="array" ref="T180">MAX(IF((ContinuousStatsTable[GroupByKey]=ContinuousStatsTable[[#This Row],[GroupByKey]]),(ContinuousStatsTable[GroupByKey]=ContinuousStatsTable[[#This Row],[GroupByKey]])*ContinuousStatsTable[Average]))</f>
        <v>0.391918845838306</v>
      </c>
      <c r="U180" s="5">
        <f>IF((ContinuousStatsTable[[#This Row],[RepsRequested]]&gt;1),ContinuousStatsTable[[#This Row],[HalfWidth]],ContinuousStatsTable[[#This Row],[BatchMeansHalfWidth]])</f>
        <v>1.4893545033435028E-2</v>
      </c>
    </row>
    <row r="181" spans="1:21" x14ac:dyDescent="0.4">
      <c r="A181" t="s">
        <v>66</v>
      </c>
      <c r="B181" t="s">
        <v>69</v>
      </c>
      <c r="C181">
        <v>7</v>
      </c>
      <c r="D181" t="s">
        <v>103</v>
      </c>
      <c r="E181" t="s">
        <v>98</v>
      </c>
      <c r="F181" t="s">
        <v>97</v>
      </c>
      <c r="G181">
        <v>0.68949702181080297</v>
      </c>
      <c r="H181">
        <v>9.4769389816679206E-2</v>
      </c>
      <c r="I181">
        <v>0</v>
      </c>
      <c r="J181">
        <v>2</v>
      </c>
      <c r="K181">
        <v>0</v>
      </c>
      <c r="L181">
        <v>0</v>
      </c>
      <c r="M181" s="5" t="str">
        <f>ContinuousStatsTable[[#This Row],[ProjectName]]&amp;ContinuousStatsTable[[#This Row],[Name]]&amp;ContinuousStatsTable[[#This Row],[Type]]&amp;ContinuousStatsTable[[#This Row],[Source]]</f>
        <v>Unnamed ProjectM5Number BusyResource</v>
      </c>
      <c r="N181" s="5" cm="1">
        <f t="array" ref="N181">MAX(IF((ProjectInfoTable[ProjectName]=ContinuousStatsTable[[#This Row],[ProjectName]]),(ProjectInfoTable[ProjectName]=ContinuousStatsTable[[#This Row],[ProjectName]])*ProjectInfoTable[NumberOfReplications]))</f>
        <v>10</v>
      </c>
      <c r="O181" s="5" cm="1">
        <f t="array" ref="O181">IFERROR(AVERAGE(IF((ContinuousStatsTable[GroupByKey]=ContinuousStatsTable[[#This Row],[GroupByKey]]),(ContinuousStatsTable[GroupByKey]=ContinuousStatsTable[[#This Row],[GroupByKey]])*ContinuousStatsTable[Average])),0)</f>
        <v>0.70508225710647443</v>
      </c>
      <c r="P181" s="5" cm="1">
        <f t="array" ref="P181">IFERROR(_xlfn.STDEV.S(IF((ContinuousStatsTable[GroupByKey]=ContinuousStatsTable[[#This Row],[GroupByKey]]),(ContinuousStatsTable[GroupByKey]=ContinuousStatsTable[[#This Row],[GroupByKey]])*ContinuousStatsTable[Average])),0)</f>
        <v>4.1639480681956775E-2</v>
      </c>
      <c r="Q181" s="5" cm="1">
        <f t="array" ref="Q181">MAX(IF((ProjectInfoTable[ProjectName]=ContinuousStatsTable[[#This Row],[ProjectName]]),(ProjectInfoTable[ProjectName]=ContinuousStatsTable[[#This Row],[ProjectName]])*ProjectInfoTable[ConfidenceInterval]))</f>
        <v>0.95</v>
      </c>
      <c r="R1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2.9787090066869859E-2</v>
      </c>
      <c r="S181" s="5" cm="1">
        <f t="array" ref="S181">MIN(IF((ContinuousStatsTable[GroupByKey]=ContinuousStatsTable[[#This Row],[GroupByKey]]),(ContinuousStatsTable[GroupByKey]=ContinuousStatsTable[[#This Row],[GroupByKey]])*ContinuousStatsTable[Average]))</f>
        <v>0.638164032568872</v>
      </c>
      <c r="T181" s="5" cm="1">
        <f t="array" ref="T181">MAX(IF((ContinuousStatsTable[GroupByKey]=ContinuousStatsTable[[#This Row],[GroupByKey]]),(ContinuousStatsTable[GroupByKey]=ContinuousStatsTable[[#This Row],[GroupByKey]])*ContinuousStatsTable[Average]))</f>
        <v>0.78383769167661099</v>
      </c>
      <c r="U181" s="5">
        <f>IF((ContinuousStatsTable[[#This Row],[RepsRequested]]&gt;1),ContinuousStatsTable[[#This Row],[HalfWidth]],ContinuousStatsTable[[#This Row],[BatchMeansHalfWidth]])</f>
        <v>2.9787090066869859E-2</v>
      </c>
    </row>
    <row r="182" spans="1:21" x14ac:dyDescent="0.4">
      <c r="A182" t="s">
        <v>66</v>
      </c>
      <c r="B182" t="s">
        <v>69</v>
      </c>
      <c r="C182">
        <v>7</v>
      </c>
      <c r="D182" t="s">
        <v>103</v>
      </c>
      <c r="E182" t="s">
        <v>99</v>
      </c>
      <c r="F182" t="s">
        <v>97</v>
      </c>
      <c r="G182">
        <v>2</v>
      </c>
      <c r="H182">
        <v>2E+20</v>
      </c>
      <c r="I182">
        <v>2</v>
      </c>
      <c r="J182">
        <v>2</v>
      </c>
      <c r="K182">
        <v>2</v>
      </c>
      <c r="L182">
        <v>0</v>
      </c>
      <c r="M182" s="5" t="str">
        <f>ContinuousStatsTable[[#This Row],[ProjectName]]&amp;ContinuousStatsTable[[#This Row],[Name]]&amp;ContinuousStatsTable[[#This Row],[Type]]&amp;ContinuousStatsTable[[#This Row],[Source]]</f>
        <v>Unnamed ProjectM5Number ScheduledResource</v>
      </c>
      <c r="N182" s="5" cm="1">
        <f t="array" ref="N182">MAX(IF((ProjectInfoTable[ProjectName]=ContinuousStatsTable[[#This Row],[ProjectName]]),(ProjectInfoTable[ProjectName]=ContinuousStatsTable[[#This Row],[ProjectName]])*ProjectInfoTable[NumberOfReplications]))</f>
        <v>10</v>
      </c>
      <c r="O182" s="5" cm="1">
        <f t="array" ref="O182">IFERROR(AVERAGE(IF((ContinuousStatsTable[GroupByKey]=ContinuousStatsTable[[#This Row],[GroupByKey]]),(ContinuousStatsTable[GroupByKey]=ContinuousStatsTable[[#This Row],[GroupByKey]])*ContinuousStatsTable[Average])),0)</f>
        <v>2</v>
      </c>
      <c r="P182" s="5" cm="1">
        <f t="array" ref="P182">IFERROR(_xlfn.STDEV.S(IF((ContinuousStatsTable[GroupByKey]=ContinuousStatsTable[[#This Row],[GroupByKey]]),(ContinuousStatsTable[GroupByKey]=ContinuousStatsTable[[#This Row],[GroupByKey]])*ContinuousStatsTable[Average])),0)</f>
        <v>0</v>
      </c>
      <c r="Q182" s="5" cm="1">
        <f t="array" ref="Q182">MAX(IF((ProjectInfoTable[ProjectName]=ContinuousStatsTable[[#This Row],[ProjectName]]),(ProjectInfoTable[ProjectName]=ContinuousStatsTable[[#This Row],[ProjectName]])*ProjectInfoTable[ConfidenceInterval]))</f>
        <v>0.95</v>
      </c>
      <c r="R1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2" s="5" cm="1">
        <f t="array" ref="S182">MIN(IF((ContinuousStatsTable[GroupByKey]=ContinuousStatsTable[[#This Row],[GroupByKey]]),(ContinuousStatsTable[GroupByKey]=ContinuousStatsTable[[#This Row],[GroupByKey]])*ContinuousStatsTable[Average]))</f>
        <v>2</v>
      </c>
      <c r="T182" s="5" cm="1">
        <f t="array" ref="T182">MAX(IF((ContinuousStatsTable[GroupByKey]=ContinuousStatsTable[[#This Row],[GroupByKey]]),(ContinuousStatsTable[GroupByKey]=ContinuousStatsTable[[#This Row],[GroupByKey]])*ContinuousStatsTable[Average]))</f>
        <v>2</v>
      </c>
      <c r="U182" s="5">
        <f>IF((ContinuousStatsTable[[#This Row],[RepsRequested]]&gt;1),ContinuousStatsTable[[#This Row],[HalfWidth]],ContinuousStatsTable[[#This Row],[BatchMeansHalfWidth]])</f>
        <v>0</v>
      </c>
    </row>
    <row r="183" spans="1:21" x14ac:dyDescent="0.4">
      <c r="A183" t="s">
        <v>66</v>
      </c>
      <c r="B183" t="s">
        <v>69</v>
      </c>
      <c r="C183">
        <v>7</v>
      </c>
      <c r="D183" t="s">
        <v>89</v>
      </c>
      <c r="E183" t="s">
        <v>94</v>
      </c>
      <c r="F183" t="s">
        <v>80</v>
      </c>
      <c r="G183">
        <v>3.91595591240953E-2</v>
      </c>
      <c r="H183">
        <v>2E+20</v>
      </c>
      <c r="I183">
        <v>0</v>
      </c>
      <c r="J183">
        <v>2</v>
      </c>
      <c r="K183">
        <v>0</v>
      </c>
      <c r="L183">
        <v>0</v>
      </c>
      <c r="M183" s="5" t="str">
        <f>ContinuousStatsTable[[#This Row],[ProjectName]]&amp;ContinuousStatsTable[[#This Row],[Name]]&amp;ContinuousStatsTable[[#This Row],[Type]]&amp;ContinuousStatsTable[[#This Row],[Source]]</f>
        <v>Unnamed ProjectM5.QNumber WaitingQueue</v>
      </c>
      <c r="N183" s="5" cm="1">
        <f t="array" ref="N183">MAX(IF((ProjectInfoTable[ProjectName]=ContinuousStatsTable[[#This Row],[ProjectName]]),(ProjectInfoTable[ProjectName]=ContinuousStatsTable[[#This Row],[ProjectName]])*ProjectInfoTable[NumberOfReplications]))</f>
        <v>10</v>
      </c>
      <c r="O183" s="5" cm="1">
        <f t="array" ref="O183">IFERROR(AVERAGE(IF((ContinuousStatsTable[GroupByKey]=ContinuousStatsTable[[#This Row],[GroupByKey]]),(ContinuousStatsTable[GroupByKey]=ContinuousStatsTable[[#This Row],[GroupByKey]])*ContinuousStatsTable[Average])),0)</f>
        <v>4.0588719153078524E-2</v>
      </c>
      <c r="P183" s="5" cm="1">
        <f t="array" ref="P183">IFERROR(_xlfn.STDEV.S(IF((ContinuousStatsTable[GroupByKey]=ContinuousStatsTable[[#This Row],[GroupByKey]]),(ContinuousStatsTable[GroupByKey]=ContinuousStatsTable[[#This Row],[GroupByKey]])*ContinuousStatsTable[Average])),0)</f>
        <v>2.3271584618520549E-2</v>
      </c>
      <c r="Q183" s="5" cm="1">
        <f t="array" ref="Q183">MAX(IF((ProjectInfoTable[ProjectName]=ContinuousStatsTable[[#This Row],[ProjectName]]),(ProjectInfoTable[ProjectName]=ContinuousStatsTable[[#This Row],[ProjectName]])*ProjectInfoTable[ConfidenceInterval]))</f>
        <v>0.95</v>
      </c>
      <c r="R1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1.6647488769739371E-2</v>
      </c>
      <c r="S183" s="5" cm="1">
        <f t="array" ref="S183">MIN(IF((ContinuousStatsTable[GroupByKey]=ContinuousStatsTable[[#This Row],[GroupByKey]]),(ContinuousStatsTable[GroupByKey]=ContinuousStatsTable[[#This Row],[GroupByKey]])*ContinuousStatsTable[Average]))</f>
        <v>1.58912341215269E-2</v>
      </c>
      <c r="T183" s="5" cm="1">
        <f t="array" ref="T183">MAX(IF((ContinuousStatsTable[GroupByKey]=ContinuousStatsTable[[#This Row],[GroupByKey]]),(ContinuousStatsTable[GroupByKey]=ContinuousStatsTable[[#This Row],[GroupByKey]])*ContinuousStatsTable[Average]))</f>
        <v>9.0065456910795705E-2</v>
      </c>
      <c r="U183" s="5">
        <f>IF((ContinuousStatsTable[[#This Row],[RepsRequested]]&gt;1),ContinuousStatsTable[[#This Row],[HalfWidth]],ContinuousStatsTable[[#This Row],[BatchMeansHalfWidth]])</f>
        <v>1.6647488769739371E-2</v>
      </c>
    </row>
    <row r="184" spans="1:21" x14ac:dyDescent="0.4">
      <c r="A184" t="s">
        <v>66</v>
      </c>
      <c r="B184" t="s">
        <v>69</v>
      </c>
      <c r="C184">
        <v>8</v>
      </c>
      <c r="D184" t="s">
        <v>70</v>
      </c>
      <c r="E184" t="s">
        <v>93</v>
      </c>
      <c r="F184" t="s">
        <v>72</v>
      </c>
      <c r="G184">
        <v>8.2111180299106792</v>
      </c>
      <c r="H184">
        <v>3E+20</v>
      </c>
      <c r="I184">
        <v>0</v>
      </c>
      <c r="J184">
        <v>19</v>
      </c>
      <c r="K184">
        <v>6</v>
      </c>
      <c r="L184">
        <v>0</v>
      </c>
      <c r="M184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184" s="5" cm="1">
        <f t="array" ref="N184">MAX(IF((ProjectInfoTable[ProjectName]=ContinuousStatsTable[[#This Row],[ProjectName]]),(ProjectInfoTable[ProjectName]=ContinuousStatsTable[[#This Row],[ProjectName]])*ProjectInfoTable[NumberOfReplications]))</f>
        <v>10</v>
      </c>
      <c r="O184" s="5" cm="1">
        <f t="array" ref="O184">IFERROR(AVERAGE(IF((ContinuousStatsTable[GroupByKey]=ContinuousStatsTable[[#This Row],[GroupByKey]]),(ContinuousStatsTable[GroupByKey]=ContinuousStatsTable[[#This Row],[GroupByKey]])*ContinuousStatsTable[Average])),0)</f>
        <v>6.6735315353875011</v>
      </c>
      <c r="P184" s="5" cm="1">
        <f t="array" ref="P184">IFERROR(_xlfn.STDEV.S(IF((ContinuousStatsTable[GroupByKey]=ContinuousStatsTable[[#This Row],[GroupByKey]]),(ContinuousStatsTable[GroupByKey]=ContinuousStatsTable[[#This Row],[GroupByKey]])*ContinuousStatsTable[Average])),0)</f>
        <v>1.4829188547421246</v>
      </c>
      <c r="Q184" s="5" cm="1">
        <f t="array" ref="Q184">MAX(IF((ProjectInfoTable[ProjectName]=ContinuousStatsTable[[#This Row],[ProjectName]]),(ProjectInfoTable[ProjectName]=ContinuousStatsTable[[#This Row],[ProjectName]])*ProjectInfoTable[ConfidenceInterval]))</f>
        <v>0.95</v>
      </c>
      <c r="R1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1.0608162437338877</v>
      </c>
      <c r="S184" s="5" cm="1">
        <f t="array" ref="S184">MIN(IF((ContinuousStatsTable[GroupByKey]=ContinuousStatsTable[[#This Row],[GroupByKey]]),(ContinuousStatsTable[GroupByKey]=ContinuousStatsTable[[#This Row],[GroupByKey]])*ContinuousStatsTable[Average]))</f>
        <v>4.5894957727661101</v>
      </c>
      <c r="T184" s="5" cm="1">
        <f t="array" ref="T184">MAX(IF((ContinuousStatsTable[GroupByKey]=ContinuousStatsTable[[#This Row],[GroupByKey]]),(ContinuousStatsTable[GroupByKey]=ContinuousStatsTable[[#This Row],[GroupByKey]])*ContinuousStatsTable[Average]))</f>
        <v>9.5134854029509093</v>
      </c>
      <c r="U184" s="5">
        <f>IF((ContinuousStatsTable[[#This Row],[RepsRequested]]&gt;1),ContinuousStatsTable[[#This Row],[HalfWidth]],ContinuousStatsTable[[#This Row],[BatchMeansHalfWidth]])</f>
        <v>1.0608162437338877</v>
      </c>
    </row>
    <row r="185" spans="1:21" x14ac:dyDescent="0.4">
      <c r="A185" t="s">
        <v>66</v>
      </c>
      <c r="B185" t="s">
        <v>69</v>
      </c>
      <c r="C185">
        <v>8</v>
      </c>
      <c r="D185" t="s">
        <v>78</v>
      </c>
      <c r="E185" t="s">
        <v>94</v>
      </c>
      <c r="F185" t="s">
        <v>80</v>
      </c>
      <c r="G185">
        <v>0</v>
      </c>
      <c r="H185">
        <v>2E+20</v>
      </c>
      <c r="I185">
        <v>0</v>
      </c>
      <c r="J185">
        <v>0</v>
      </c>
      <c r="K185">
        <v>0</v>
      </c>
      <c r="L185">
        <v>0</v>
      </c>
      <c r="M185" s="5" t="str">
        <f>ContinuousStatsTable[[#This Row],[ProjectName]]&amp;ContinuousStatsTable[[#This Row],[Name]]&amp;ContinuousStatsTable[[#This Row],[Type]]&amp;ContinuousStatsTable[[#This Row],[Source]]</f>
        <v>Unnamed ProjectHold M1.QueueNumber WaitingQueue</v>
      </c>
      <c r="N185" s="5" cm="1">
        <f t="array" ref="N185">MAX(IF((ProjectInfoTable[ProjectName]=ContinuousStatsTable[[#This Row],[ProjectName]]),(ProjectInfoTable[ProjectName]=ContinuousStatsTable[[#This Row],[ProjectName]])*ProjectInfoTable[NumberOfReplications]))</f>
        <v>10</v>
      </c>
      <c r="O185" s="5" cm="1">
        <f t="array" ref="O185">IFERROR(AVERAGE(IF((ContinuousStatsTable[GroupByKey]=ContinuousStatsTable[[#This Row],[GroupByKey]]),(ContinuousStatsTable[GroupByKey]=ContinuousStatsTable[[#This Row],[GroupByKey]])*ContinuousStatsTable[Average])),0)</f>
        <v>0</v>
      </c>
      <c r="P185" s="5" cm="1">
        <f t="array" ref="P185">IFERROR(_xlfn.STDEV.S(IF((ContinuousStatsTable[GroupByKey]=ContinuousStatsTable[[#This Row],[GroupByKey]]),(ContinuousStatsTable[GroupByKey]=ContinuousStatsTable[[#This Row],[GroupByKey]])*ContinuousStatsTable[Average])),0)</f>
        <v>0</v>
      </c>
      <c r="Q185" s="5" cm="1">
        <f t="array" ref="Q185">MAX(IF((ProjectInfoTable[ProjectName]=ContinuousStatsTable[[#This Row],[ProjectName]]),(ProjectInfoTable[ProjectName]=ContinuousStatsTable[[#This Row],[ProjectName]])*ProjectInfoTable[ConfidenceInterval]))</f>
        <v>0.95</v>
      </c>
      <c r="R1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5" s="5" cm="1">
        <f t="array" ref="S185">MIN(IF((ContinuousStatsTable[GroupByKey]=ContinuousStatsTable[[#This Row],[GroupByKey]]),(ContinuousStatsTable[GroupByKey]=ContinuousStatsTable[[#This Row],[GroupByKey]])*ContinuousStatsTable[Average]))</f>
        <v>0</v>
      </c>
      <c r="T185" s="5" cm="1">
        <f t="array" ref="T185">MAX(IF((ContinuousStatsTable[GroupByKey]=ContinuousStatsTable[[#This Row],[GroupByKey]]),(ContinuousStatsTable[GroupByKey]=ContinuousStatsTable[[#This Row],[GroupByKey]])*ContinuousStatsTable[Average]))</f>
        <v>0</v>
      </c>
      <c r="U185" s="5">
        <f>IF((ContinuousStatsTable[[#This Row],[RepsRequested]]&gt;1),ContinuousStatsTable[[#This Row],[HalfWidth]],ContinuousStatsTable[[#This Row],[BatchMeansHalfWidth]])</f>
        <v>0</v>
      </c>
    </row>
    <row r="186" spans="1:21" x14ac:dyDescent="0.4">
      <c r="A186" t="s">
        <v>66</v>
      </c>
      <c r="B186" t="s">
        <v>69</v>
      </c>
      <c r="C186">
        <v>8</v>
      </c>
      <c r="D186" t="s">
        <v>81</v>
      </c>
      <c r="E186" t="s">
        <v>94</v>
      </c>
      <c r="F186" t="s">
        <v>80</v>
      </c>
      <c r="G186">
        <v>0</v>
      </c>
      <c r="H186">
        <v>2E+20</v>
      </c>
      <c r="I186">
        <v>0</v>
      </c>
      <c r="J186">
        <v>0</v>
      </c>
      <c r="K186">
        <v>0</v>
      </c>
      <c r="L186">
        <v>0</v>
      </c>
      <c r="M186" s="5" t="str">
        <f>ContinuousStatsTable[[#This Row],[ProjectName]]&amp;ContinuousStatsTable[[#This Row],[Name]]&amp;ContinuousStatsTable[[#This Row],[Type]]&amp;ContinuousStatsTable[[#This Row],[Source]]</f>
        <v>Unnamed ProjectHold M2.QueueNumber WaitingQueue</v>
      </c>
      <c r="N186" s="5" cm="1">
        <f t="array" ref="N186">MAX(IF((ProjectInfoTable[ProjectName]=ContinuousStatsTable[[#This Row],[ProjectName]]),(ProjectInfoTable[ProjectName]=ContinuousStatsTable[[#This Row],[ProjectName]])*ProjectInfoTable[NumberOfReplications]))</f>
        <v>10</v>
      </c>
      <c r="O186" s="5" cm="1">
        <f t="array" ref="O186">IFERROR(AVERAGE(IF((ContinuousStatsTable[GroupByKey]=ContinuousStatsTable[[#This Row],[GroupByKey]]),(ContinuousStatsTable[GroupByKey]=ContinuousStatsTable[[#This Row],[GroupByKey]])*ContinuousStatsTable[Average])),0)</f>
        <v>0</v>
      </c>
      <c r="P186" s="5" cm="1">
        <f t="array" ref="P186">IFERROR(_xlfn.STDEV.S(IF((ContinuousStatsTable[GroupByKey]=ContinuousStatsTable[[#This Row],[GroupByKey]]),(ContinuousStatsTable[GroupByKey]=ContinuousStatsTable[[#This Row],[GroupByKey]])*ContinuousStatsTable[Average])),0)</f>
        <v>0</v>
      </c>
      <c r="Q186" s="5" cm="1">
        <f t="array" ref="Q186">MAX(IF((ProjectInfoTable[ProjectName]=ContinuousStatsTable[[#This Row],[ProjectName]]),(ProjectInfoTable[ProjectName]=ContinuousStatsTable[[#This Row],[ProjectName]])*ProjectInfoTable[ConfidenceInterval]))</f>
        <v>0.95</v>
      </c>
      <c r="R1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6" s="5" cm="1">
        <f t="array" ref="S186">MIN(IF((ContinuousStatsTable[GroupByKey]=ContinuousStatsTable[[#This Row],[GroupByKey]]),(ContinuousStatsTable[GroupByKey]=ContinuousStatsTable[[#This Row],[GroupByKey]])*ContinuousStatsTable[Average]))</f>
        <v>0</v>
      </c>
      <c r="T186" s="5" cm="1">
        <f t="array" ref="T186">MAX(IF((ContinuousStatsTable[GroupByKey]=ContinuousStatsTable[[#This Row],[GroupByKey]]),(ContinuousStatsTable[GroupByKey]=ContinuousStatsTable[[#This Row],[GroupByKey]])*ContinuousStatsTable[Average]))</f>
        <v>0</v>
      </c>
      <c r="U186" s="5">
        <f>IF((ContinuousStatsTable[[#This Row],[RepsRequested]]&gt;1),ContinuousStatsTable[[#This Row],[HalfWidth]],ContinuousStatsTable[[#This Row],[BatchMeansHalfWidth]])</f>
        <v>0</v>
      </c>
    </row>
    <row r="187" spans="1:21" x14ac:dyDescent="0.4">
      <c r="A187" t="s">
        <v>66</v>
      </c>
      <c r="B187" t="s">
        <v>69</v>
      </c>
      <c r="C187">
        <v>8</v>
      </c>
      <c r="D187" t="s">
        <v>82</v>
      </c>
      <c r="E187" t="s">
        <v>94</v>
      </c>
      <c r="F187" t="s">
        <v>80</v>
      </c>
      <c r="G187">
        <v>0</v>
      </c>
      <c r="H187">
        <v>2E+20</v>
      </c>
      <c r="I187">
        <v>0</v>
      </c>
      <c r="J187">
        <v>0</v>
      </c>
      <c r="K187">
        <v>0</v>
      </c>
      <c r="L187">
        <v>0</v>
      </c>
      <c r="M187" s="5" t="str">
        <f>ContinuousStatsTable[[#This Row],[ProjectName]]&amp;ContinuousStatsTable[[#This Row],[Name]]&amp;ContinuousStatsTable[[#This Row],[Type]]&amp;ContinuousStatsTable[[#This Row],[Source]]</f>
        <v>Unnamed ProjectHold M3.QueueNumber WaitingQueue</v>
      </c>
      <c r="N187" s="5" cm="1">
        <f t="array" ref="N187">MAX(IF((ProjectInfoTable[ProjectName]=ContinuousStatsTable[[#This Row],[ProjectName]]),(ProjectInfoTable[ProjectName]=ContinuousStatsTable[[#This Row],[ProjectName]])*ProjectInfoTable[NumberOfReplications]))</f>
        <v>10</v>
      </c>
      <c r="O187" s="5" cm="1">
        <f t="array" ref="O187">IFERROR(AVERAGE(IF((ContinuousStatsTable[GroupByKey]=ContinuousStatsTable[[#This Row],[GroupByKey]]),(ContinuousStatsTable[GroupByKey]=ContinuousStatsTable[[#This Row],[GroupByKey]])*ContinuousStatsTable[Average])),0)</f>
        <v>0</v>
      </c>
      <c r="P187" s="5" cm="1">
        <f t="array" ref="P187">IFERROR(_xlfn.STDEV.S(IF((ContinuousStatsTable[GroupByKey]=ContinuousStatsTable[[#This Row],[GroupByKey]]),(ContinuousStatsTable[GroupByKey]=ContinuousStatsTable[[#This Row],[GroupByKey]])*ContinuousStatsTable[Average])),0)</f>
        <v>0</v>
      </c>
      <c r="Q187" s="5" cm="1">
        <f t="array" ref="Q187">MAX(IF((ProjectInfoTable[ProjectName]=ContinuousStatsTable[[#This Row],[ProjectName]]),(ProjectInfoTable[ProjectName]=ContinuousStatsTable[[#This Row],[ProjectName]])*ProjectInfoTable[ConfidenceInterval]))</f>
        <v>0.95</v>
      </c>
      <c r="R1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7" s="5" cm="1">
        <f t="array" ref="S187">MIN(IF((ContinuousStatsTable[GroupByKey]=ContinuousStatsTable[[#This Row],[GroupByKey]]),(ContinuousStatsTable[GroupByKey]=ContinuousStatsTable[[#This Row],[GroupByKey]])*ContinuousStatsTable[Average]))</f>
        <v>0</v>
      </c>
      <c r="T187" s="5" cm="1">
        <f t="array" ref="T187">MAX(IF((ContinuousStatsTable[GroupByKey]=ContinuousStatsTable[[#This Row],[GroupByKey]]),(ContinuousStatsTable[GroupByKey]=ContinuousStatsTable[[#This Row],[GroupByKey]])*ContinuousStatsTable[Average]))</f>
        <v>0</v>
      </c>
      <c r="U187" s="5">
        <f>IF((ContinuousStatsTable[[#This Row],[RepsRequested]]&gt;1),ContinuousStatsTable[[#This Row],[HalfWidth]],ContinuousStatsTable[[#This Row],[BatchMeansHalfWidth]])</f>
        <v>0</v>
      </c>
    </row>
    <row r="188" spans="1:21" x14ac:dyDescent="0.4">
      <c r="A188" t="s">
        <v>66</v>
      </c>
      <c r="B188" t="s">
        <v>69</v>
      </c>
      <c r="C188">
        <v>8</v>
      </c>
      <c r="D188" t="s">
        <v>83</v>
      </c>
      <c r="E188" t="s">
        <v>94</v>
      </c>
      <c r="F188" t="s">
        <v>80</v>
      </c>
      <c r="G188">
        <v>0</v>
      </c>
      <c r="H188">
        <v>2E+20</v>
      </c>
      <c r="I188">
        <v>0</v>
      </c>
      <c r="J188">
        <v>0</v>
      </c>
      <c r="K188">
        <v>0</v>
      </c>
      <c r="L188">
        <v>0</v>
      </c>
      <c r="M188" s="5" t="str">
        <f>ContinuousStatsTable[[#This Row],[ProjectName]]&amp;ContinuousStatsTable[[#This Row],[Name]]&amp;ContinuousStatsTable[[#This Row],[Type]]&amp;ContinuousStatsTable[[#This Row],[Source]]</f>
        <v>Unnamed ProjectHold M4.QueueNumber WaitingQueue</v>
      </c>
      <c r="N188" s="5" cm="1">
        <f t="array" ref="N188">MAX(IF((ProjectInfoTable[ProjectName]=ContinuousStatsTable[[#This Row],[ProjectName]]),(ProjectInfoTable[ProjectName]=ContinuousStatsTable[[#This Row],[ProjectName]])*ProjectInfoTable[NumberOfReplications]))</f>
        <v>10</v>
      </c>
      <c r="O188" s="5" cm="1">
        <f t="array" ref="O188">IFERROR(AVERAGE(IF((ContinuousStatsTable[GroupByKey]=ContinuousStatsTable[[#This Row],[GroupByKey]]),(ContinuousStatsTable[GroupByKey]=ContinuousStatsTable[[#This Row],[GroupByKey]])*ContinuousStatsTable[Average])),0)</f>
        <v>0</v>
      </c>
      <c r="P188" s="5" cm="1">
        <f t="array" ref="P188">IFERROR(_xlfn.STDEV.S(IF((ContinuousStatsTable[GroupByKey]=ContinuousStatsTable[[#This Row],[GroupByKey]]),(ContinuousStatsTable[GroupByKey]=ContinuousStatsTable[[#This Row],[GroupByKey]])*ContinuousStatsTable[Average])),0)</f>
        <v>0</v>
      </c>
      <c r="Q188" s="5" cm="1">
        <f t="array" ref="Q188">MAX(IF((ProjectInfoTable[ProjectName]=ContinuousStatsTable[[#This Row],[ProjectName]]),(ProjectInfoTable[ProjectName]=ContinuousStatsTable[[#This Row],[ProjectName]])*ProjectInfoTable[ConfidenceInterval]))</f>
        <v>0.95</v>
      </c>
      <c r="R1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8" s="5" cm="1">
        <f t="array" ref="S188">MIN(IF((ContinuousStatsTable[GroupByKey]=ContinuousStatsTable[[#This Row],[GroupByKey]]),(ContinuousStatsTable[GroupByKey]=ContinuousStatsTable[[#This Row],[GroupByKey]])*ContinuousStatsTable[Average]))</f>
        <v>0</v>
      </c>
      <c r="T188" s="5" cm="1">
        <f t="array" ref="T188">MAX(IF((ContinuousStatsTable[GroupByKey]=ContinuousStatsTable[[#This Row],[GroupByKey]]),(ContinuousStatsTable[GroupByKey]=ContinuousStatsTable[[#This Row],[GroupByKey]])*ContinuousStatsTable[Average]))</f>
        <v>0</v>
      </c>
      <c r="U188" s="5">
        <f>IF((ContinuousStatsTable[[#This Row],[RepsRequested]]&gt;1),ContinuousStatsTable[[#This Row],[HalfWidth]],ContinuousStatsTable[[#This Row],[BatchMeansHalfWidth]])</f>
        <v>0</v>
      </c>
    </row>
    <row r="189" spans="1:21" x14ac:dyDescent="0.4">
      <c r="A189" t="s">
        <v>66</v>
      </c>
      <c r="B189" t="s">
        <v>69</v>
      </c>
      <c r="C189">
        <v>8</v>
      </c>
      <c r="D189" t="s">
        <v>84</v>
      </c>
      <c r="E189" t="s">
        <v>94</v>
      </c>
      <c r="F189" t="s">
        <v>80</v>
      </c>
      <c r="G189">
        <v>0</v>
      </c>
      <c r="H189">
        <v>2E+20</v>
      </c>
      <c r="I189">
        <v>0</v>
      </c>
      <c r="J189">
        <v>0</v>
      </c>
      <c r="K189">
        <v>0</v>
      </c>
      <c r="L189">
        <v>0</v>
      </c>
      <c r="M189" s="5" t="str">
        <f>ContinuousStatsTable[[#This Row],[ProjectName]]&amp;ContinuousStatsTable[[#This Row],[Name]]&amp;ContinuousStatsTable[[#This Row],[Type]]&amp;ContinuousStatsTable[[#This Row],[Source]]</f>
        <v>Unnamed ProjectHold M5.QueueNumber WaitingQueue</v>
      </c>
      <c r="N189" s="5" cm="1">
        <f t="array" ref="N189">MAX(IF((ProjectInfoTable[ProjectName]=ContinuousStatsTable[[#This Row],[ProjectName]]),(ProjectInfoTable[ProjectName]=ContinuousStatsTable[[#This Row],[ProjectName]])*ProjectInfoTable[NumberOfReplications]))</f>
        <v>10</v>
      </c>
      <c r="O189" s="5" cm="1">
        <f t="array" ref="O189">IFERROR(AVERAGE(IF((ContinuousStatsTable[GroupByKey]=ContinuousStatsTable[[#This Row],[GroupByKey]]),(ContinuousStatsTable[GroupByKey]=ContinuousStatsTable[[#This Row],[GroupByKey]])*ContinuousStatsTable[Average])),0)</f>
        <v>0</v>
      </c>
      <c r="P189" s="5" cm="1">
        <f t="array" ref="P189">IFERROR(_xlfn.STDEV.S(IF((ContinuousStatsTable[GroupByKey]=ContinuousStatsTable[[#This Row],[GroupByKey]]),(ContinuousStatsTable[GroupByKey]=ContinuousStatsTable[[#This Row],[GroupByKey]])*ContinuousStatsTable[Average])),0)</f>
        <v>0</v>
      </c>
      <c r="Q189" s="5" cm="1">
        <f t="array" ref="Q189">MAX(IF((ProjectInfoTable[ProjectName]=ContinuousStatsTable[[#This Row],[ProjectName]]),(ProjectInfoTable[ProjectName]=ContinuousStatsTable[[#This Row],[ProjectName]])*ProjectInfoTable[ConfidenceInterval]))</f>
        <v>0.95</v>
      </c>
      <c r="R1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9" s="5" cm="1">
        <f t="array" ref="S189">MIN(IF((ContinuousStatsTable[GroupByKey]=ContinuousStatsTable[[#This Row],[GroupByKey]]),(ContinuousStatsTable[GroupByKey]=ContinuousStatsTable[[#This Row],[GroupByKey]])*ContinuousStatsTable[Average]))</f>
        <v>0</v>
      </c>
      <c r="T189" s="5" cm="1">
        <f t="array" ref="T189">MAX(IF((ContinuousStatsTable[GroupByKey]=ContinuousStatsTable[[#This Row],[GroupByKey]]),(ContinuousStatsTable[GroupByKey]=ContinuousStatsTable[[#This Row],[GroupByKey]])*ContinuousStatsTable[Average]))</f>
        <v>0</v>
      </c>
      <c r="U189" s="5">
        <f>IF((ContinuousStatsTable[[#This Row],[RepsRequested]]&gt;1),ContinuousStatsTable[[#This Row],[HalfWidth]],ContinuousStatsTable[[#This Row],[BatchMeansHalfWidth]])</f>
        <v>0</v>
      </c>
    </row>
    <row r="190" spans="1:21" x14ac:dyDescent="0.4">
      <c r="A190" t="s">
        <v>66</v>
      </c>
      <c r="B190" t="s">
        <v>69</v>
      </c>
      <c r="C190">
        <v>8</v>
      </c>
      <c r="D190" t="s">
        <v>95</v>
      </c>
      <c r="E190" t="s">
        <v>96</v>
      </c>
      <c r="F190" t="s">
        <v>97</v>
      </c>
      <c r="G190">
        <v>0.369814401497774</v>
      </c>
      <c r="H190">
        <v>2E+20</v>
      </c>
      <c r="I190">
        <v>0</v>
      </c>
      <c r="J190">
        <v>1</v>
      </c>
      <c r="K190">
        <v>0</v>
      </c>
      <c r="L190">
        <v>0</v>
      </c>
      <c r="M190" s="5" t="str">
        <f>ContinuousStatsTable[[#This Row],[ProjectName]]&amp;ContinuousStatsTable[[#This Row],[Name]]&amp;ContinuousStatsTable[[#This Row],[Type]]&amp;ContinuousStatsTable[[#This Row],[Source]]</f>
        <v>Unnamed ProjectM1Instantaneous UtilizationResource</v>
      </c>
      <c r="N190" s="5" cm="1">
        <f t="array" ref="N190">MAX(IF((ProjectInfoTable[ProjectName]=ContinuousStatsTable[[#This Row],[ProjectName]]),(ProjectInfoTable[ProjectName]=ContinuousStatsTable[[#This Row],[ProjectName]])*ProjectInfoTable[NumberOfReplications]))</f>
        <v>10</v>
      </c>
      <c r="O190" s="5" cm="1">
        <f t="array" ref="O190">IFERROR(AVERAGE(IF((ContinuousStatsTable[GroupByKey]=ContinuousStatsTable[[#This Row],[GroupByKey]]),(ContinuousStatsTable[GroupByKey]=ContinuousStatsTable[[#This Row],[GroupByKey]])*ContinuousStatsTable[Average])),0)</f>
        <v>0.35418637725041224</v>
      </c>
      <c r="P190" s="5" cm="1">
        <f t="array" ref="P190">IFERROR(_xlfn.STDEV.S(IF((ContinuousStatsTable[GroupByKey]=ContinuousStatsTable[[#This Row],[GroupByKey]]),(ContinuousStatsTable[GroupByKey]=ContinuousStatsTable[[#This Row],[GroupByKey]])*ContinuousStatsTable[Average])),0)</f>
        <v>3.3453936231241439E-2</v>
      </c>
      <c r="Q190" s="5" cm="1">
        <f t="array" ref="Q190">MAX(IF((ProjectInfoTable[ProjectName]=ContinuousStatsTable[[#This Row],[ProjectName]]),(ProjectInfoTable[ProjectName]=ContinuousStatsTable[[#This Row],[ProjectName]])*ProjectInfoTable[ConfidenceInterval]))</f>
        <v>0.95</v>
      </c>
      <c r="R1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2.3931504314920794E-2</v>
      </c>
      <c r="S190" s="5" cm="1">
        <f t="array" ref="S190">MIN(IF((ContinuousStatsTable[GroupByKey]=ContinuousStatsTable[[#This Row],[GroupByKey]]),(ContinuousStatsTable[GroupByKey]=ContinuousStatsTable[[#This Row],[GroupByKey]])*ContinuousStatsTable[Average]))</f>
        <v>0.29539806709730798</v>
      </c>
      <c r="T190" s="5" cm="1">
        <f t="array" ref="T190">MAX(IF((ContinuousStatsTable[GroupByKey]=ContinuousStatsTable[[#This Row],[GroupByKey]]),(ContinuousStatsTable[GroupByKey]=ContinuousStatsTable[[#This Row],[GroupByKey]])*ContinuousStatsTable[Average]))</f>
        <v>0.39865120046345498</v>
      </c>
      <c r="U190" s="5">
        <f>IF((ContinuousStatsTable[[#This Row],[RepsRequested]]&gt;1),ContinuousStatsTable[[#This Row],[HalfWidth]],ContinuousStatsTable[[#This Row],[BatchMeansHalfWidth]])</f>
        <v>2.3931504314920794E-2</v>
      </c>
    </row>
    <row r="191" spans="1:21" x14ac:dyDescent="0.4">
      <c r="A191" t="s">
        <v>66</v>
      </c>
      <c r="B191" t="s">
        <v>69</v>
      </c>
      <c r="C191">
        <v>8</v>
      </c>
      <c r="D191" t="s">
        <v>95</v>
      </c>
      <c r="E191" t="s">
        <v>98</v>
      </c>
      <c r="F191" t="s">
        <v>97</v>
      </c>
      <c r="G191">
        <v>0.73962880299554801</v>
      </c>
      <c r="H191">
        <v>2E+20</v>
      </c>
      <c r="I191">
        <v>0</v>
      </c>
      <c r="J191">
        <v>2</v>
      </c>
      <c r="K191">
        <v>0</v>
      </c>
      <c r="L191">
        <v>0</v>
      </c>
      <c r="M191" s="5" t="str">
        <f>ContinuousStatsTable[[#This Row],[ProjectName]]&amp;ContinuousStatsTable[[#This Row],[Name]]&amp;ContinuousStatsTable[[#This Row],[Type]]&amp;ContinuousStatsTable[[#This Row],[Source]]</f>
        <v>Unnamed ProjectM1Number BusyResource</v>
      </c>
      <c r="N191" s="5" cm="1">
        <f t="array" ref="N191">MAX(IF((ProjectInfoTable[ProjectName]=ContinuousStatsTable[[#This Row],[ProjectName]]),(ProjectInfoTable[ProjectName]=ContinuousStatsTable[[#This Row],[ProjectName]])*ProjectInfoTable[NumberOfReplications]))</f>
        <v>10</v>
      </c>
      <c r="O191" s="5" cm="1">
        <f t="array" ref="O191">IFERROR(AVERAGE(IF((ContinuousStatsTable[GroupByKey]=ContinuousStatsTable[[#This Row],[GroupByKey]]),(ContinuousStatsTable[GroupByKey]=ContinuousStatsTable[[#This Row],[GroupByKey]])*ContinuousStatsTable[Average])),0)</f>
        <v>0.70837275450082438</v>
      </c>
      <c r="P191" s="5" cm="1">
        <f t="array" ref="P191">IFERROR(_xlfn.STDEV.S(IF((ContinuousStatsTable[GroupByKey]=ContinuousStatsTable[[#This Row],[GroupByKey]]),(ContinuousStatsTable[GroupByKey]=ContinuousStatsTable[[#This Row],[GroupByKey]])*ContinuousStatsTable[Average])),0)</f>
        <v>6.6907872462483045E-2</v>
      </c>
      <c r="Q191" s="5" cm="1">
        <f t="array" ref="Q191">MAX(IF((ProjectInfoTable[ProjectName]=ContinuousStatsTable[[#This Row],[ProjectName]]),(ProjectInfoTable[ProjectName]=ContinuousStatsTable[[#This Row],[ProjectName]])*ProjectInfoTable[ConfidenceInterval]))</f>
        <v>0.95</v>
      </c>
      <c r="R1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4.7863008629841705E-2</v>
      </c>
      <c r="S191" s="5" cm="1">
        <f t="array" ref="S191">MIN(IF((ContinuousStatsTable[GroupByKey]=ContinuousStatsTable[[#This Row],[GroupByKey]]),(ContinuousStatsTable[GroupByKey]=ContinuousStatsTable[[#This Row],[GroupByKey]])*ContinuousStatsTable[Average]))</f>
        <v>0.59079613419461596</v>
      </c>
      <c r="T191" s="5" cm="1">
        <f t="array" ref="T191">MAX(IF((ContinuousStatsTable[GroupByKey]=ContinuousStatsTable[[#This Row],[GroupByKey]]),(ContinuousStatsTable[GroupByKey]=ContinuousStatsTable[[#This Row],[GroupByKey]])*ContinuousStatsTable[Average]))</f>
        <v>0.79730240092691096</v>
      </c>
      <c r="U191" s="5">
        <f>IF((ContinuousStatsTable[[#This Row],[RepsRequested]]&gt;1),ContinuousStatsTable[[#This Row],[HalfWidth]],ContinuousStatsTable[[#This Row],[BatchMeansHalfWidth]])</f>
        <v>4.7863008629841705E-2</v>
      </c>
    </row>
    <row r="192" spans="1:21" x14ac:dyDescent="0.4">
      <c r="A192" t="s">
        <v>66</v>
      </c>
      <c r="B192" t="s">
        <v>69</v>
      </c>
      <c r="C192">
        <v>8</v>
      </c>
      <c r="D192" t="s">
        <v>95</v>
      </c>
      <c r="E192" t="s">
        <v>99</v>
      </c>
      <c r="F192" t="s">
        <v>97</v>
      </c>
      <c r="G192">
        <v>2</v>
      </c>
      <c r="H192">
        <v>2E+20</v>
      </c>
      <c r="I192">
        <v>2</v>
      </c>
      <c r="J192">
        <v>2</v>
      </c>
      <c r="K192">
        <v>2</v>
      </c>
      <c r="L192">
        <v>0</v>
      </c>
      <c r="M192" s="5" t="str">
        <f>ContinuousStatsTable[[#This Row],[ProjectName]]&amp;ContinuousStatsTable[[#This Row],[Name]]&amp;ContinuousStatsTable[[#This Row],[Type]]&amp;ContinuousStatsTable[[#This Row],[Source]]</f>
        <v>Unnamed ProjectM1Number ScheduledResource</v>
      </c>
      <c r="N192" s="5" cm="1">
        <f t="array" ref="N192">MAX(IF((ProjectInfoTable[ProjectName]=ContinuousStatsTable[[#This Row],[ProjectName]]),(ProjectInfoTable[ProjectName]=ContinuousStatsTable[[#This Row],[ProjectName]])*ProjectInfoTable[NumberOfReplications]))</f>
        <v>10</v>
      </c>
      <c r="O192" s="5" cm="1">
        <f t="array" ref="O192">IFERROR(AVERAGE(IF((ContinuousStatsTable[GroupByKey]=ContinuousStatsTable[[#This Row],[GroupByKey]]),(ContinuousStatsTable[GroupByKey]=ContinuousStatsTable[[#This Row],[GroupByKey]])*ContinuousStatsTable[Average])),0)</f>
        <v>2</v>
      </c>
      <c r="P192" s="5" cm="1">
        <f t="array" ref="P192">IFERROR(_xlfn.STDEV.S(IF((ContinuousStatsTable[GroupByKey]=ContinuousStatsTable[[#This Row],[GroupByKey]]),(ContinuousStatsTable[GroupByKey]=ContinuousStatsTable[[#This Row],[GroupByKey]])*ContinuousStatsTable[Average])),0)</f>
        <v>0</v>
      </c>
      <c r="Q192" s="5" cm="1">
        <f t="array" ref="Q192">MAX(IF((ProjectInfoTable[ProjectName]=ContinuousStatsTable[[#This Row],[ProjectName]]),(ProjectInfoTable[ProjectName]=ContinuousStatsTable[[#This Row],[ProjectName]])*ProjectInfoTable[ConfidenceInterval]))</f>
        <v>0.95</v>
      </c>
      <c r="R1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2" s="5" cm="1">
        <f t="array" ref="S192">MIN(IF((ContinuousStatsTable[GroupByKey]=ContinuousStatsTable[[#This Row],[GroupByKey]]),(ContinuousStatsTable[GroupByKey]=ContinuousStatsTable[[#This Row],[GroupByKey]])*ContinuousStatsTable[Average]))</f>
        <v>2</v>
      </c>
      <c r="T192" s="5" cm="1">
        <f t="array" ref="T192">MAX(IF((ContinuousStatsTable[GroupByKey]=ContinuousStatsTable[[#This Row],[GroupByKey]]),(ContinuousStatsTable[GroupByKey]=ContinuousStatsTable[[#This Row],[GroupByKey]])*ContinuousStatsTable[Average]))</f>
        <v>2</v>
      </c>
      <c r="U192" s="5">
        <f>IF((ContinuousStatsTable[[#This Row],[RepsRequested]]&gt;1),ContinuousStatsTable[[#This Row],[HalfWidth]],ContinuousStatsTable[[#This Row],[BatchMeansHalfWidth]])</f>
        <v>0</v>
      </c>
    </row>
    <row r="193" spans="1:21" x14ac:dyDescent="0.4">
      <c r="A193" t="s">
        <v>66</v>
      </c>
      <c r="B193" t="s">
        <v>69</v>
      </c>
      <c r="C193">
        <v>8</v>
      </c>
      <c r="D193" t="s">
        <v>85</v>
      </c>
      <c r="E193" t="s">
        <v>94</v>
      </c>
      <c r="F193" t="s">
        <v>80</v>
      </c>
      <c r="G193">
        <v>5.8272676928987299E-2</v>
      </c>
      <c r="H193">
        <v>2E+20</v>
      </c>
      <c r="I193">
        <v>0</v>
      </c>
      <c r="J193">
        <v>3</v>
      </c>
      <c r="K193">
        <v>0</v>
      </c>
      <c r="L193">
        <v>0</v>
      </c>
      <c r="M193" s="5" t="str">
        <f>ContinuousStatsTable[[#This Row],[ProjectName]]&amp;ContinuousStatsTable[[#This Row],[Name]]&amp;ContinuousStatsTable[[#This Row],[Type]]&amp;ContinuousStatsTable[[#This Row],[Source]]</f>
        <v>Unnamed ProjectM1.QNumber WaitingQueue</v>
      </c>
      <c r="N193" s="5" cm="1">
        <f t="array" ref="N193">MAX(IF((ProjectInfoTable[ProjectName]=ContinuousStatsTable[[#This Row],[ProjectName]]),(ProjectInfoTable[ProjectName]=ContinuousStatsTable[[#This Row],[ProjectName]])*ProjectInfoTable[NumberOfReplications]))</f>
        <v>10</v>
      </c>
      <c r="O193" s="5" cm="1">
        <f t="array" ref="O193">IFERROR(AVERAGE(IF((ContinuousStatsTable[GroupByKey]=ContinuousStatsTable[[#This Row],[GroupByKey]]),(ContinuousStatsTable[GroupByKey]=ContinuousStatsTable[[#This Row],[GroupByKey]])*ContinuousStatsTable[Average])),0)</f>
        <v>8.2638825969756052E-2</v>
      </c>
      <c r="P193" s="5" cm="1">
        <f t="array" ref="P193">IFERROR(_xlfn.STDEV.S(IF((ContinuousStatsTable[GroupByKey]=ContinuousStatsTable[[#This Row],[GroupByKey]]),(ContinuousStatsTable[GroupByKey]=ContinuousStatsTable[[#This Row],[GroupByKey]])*ContinuousStatsTable[Average])),0)</f>
        <v>2.9983492659856659E-2</v>
      </c>
      <c r="Q193" s="5" cm="1">
        <f t="array" ref="Q193">MAX(IF((ProjectInfoTable[ProjectName]=ContinuousStatsTable[[#This Row],[ProjectName]]),(ProjectInfoTable[ProjectName]=ContinuousStatsTable[[#This Row],[ProjectName]])*ProjectInfoTable[ConfidenceInterval]))</f>
        <v>0.95</v>
      </c>
      <c r="R1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2.1448898539349195E-2</v>
      </c>
      <c r="S193" s="5" cm="1">
        <f t="array" ref="S193">MIN(IF((ContinuousStatsTable[GroupByKey]=ContinuousStatsTable[[#This Row],[GroupByKey]]),(ContinuousStatsTable[GroupByKey]=ContinuousStatsTable[[#This Row],[GroupByKey]])*ContinuousStatsTable[Average]))</f>
        <v>3.4990004496426703E-2</v>
      </c>
      <c r="T193" s="5" cm="1">
        <f t="array" ref="T193">MAX(IF((ContinuousStatsTable[GroupByKey]=ContinuousStatsTable[[#This Row],[GroupByKey]]),(ContinuousStatsTable[GroupByKey]=ContinuousStatsTable[[#This Row],[GroupByKey]])*ContinuousStatsTable[Average]))</f>
        <v>0.13146637852281401</v>
      </c>
      <c r="U193" s="5">
        <f>IF((ContinuousStatsTable[[#This Row],[RepsRequested]]&gt;1),ContinuousStatsTable[[#This Row],[HalfWidth]],ContinuousStatsTable[[#This Row],[BatchMeansHalfWidth]])</f>
        <v>2.1448898539349195E-2</v>
      </c>
    </row>
    <row r="194" spans="1:21" x14ac:dyDescent="0.4">
      <c r="A194" t="s">
        <v>66</v>
      </c>
      <c r="B194" t="s">
        <v>69</v>
      </c>
      <c r="C194">
        <v>8</v>
      </c>
      <c r="D194" t="s">
        <v>100</v>
      </c>
      <c r="E194" t="s">
        <v>96</v>
      </c>
      <c r="F194" t="s">
        <v>97</v>
      </c>
      <c r="G194">
        <v>0.83828275425939103</v>
      </c>
      <c r="H194">
        <v>2E+20</v>
      </c>
      <c r="I194">
        <v>0</v>
      </c>
      <c r="J194">
        <v>1</v>
      </c>
      <c r="K194">
        <v>1</v>
      </c>
      <c r="L194">
        <v>0</v>
      </c>
      <c r="M194" s="5" t="str">
        <f>ContinuousStatsTable[[#This Row],[ProjectName]]&amp;ContinuousStatsTable[[#This Row],[Name]]&amp;ContinuousStatsTable[[#This Row],[Type]]&amp;ContinuousStatsTable[[#This Row],[Source]]</f>
        <v>Unnamed ProjectM2Instantaneous UtilizationResource</v>
      </c>
      <c r="N194" s="5" cm="1">
        <f t="array" ref="N194">MAX(IF((ProjectInfoTable[ProjectName]=ContinuousStatsTable[[#This Row],[ProjectName]]),(ProjectInfoTable[ProjectName]=ContinuousStatsTable[[#This Row],[ProjectName]])*ProjectInfoTable[NumberOfReplications]))</f>
        <v>10</v>
      </c>
      <c r="O194" s="5" cm="1">
        <f t="array" ref="O194">IFERROR(AVERAGE(IF((ContinuousStatsTable[GroupByKey]=ContinuousStatsTable[[#This Row],[GroupByKey]]),(ContinuousStatsTable[GroupByKey]=ContinuousStatsTable[[#This Row],[GroupByKey]])*ContinuousStatsTable[Average])),0)</f>
        <v>0.79069410142096264</v>
      </c>
      <c r="P194" s="5" cm="1">
        <f t="array" ref="P194">IFERROR(_xlfn.STDEV.S(IF((ContinuousStatsTable[GroupByKey]=ContinuousStatsTable[[#This Row],[GroupByKey]]),(ContinuousStatsTable[GroupByKey]=ContinuousStatsTable[[#This Row],[GroupByKey]])*ContinuousStatsTable[Average])),0)</f>
        <v>8.4677985904895448E-2</v>
      </c>
      <c r="Q194" s="5" cm="1">
        <f t="array" ref="Q194">MAX(IF((ProjectInfoTable[ProjectName]=ContinuousStatsTable[[#This Row],[ProjectName]]),(ProjectInfoTable[ProjectName]=ContinuousStatsTable[[#This Row],[ProjectName]])*ProjectInfoTable[ConfidenceInterval]))</f>
        <v>0.95</v>
      </c>
      <c r="R1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6.0574982000753563E-2</v>
      </c>
      <c r="S194" s="5" cm="1">
        <f t="array" ref="S194">MIN(IF((ContinuousStatsTable[GroupByKey]=ContinuousStatsTable[[#This Row],[GroupByKey]]),(ContinuousStatsTable[GroupByKey]=ContinuousStatsTable[[#This Row],[GroupByKey]])*ContinuousStatsTable[Average]))</f>
        <v>0.62412916158771403</v>
      </c>
      <c r="T194" s="5" cm="1">
        <f t="array" ref="T194">MAX(IF((ContinuousStatsTable[GroupByKey]=ContinuousStatsTable[[#This Row],[GroupByKey]]),(ContinuousStatsTable[GroupByKey]=ContinuousStatsTable[[#This Row],[GroupByKey]])*ContinuousStatsTable[Average]))</f>
        <v>0.92247891730008102</v>
      </c>
      <c r="U194" s="5">
        <f>IF((ContinuousStatsTable[[#This Row],[RepsRequested]]&gt;1),ContinuousStatsTable[[#This Row],[HalfWidth]],ContinuousStatsTable[[#This Row],[BatchMeansHalfWidth]])</f>
        <v>6.0574982000753563E-2</v>
      </c>
    </row>
    <row r="195" spans="1:21" x14ac:dyDescent="0.4">
      <c r="A195" t="s">
        <v>66</v>
      </c>
      <c r="B195" t="s">
        <v>69</v>
      </c>
      <c r="C195">
        <v>8</v>
      </c>
      <c r="D195" t="s">
        <v>100</v>
      </c>
      <c r="E195" t="s">
        <v>98</v>
      </c>
      <c r="F195" t="s">
        <v>97</v>
      </c>
      <c r="G195">
        <v>0.83828275425939103</v>
      </c>
      <c r="H195">
        <v>2E+20</v>
      </c>
      <c r="I195">
        <v>0</v>
      </c>
      <c r="J195">
        <v>1</v>
      </c>
      <c r="K195">
        <v>1</v>
      </c>
      <c r="L195">
        <v>0</v>
      </c>
      <c r="M195" s="5" t="str">
        <f>ContinuousStatsTable[[#This Row],[ProjectName]]&amp;ContinuousStatsTable[[#This Row],[Name]]&amp;ContinuousStatsTable[[#This Row],[Type]]&amp;ContinuousStatsTable[[#This Row],[Source]]</f>
        <v>Unnamed ProjectM2Number BusyResource</v>
      </c>
      <c r="N195" s="5" cm="1">
        <f t="array" ref="N195">MAX(IF((ProjectInfoTable[ProjectName]=ContinuousStatsTable[[#This Row],[ProjectName]]),(ProjectInfoTable[ProjectName]=ContinuousStatsTable[[#This Row],[ProjectName]])*ProjectInfoTable[NumberOfReplications]))</f>
        <v>10</v>
      </c>
      <c r="O195" s="5" cm="1">
        <f t="array" ref="O195">IFERROR(AVERAGE(IF((ContinuousStatsTable[GroupByKey]=ContinuousStatsTable[[#This Row],[GroupByKey]]),(ContinuousStatsTable[GroupByKey]=ContinuousStatsTable[[#This Row],[GroupByKey]])*ContinuousStatsTable[Average])),0)</f>
        <v>0.79069410142096264</v>
      </c>
      <c r="P195" s="5" cm="1">
        <f t="array" ref="P195">IFERROR(_xlfn.STDEV.S(IF((ContinuousStatsTable[GroupByKey]=ContinuousStatsTable[[#This Row],[GroupByKey]]),(ContinuousStatsTable[GroupByKey]=ContinuousStatsTable[[#This Row],[GroupByKey]])*ContinuousStatsTable[Average])),0)</f>
        <v>8.4677985904895448E-2</v>
      </c>
      <c r="Q195" s="5" cm="1">
        <f t="array" ref="Q195">MAX(IF((ProjectInfoTable[ProjectName]=ContinuousStatsTable[[#This Row],[ProjectName]]),(ProjectInfoTable[ProjectName]=ContinuousStatsTable[[#This Row],[ProjectName]])*ProjectInfoTable[ConfidenceInterval]))</f>
        <v>0.95</v>
      </c>
      <c r="R1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6.0574982000753563E-2</v>
      </c>
      <c r="S195" s="5" cm="1">
        <f t="array" ref="S195">MIN(IF((ContinuousStatsTable[GroupByKey]=ContinuousStatsTable[[#This Row],[GroupByKey]]),(ContinuousStatsTable[GroupByKey]=ContinuousStatsTable[[#This Row],[GroupByKey]])*ContinuousStatsTable[Average]))</f>
        <v>0.62412916158771403</v>
      </c>
      <c r="T195" s="5" cm="1">
        <f t="array" ref="T195">MAX(IF((ContinuousStatsTable[GroupByKey]=ContinuousStatsTable[[#This Row],[GroupByKey]]),(ContinuousStatsTable[GroupByKey]=ContinuousStatsTable[[#This Row],[GroupByKey]])*ContinuousStatsTable[Average]))</f>
        <v>0.92247891730008102</v>
      </c>
      <c r="U195" s="5">
        <f>IF((ContinuousStatsTable[[#This Row],[RepsRequested]]&gt;1),ContinuousStatsTable[[#This Row],[HalfWidth]],ContinuousStatsTable[[#This Row],[BatchMeansHalfWidth]])</f>
        <v>6.0574982000753563E-2</v>
      </c>
    </row>
    <row r="196" spans="1:21" x14ac:dyDescent="0.4">
      <c r="A196" t="s">
        <v>66</v>
      </c>
      <c r="B196" t="s">
        <v>69</v>
      </c>
      <c r="C196">
        <v>8</v>
      </c>
      <c r="D196" t="s">
        <v>100</v>
      </c>
      <c r="E196" t="s">
        <v>99</v>
      </c>
      <c r="F196" t="s">
        <v>97</v>
      </c>
      <c r="G196">
        <v>1</v>
      </c>
      <c r="H196">
        <v>2E+20</v>
      </c>
      <c r="I196">
        <v>1</v>
      </c>
      <c r="J196">
        <v>1</v>
      </c>
      <c r="K196">
        <v>1</v>
      </c>
      <c r="L196">
        <v>0</v>
      </c>
      <c r="M196" s="5" t="str">
        <f>ContinuousStatsTable[[#This Row],[ProjectName]]&amp;ContinuousStatsTable[[#This Row],[Name]]&amp;ContinuousStatsTable[[#This Row],[Type]]&amp;ContinuousStatsTable[[#This Row],[Source]]</f>
        <v>Unnamed ProjectM2Number ScheduledResource</v>
      </c>
      <c r="N196" s="5" cm="1">
        <f t="array" ref="N196">MAX(IF((ProjectInfoTable[ProjectName]=ContinuousStatsTable[[#This Row],[ProjectName]]),(ProjectInfoTable[ProjectName]=ContinuousStatsTable[[#This Row],[ProjectName]])*ProjectInfoTable[NumberOfReplications]))</f>
        <v>10</v>
      </c>
      <c r="O196" s="5" cm="1">
        <f t="array" ref="O196">IFERROR(AVERAGE(IF((ContinuousStatsTable[GroupByKey]=ContinuousStatsTable[[#This Row],[GroupByKey]]),(ContinuousStatsTable[GroupByKey]=ContinuousStatsTable[[#This Row],[GroupByKey]])*ContinuousStatsTable[Average])),0)</f>
        <v>1</v>
      </c>
      <c r="P196" s="5" cm="1">
        <f t="array" ref="P196">IFERROR(_xlfn.STDEV.S(IF((ContinuousStatsTable[GroupByKey]=ContinuousStatsTable[[#This Row],[GroupByKey]]),(ContinuousStatsTable[GroupByKey]=ContinuousStatsTable[[#This Row],[GroupByKey]])*ContinuousStatsTable[Average])),0)</f>
        <v>0</v>
      </c>
      <c r="Q196" s="5" cm="1">
        <f t="array" ref="Q196">MAX(IF((ProjectInfoTable[ProjectName]=ContinuousStatsTable[[#This Row],[ProjectName]]),(ProjectInfoTable[ProjectName]=ContinuousStatsTable[[#This Row],[ProjectName]])*ProjectInfoTable[ConfidenceInterval]))</f>
        <v>0.95</v>
      </c>
      <c r="R1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6" s="5" cm="1">
        <f t="array" ref="S196">MIN(IF((ContinuousStatsTable[GroupByKey]=ContinuousStatsTable[[#This Row],[GroupByKey]]),(ContinuousStatsTable[GroupByKey]=ContinuousStatsTable[[#This Row],[GroupByKey]])*ContinuousStatsTable[Average]))</f>
        <v>1</v>
      </c>
      <c r="T196" s="5" cm="1">
        <f t="array" ref="T196">MAX(IF((ContinuousStatsTable[GroupByKey]=ContinuousStatsTable[[#This Row],[GroupByKey]]),(ContinuousStatsTable[GroupByKey]=ContinuousStatsTable[[#This Row],[GroupByKey]])*ContinuousStatsTable[Average]))</f>
        <v>1</v>
      </c>
      <c r="U196" s="5">
        <f>IF((ContinuousStatsTable[[#This Row],[RepsRequested]]&gt;1),ContinuousStatsTable[[#This Row],[HalfWidth]],ContinuousStatsTable[[#This Row],[BatchMeansHalfWidth]])</f>
        <v>0</v>
      </c>
    </row>
    <row r="197" spans="1:21" x14ac:dyDescent="0.4">
      <c r="A197" t="s">
        <v>66</v>
      </c>
      <c r="B197" t="s">
        <v>69</v>
      </c>
      <c r="C197">
        <v>8</v>
      </c>
      <c r="D197" t="s">
        <v>86</v>
      </c>
      <c r="E197" t="s">
        <v>94</v>
      </c>
      <c r="F197" t="s">
        <v>80</v>
      </c>
      <c r="G197">
        <v>3.43785650987471</v>
      </c>
      <c r="H197">
        <v>2E+20</v>
      </c>
      <c r="I197">
        <v>0</v>
      </c>
      <c r="J197">
        <v>12</v>
      </c>
      <c r="K197">
        <v>2</v>
      </c>
      <c r="L197">
        <v>0</v>
      </c>
      <c r="M197" s="5" t="str">
        <f>ContinuousStatsTable[[#This Row],[ProjectName]]&amp;ContinuousStatsTable[[#This Row],[Name]]&amp;ContinuousStatsTable[[#This Row],[Type]]&amp;ContinuousStatsTable[[#This Row],[Source]]</f>
        <v>Unnamed ProjectM2.QNumber WaitingQueue</v>
      </c>
      <c r="N197" s="5" cm="1">
        <f t="array" ref="N197">MAX(IF((ProjectInfoTable[ProjectName]=ContinuousStatsTable[[#This Row],[ProjectName]]),(ProjectInfoTable[ProjectName]=ContinuousStatsTable[[#This Row],[ProjectName]])*ProjectInfoTable[NumberOfReplications]))</f>
        <v>10</v>
      </c>
      <c r="O197" s="5" cm="1">
        <f t="array" ref="O197">IFERROR(AVERAGE(IF((ContinuousStatsTable[GroupByKey]=ContinuousStatsTable[[#This Row],[GroupByKey]]),(ContinuousStatsTable[GroupByKey]=ContinuousStatsTable[[#This Row],[GroupByKey]])*ContinuousStatsTable[Average])),0)</f>
        <v>1.9414248775037748</v>
      </c>
      <c r="P197" s="5" cm="1">
        <f t="array" ref="P197">IFERROR(_xlfn.STDEV.S(IF((ContinuousStatsTable[GroupByKey]=ContinuousStatsTable[[#This Row],[GroupByKey]]),(ContinuousStatsTable[GroupByKey]=ContinuousStatsTable[[#This Row],[GroupByKey]])*ContinuousStatsTable[Average])),0)</f>
        <v>1.0999712931753487</v>
      </c>
      <c r="Q197" s="5" cm="1">
        <f t="array" ref="Q197">MAX(IF((ProjectInfoTable[ProjectName]=ContinuousStatsTable[[#This Row],[ProjectName]]),(ProjectInfoTable[ProjectName]=ContinuousStatsTable[[#This Row],[ProjectName]])*ProjectInfoTable[ConfidenceInterval]))</f>
        <v>0.95</v>
      </c>
      <c r="R1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0.78687206094246831</v>
      </c>
      <c r="S197" s="5" cm="1">
        <f t="array" ref="S197">MIN(IF((ContinuousStatsTable[GroupByKey]=ContinuousStatsTable[[#This Row],[GroupByKey]]),(ContinuousStatsTable[GroupByKey]=ContinuousStatsTable[[#This Row],[GroupByKey]])*ContinuousStatsTable[Average]))</f>
        <v>0.64368437614034602</v>
      </c>
      <c r="T197" s="5" cm="1">
        <f t="array" ref="T197">MAX(IF((ContinuousStatsTable[GroupByKey]=ContinuousStatsTable[[#This Row],[GroupByKey]]),(ContinuousStatsTable[GroupByKey]=ContinuousStatsTable[[#This Row],[GroupByKey]])*ContinuousStatsTable[Average]))</f>
        <v>3.96038812902029</v>
      </c>
      <c r="U197" s="5">
        <f>IF((ContinuousStatsTable[[#This Row],[RepsRequested]]&gt;1),ContinuousStatsTable[[#This Row],[HalfWidth]],ContinuousStatsTable[[#This Row],[BatchMeansHalfWidth]])</f>
        <v>0.78687206094246831</v>
      </c>
    </row>
    <row r="198" spans="1:21" x14ac:dyDescent="0.4">
      <c r="A198" t="s">
        <v>66</v>
      </c>
      <c r="B198" t="s">
        <v>69</v>
      </c>
      <c r="C198">
        <v>8</v>
      </c>
      <c r="D198" t="s">
        <v>101</v>
      </c>
      <c r="E198" t="s">
        <v>96</v>
      </c>
      <c r="F198" t="s">
        <v>97</v>
      </c>
      <c r="G198">
        <v>0.405961415248211</v>
      </c>
      <c r="H198">
        <v>4.6584393890820003E-2</v>
      </c>
      <c r="I198">
        <v>0</v>
      </c>
      <c r="J198">
        <v>1</v>
      </c>
      <c r="K198">
        <v>0.5</v>
      </c>
      <c r="L198">
        <v>0</v>
      </c>
      <c r="M198" s="5" t="str">
        <f>ContinuousStatsTable[[#This Row],[ProjectName]]&amp;ContinuousStatsTable[[#This Row],[Name]]&amp;ContinuousStatsTable[[#This Row],[Type]]&amp;ContinuousStatsTable[[#This Row],[Source]]</f>
        <v>Unnamed ProjectM3Instantaneous UtilizationResource</v>
      </c>
      <c r="N198" s="5" cm="1">
        <f t="array" ref="N198">MAX(IF((ProjectInfoTable[ProjectName]=ContinuousStatsTable[[#This Row],[ProjectName]]),(ProjectInfoTable[ProjectName]=ContinuousStatsTable[[#This Row],[ProjectName]])*ProjectInfoTable[NumberOfReplications]))</f>
        <v>10</v>
      </c>
      <c r="O198" s="5" cm="1">
        <f t="array" ref="O198">IFERROR(AVERAGE(IF((ContinuousStatsTable[GroupByKey]=ContinuousStatsTable[[#This Row],[GroupByKey]]),(ContinuousStatsTable[GroupByKey]=ContinuousStatsTable[[#This Row],[GroupByKey]])*ContinuousStatsTable[Average])),0)</f>
        <v>0.38204498745219106</v>
      </c>
      <c r="P198" s="5" cm="1">
        <f t="array" ref="P198">IFERROR(_xlfn.STDEV.S(IF((ContinuousStatsTable[GroupByKey]=ContinuousStatsTable[[#This Row],[GroupByKey]]),(ContinuousStatsTable[GroupByKey]=ContinuousStatsTable[[#This Row],[GroupByKey]])*ContinuousStatsTable[Average])),0)</f>
        <v>2.9603647703352595E-2</v>
      </c>
      <c r="Q198" s="5" cm="1">
        <f t="array" ref="Q198">MAX(IF((ProjectInfoTable[ProjectName]=ContinuousStatsTable[[#This Row],[ProjectName]]),(ProjectInfoTable[ProjectName]=ContinuousStatsTable[[#This Row],[ProjectName]])*ProjectInfoTable[ConfidenceInterval]))</f>
        <v>0.95</v>
      </c>
      <c r="R1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2.1177173826515884E-2</v>
      </c>
      <c r="S198" s="5" cm="1">
        <f t="array" ref="S198">MIN(IF((ContinuousStatsTable[GroupByKey]=ContinuousStatsTable[[#This Row],[GroupByKey]]),(ContinuousStatsTable[GroupByKey]=ContinuousStatsTable[[#This Row],[GroupByKey]])*ContinuousStatsTable[Average]))</f>
        <v>0.32566726436532201</v>
      </c>
      <c r="T198" s="5" cm="1">
        <f t="array" ref="T198">MAX(IF((ContinuousStatsTable[GroupByKey]=ContinuousStatsTable[[#This Row],[GroupByKey]]),(ContinuousStatsTable[GroupByKey]=ContinuousStatsTable[[#This Row],[GroupByKey]])*ContinuousStatsTable[Average]))</f>
        <v>0.42511230467838501</v>
      </c>
      <c r="U198" s="5">
        <f>IF((ContinuousStatsTable[[#This Row],[RepsRequested]]&gt;1),ContinuousStatsTable[[#This Row],[HalfWidth]],ContinuousStatsTable[[#This Row],[BatchMeansHalfWidth]])</f>
        <v>2.1177173826515884E-2</v>
      </c>
    </row>
    <row r="199" spans="1:21" x14ac:dyDescent="0.4">
      <c r="A199" t="s">
        <v>66</v>
      </c>
      <c r="B199" t="s">
        <v>69</v>
      </c>
      <c r="C199">
        <v>8</v>
      </c>
      <c r="D199" t="s">
        <v>101</v>
      </c>
      <c r="E199" t="s">
        <v>98</v>
      </c>
      <c r="F199" t="s">
        <v>97</v>
      </c>
      <c r="G199">
        <v>0.811922830496421</v>
      </c>
      <c r="H199">
        <v>9.3168787781639895E-2</v>
      </c>
      <c r="I199">
        <v>0</v>
      </c>
      <c r="J199">
        <v>2</v>
      </c>
      <c r="K199">
        <v>1</v>
      </c>
      <c r="L199">
        <v>0</v>
      </c>
      <c r="M199" s="5" t="str">
        <f>ContinuousStatsTable[[#This Row],[ProjectName]]&amp;ContinuousStatsTable[[#This Row],[Name]]&amp;ContinuousStatsTable[[#This Row],[Type]]&amp;ContinuousStatsTable[[#This Row],[Source]]</f>
        <v>Unnamed ProjectM3Number BusyResource</v>
      </c>
      <c r="N199" s="5" cm="1">
        <f t="array" ref="N199">MAX(IF((ProjectInfoTable[ProjectName]=ContinuousStatsTable[[#This Row],[ProjectName]]),(ProjectInfoTable[ProjectName]=ContinuousStatsTable[[#This Row],[ProjectName]])*ProjectInfoTable[NumberOfReplications]))</f>
        <v>10</v>
      </c>
      <c r="O199" s="5" cm="1">
        <f t="array" ref="O199">IFERROR(AVERAGE(IF((ContinuousStatsTable[GroupByKey]=ContinuousStatsTable[[#This Row],[GroupByKey]]),(ContinuousStatsTable[GroupByKey]=ContinuousStatsTable[[#This Row],[GroupByKey]])*ContinuousStatsTable[Average])),0)</f>
        <v>0.76408997490438202</v>
      </c>
      <c r="P199" s="5" cm="1">
        <f t="array" ref="P199">IFERROR(_xlfn.STDEV.S(IF((ContinuousStatsTable[GroupByKey]=ContinuousStatsTable[[#This Row],[GroupByKey]]),(ContinuousStatsTable[GroupByKey]=ContinuousStatsTable[[#This Row],[GroupByKey]])*ContinuousStatsTable[Average])),0)</f>
        <v>5.9207295406705232E-2</v>
      </c>
      <c r="Q199" s="5" cm="1">
        <f t="array" ref="Q199">MAX(IF((ProjectInfoTable[ProjectName]=ContinuousStatsTable[[#This Row],[ProjectName]]),(ProjectInfoTable[ProjectName]=ContinuousStatsTable[[#This Row],[ProjectName]])*ProjectInfoTable[ConfidenceInterval]))</f>
        <v>0.95</v>
      </c>
      <c r="R1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4.2354347653031796E-2</v>
      </c>
      <c r="S199" s="5" cm="1">
        <f t="array" ref="S199">MIN(IF((ContinuousStatsTable[GroupByKey]=ContinuousStatsTable[[#This Row],[GroupByKey]]),(ContinuousStatsTable[GroupByKey]=ContinuousStatsTable[[#This Row],[GroupByKey]])*ContinuousStatsTable[Average]))</f>
        <v>0.65133452873064301</v>
      </c>
      <c r="T199" s="5" cm="1">
        <f t="array" ref="T199">MAX(IF((ContinuousStatsTable[GroupByKey]=ContinuousStatsTable[[#This Row],[GroupByKey]]),(ContinuousStatsTable[GroupByKey]=ContinuousStatsTable[[#This Row],[GroupByKey]])*ContinuousStatsTable[Average]))</f>
        <v>0.85022460935677002</v>
      </c>
      <c r="U199" s="5">
        <f>IF((ContinuousStatsTable[[#This Row],[RepsRequested]]&gt;1),ContinuousStatsTable[[#This Row],[HalfWidth]],ContinuousStatsTable[[#This Row],[BatchMeansHalfWidth]])</f>
        <v>4.2354347653031796E-2</v>
      </c>
    </row>
    <row r="200" spans="1:21" x14ac:dyDescent="0.4">
      <c r="A200" t="s">
        <v>66</v>
      </c>
      <c r="B200" t="s">
        <v>69</v>
      </c>
      <c r="C200">
        <v>8</v>
      </c>
      <c r="D200" t="s">
        <v>101</v>
      </c>
      <c r="E200" t="s">
        <v>99</v>
      </c>
      <c r="F200" t="s">
        <v>97</v>
      </c>
      <c r="G200">
        <v>2</v>
      </c>
      <c r="H200">
        <v>2E+20</v>
      </c>
      <c r="I200">
        <v>2</v>
      </c>
      <c r="J200">
        <v>2</v>
      </c>
      <c r="K200">
        <v>2</v>
      </c>
      <c r="L200">
        <v>0</v>
      </c>
      <c r="M200" s="5" t="str">
        <f>ContinuousStatsTable[[#This Row],[ProjectName]]&amp;ContinuousStatsTable[[#This Row],[Name]]&amp;ContinuousStatsTable[[#This Row],[Type]]&amp;ContinuousStatsTable[[#This Row],[Source]]</f>
        <v>Unnamed ProjectM3Number ScheduledResource</v>
      </c>
      <c r="N200" s="5" cm="1">
        <f t="array" ref="N200">MAX(IF((ProjectInfoTable[ProjectName]=ContinuousStatsTable[[#This Row],[ProjectName]]),(ProjectInfoTable[ProjectName]=ContinuousStatsTable[[#This Row],[ProjectName]])*ProjectInfoTable[NumberOfReplications]))</f>
        <v>10</v>
      </c>
      <c r="O200" s="5" cm="1">
        <f t="array" ref="O200">IFERROR(AVERAGE(IF((ContinuousStatsTable[GroupByKey]=ContinuousStatsTable[[#This Row],[GroupByKey]]),(ContinuousStatsTable[GroupByKey]=ContinuousStatsTable[[#This Row],[GroupByKey]])*ContinuousStatsTable[Average])),0)</f>
        <v>2</v>
      </c>
      <c r="P200" s="5" cm="1">
        <f t="array" ref="P200">IFERROR(_xlfn.STDEV.S(IF((ContinuousStatsTable[GroupByKey]=ContinuousStatsTable[[#This Row],[GroupByKey]]),(ContinuousStatsTable[GroupByKey]=ContinuousStatsTable[[#This Row],[GroupByKey]])*ContinuousStatsTable[Average])),0)</f>
        <v>0</v>
      </c>
      <c r="Q200" s="5" cm="1">
        <f t="array" ref="Q200">MAX(IF((ProjectInfoTable[ProjectName]=ContinuousStatsTable[[#This Row],[ProjectName]]),(ProjectInfoTable[ProjectName]=ContinuousStatsTable[[#This Row],[ProjectName]])*ProjectInfoTable[ConfidenceInterval]))</f>
        <v>0.95</v>
      </c>
      <c r="R2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0" s="5" cm="1">
        <f t="array" ref="S200">MIN(IF((ContinuousStatsTable[GroupByKey]=ContinuousStatsTable[[#This Row],[GroupByKey]]),(ContinuousStatsTable[GroupByKey]=ContinuousStatsTable[[#This Row],[GroupByKey]])*ContinuousStatsTable[Average]))</f>
        <v>2</v>
      </c>
      <c r="T200" s="5" cm="1">
        <f t="array" ref="T200">MAX(IF((ContinuousStatsTable[GroupByKey]=ContinuousStatsTable[[#This Row],[GroupByKey]]),(ContinuousStatsTable[GroupByKey]=ContinuousStatsTable[[#This Row],[GroupByKey]])*ContinuousStatsTable[Average]))</f>
        <v>2</v>
      </c>
      <c r="U200" s="5">
        <f>IF((ContinuousStatsTable[[#This Row],[RepsRequested]]&gt;1),ContinuousStatsTable[[#This Row],[HalfWidth]],ContinuousStatsTable[[#This Row],[BatchMeansHalfWidth]])</f>
        <v>0</v>
      </c>
    </row>
    <row r="201" spans="1:21" x14ac:dyDescent="0.4">
      <c r="A201" t="s">
        <v>66</v>
      </c>
      <c r="B201" t="s">
        <v>69</v>
      </c>
      <c r="C201">
        <v>8</v>
      </c>
      <c r="D201" t="s">
        <v>87</v>
      </c>
      <c r="E201" t="s">
        <v>94</v>
      </c>
      <c r="F201" t="s">
        <v>80</v>
      </c>
      <c r="G201">
        <v>3.2548181546733397E-2</v>
      </c>
      <c r="H201">
        <v>2E+20</v>
      </c>
      <c r="I201">
        <v>0</v>
      </c>
      <c r="J201">
        <v>2</v>
      </c>
      <c r="K201">
        <v>0</v>
      </c>
      <c r="L201">
        <v>0</v>
      </c>
      <c r="M201" s="5" t="str">
        <f>ContinuousStatsTable[[#This Row],[ProjectName]]&amp;ContinuousStatsTable[[#This Row],[Name]]&amp;ContinuousStatsTable[[#This Row],[Type]]&amp;ContinuousStatsTable[[#This Row],[Source]]</f>
        <v>Unnamed ProjectM3.QNumber WaitingQueue</v>
      </c>
      <c r="N201" s="5" cm="1">
        <f t="array" ref="N201">MAX(IF((ProjectInfoTable[ProjectName]=ContinuousStatsTable[[#This Row],[ProjectName]]),(ProjectInfoTable[ProjectName]=ContinuousStatsTable[[#This Row],[ProjectName]])*ProjectInfoTable[NumberOfReplications]))</f>
        <v>10</v>
      </c>
      <c r="O201" s="5" cm="1">
        <f t="array" ref="O201">IFERROR(AVERAGE(IF((ContinuousStatsTable[GroupByKey]=ContinuousStatsTable[[#This Row],[GroupByKey]]),(ContinuousStatsTable[GroupByKey]=ContinuousStatsTable[[#This Row],[GroupByKey]])*ContinuousStatsTable[Average])),0)</f>
        <v>2.5183140573256935E-2</v>
      </c>
      <c r="P201" s="5" cm="1">
        <f t="array" ref="P201">IFERROR(_xlfn.STDEV.S(IF((ContinuousStatsTable[GroupByKey]=ContinuousStatsTable[[#This Row],[GroupByKey]]),(ContinuousStatsTable[GroupByKey]=ContinuousStatsTable[[#This Row],[GroupByKey]])*ContinuousStatsTable[Average])),0)</f>
        <v>6.5933898933538881E-3</v>
      </c>
      <c r="Q201" s="5" cm="1">
        <f t="array" ref="Q201">MAX(IF((ProjectInfoTable[ProjectName]=ContinuousStatsTable[[#This Row],[ProjectName]]),(ProjectInfoTable[ProjectName]=ContinuousStatsTable[[#This Row],[ProjectName]])*ProjectInfoTable[ConfidenceInterval]))</f>
        <v>0.95</v>
      </c>
      <c r="R2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4.7166269939678878E-3</v>
      </c>
      <c r="S201" s="5" cm="1">
        <f t="array" ref="S201">MIN(IF((ContinuousStatsTable[GroupByKey]=ContinuousStatsTable[[#This Row],[GroupByKey]]),(ContinuousStatsTable[GroupByKey]=ContinuousStatsTable[[#This Row],[GroupByKey]])*ContinuousStatsTable[Average]))</f>
        <v>1.7183032756251101E-2</v>
      </c>
      <c r="T201" s="5" cm="1">
        <f t="array" ref="T201">MAX(IF((ContinuousStatsTable[GroupByKey]=ContinuousStatsTable[[#This Row],[GroupByKey]]),(ContinuousStatsTable[GroupByKey]=ContinuousStatsTable[[#This Row],[GroupByKey]])*ContinuousStatsTable[Average]))</f>
        <v>3.3093677405251203E-2</v>
      </c>
      <c r="U201" s="5">
        <f>IF((ContinuousStatsTable[[#This Row],[RepsRequested]]&gt;1),ContinuousStatsTable[[#This Row],[HalfWidth]],ContinuousStatsTable[[#This Row],[BatchMeansHalfWidth]])</f>
        <v>4.7166269939678878E-3</v>
      </c>
    </row>
    <row r="202" spans="1:21" x14ac:dyDescent="0.4">
      <c r="A202" t="s">
        <v>66</v>
      </c>
      <c r="B202" t="s">
        <v>69</v>
      </c>
      <c r="C202">
        <v>8</v>
      </c>
      <c r="D202" t="s">
        <v>102</v>
      </c>
      <c r="E202" t="s">
        <v>96</v>
      </c>
      <c r="F202" t="s">
        <v>97</v>
      </c>
      <c r="G202">
        <v>0.71980118711186403</v>
      </c>
      <c r="H202">
        <v>2E+20</v>
      </c>
      <c r="I202">
        <v>0</v>
      </c>
      <c r="J202">
        <v>1</v>
      </c>
      <c r="K202">
        <v>0</v>
      </c>
      <c r="L202">
        <v>0</v>
      </c>
      <c r="M202" s="5" t="str">
        <f>ContinuousStatsTable[[#This Row],[ProjectName]]&amp;ContinuousStatsTable[[#This Row],[Name]]&amp;ContinuousStatsTable[[#This Row],[Type]]&amp;ContinuousStatsTable[[#This Row],[Source]]</f>
        <v>Unnamed ProjectM4Instantaneous UtilizationResource</v>
      </c>
      <c r="N202" s="5" cm="1">
        <f t="array" ref="N202">MAX(IF((ProjectInfoTable[ProjectName]=ContinuousStatsTable[[#This Row],[ProjectName]]),(ProjectInfoTable[ProjectName]=ContinuousStatsTable[[#This Row],[ProjectName]])*ProjectInfoTable[NumberOfReplications]))</f>
        <v>10</v>
      </c>
      <c r="O202" s="5" cm="1">
        <f t="array" ref="O202">IFERROR(AVERAGE(IF((ContinuousStatsTable[GroupByKey]=ContinuousStatsTable[[#This Row],[GroupByKey]]),(ContinuousStatsTable[GroupByKey]=ContinuousStatsTable[[#This Row],[GroupByKey]])*ContinuousStatsTable[Average])),0)</f>
        <v>0.68948907951108873</v>
      </c>
      <c r="P202" s="5" cm="1">
        <f t="array" ref="P202">IFERROR(_xlfn.STDEV.S(IF((ContinuousStatsTable[GroupByKey]=ContinuousStatsTable[[#This Row],[GroupByKey]]),(ContinuousStatsTable[GroupByKey]=ContinuousStatsTable[[#This Row],[GroupByKey]])*ContinuousStatsTable[Average])),0)</f>
        <v>7.0099805521104841E-2</v>
      </c>
      <c r="Q202" s="5" cm="1">
        <f t="array" ref="Q202">MAX(IF((ProjectInfoTable[ProjectName]=ContinuousStatsTable[[#This Row],[ProjectName]]),(ProjectInfoTable[ProjectName]=ContinuousStatsTable[[#This Row],[ProjectName]])*ProjectInfoTable[ConfidenceInterval]))</f>
        <v>0.95</v>
      </c>
      <c r="R2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5.0146379986722875E-2</v>
      </c>
      <c r="S202" s="5" cm="1">
        <f t="array" ref="S202">MIN(IF((ContinuousStatsTable[GroupByKey]=ContinuousStatsTable[[#This Row],[GroupByKey]]),(ContinuousStatsTable[GroupByKey]=ContinuousStatsTable[[#This Row],[GroupByKey]])*ContinuousStatsTable[Average]))</f>
        <v>0.59708526729729605</v>
      </c>
      <c r="T202" s="5" cm="1">
        <f t="array" ref="T202">MAX(IF((ContinuousStatsTable[GroupByKey]=ContinuousStatsTable[[#This Row],[GroupByKey]]),(ContinuousStatsTable[GroupByKey]=ContinuousStatsTable[[#This Row],[GroupByKey]])*ContinuousStatsTable[Average]))</f>
        <v>0.81511052462014799</v>
      </c>
      <c r="U202" s="5">
        <f>IF((ContinuousStatsTable[[#This Row],[RepsRequested]]&gt;1),ContinuousStatsTable[[#This Row],[HalfWidth]],ContinuousStatsTable[[#This Row],[BatchMeansHalfWidth]])</f>
        <v>5.0146379986722875E-2</v>
      </c>
    </row>
    <row r="203" spans="1:21" x14ac:dyDescent="0.4">
      <c r="A203" t="s">
        <v>66</v>
      </c>
      <c r="B203" t="s">
        <v>69</v>
      </c>
      <c r="C203">
        <v>8</v>
      </c>
      <c r="D203" t="s">
        <v>102</v>
      </c>
      <c r="E203" t="s">
        <v>98</v>
      </c>
      <c r="F203" t="s">
        <v>97</v>
      </c>
      <c r="G203">
        <v>0.71980118711186403</v>
      </c>
      <c r="H203">
        <v>2E+20</v>
      </c>
      <c r="I203">
        <v>0</v>
      </c>
      <c r="J203">
        <v>1</v>
      </c>
      <c r="K203">
        <v>0</v>
      </c>
      <c r="L203">
        <v>0</v>
      </c>
      <c r="M203" s="5" t="str">
        <f>ContinuousStatsTable[[#This Row],[ProjectName]]&amp;ContinuousStatsTable[[#This Row],[Name]]&amp;ContinuousStatsTable[[#This Row],[Type]]&amp;ContinuousStatsTable[[#This Row],[Source]]</f>
        <v>Unnamed ProjectM4Number BusyResource</v>
      </c>
      <c r="N203" s="5" cm="1">
        <f t="array" ref="N203">MAX(IF((ProjectInfoTable[ProjectName]=ContinuousStatsTable[[#This Row],[ProjectName]]),(ProjectInfoTable[ProjectName]=ContinuousStatsTable[[#This Row],[ProjectName]])*ProjectInfoTable[NumberOfReplications]))</f>
        <v>10</v>
      </c>
      <c r="O203" s="5" cm="1">
        <f t="array" ref="O203">IFERROR(AVERAGE(IF((ContinuousStatsTable[GroupByKey]=ContinuousStatsTable[[#This Row],[GroupByKey]]),(ContinuousStatsTable[GroupByKey]=ContinuousStatsTable[[#This Row],[GroupByKey]])*ContinuousStatsTable[Average])),0)</f>
        <v>0.68948907951108873</v>
      </c>
      <c r="P203" s="5" cm="1">
        <f t="array" ref="P203">IFERROR(_xlfn.STDEV.S(IF((ContinuousStatsTable[GroupByKey]=ContinuousStatsTable[[#This Row],[GroupByKey]]),(ContinuousStatsTable[GroupByKey]=ContinuousStatsTable[[#This Row],[GroupByKey]])*ContinuousStatsTable[Average])),0)</f>
        <v>7.0099805521104841E-2</v>
      </c>
      <c r="Q203" s="5" cm="1">
        <f t="array" ref="Q203">MAX(IF((ProjectInfoTable[ProjectName]=ContinuousStatsTable[[#This Row],[ProjectName]]),(ProjectInfoTable[ProjectName]=ContinuousStatsTable[[#This Row],[ProjectName]])*ProjectInfoTable[ConfidenceInterval]))</f>
        <v>0.95</v>
      </c>
      <c r="R2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5.0146379986722875E-2</v>
      </c>
      <c r="S203" s="5" cm="1">
        <f t="array" ref="S203">MIN(IF((ContinuousStatsTable[GroupByKey]=ContinuousStatsTable[[#This Row],[GroupByKey]]),(ContinuousStatsTable[GroupByKey]=ContinuousStatsTable[[#This Row],[GroupByKey]])*ContinuousStatsTable[Average]))</f>
        <v>0.59708526729729605</v>
      </c>
      <c r="T203" s="5" cm="1">
        <f t="array" ref="T203">MAX(IF((ContinuousStatsTable[GroupByKey]=ContinuousStatsTable[[#This Row],[GroupByKey]]),(ContinuousStatsTable[GroupByKey]=ContinuousStatsTable[[#This Row],[GroupByKey]])*ContinuousStatsTable[Average]))</f>
        <v>0.81511052462014799</v>
      </c>
      <c r="U203" s="5">
        <f>IF((ContinuousStatsTable[[#This Row],[RepsRequested]]&gt;1),ContinuousStatsTable[[#This Row],[HalfWidth]],ContinuousStatsTable[[#This Row],[BatchMeansHalfWidth]])</f>
        <v>5.0146379986722875E-2</v>
      </c>
    </row>
    <row r="204" spans="1:21" x14ac:dyDescent="0.4">
      <c r="A204" t="s">
        <v>66</v>
      </c>
      <c r="B204" t="s">
        <v>69</v>
      </c>
      <c r="C204">
        <v>8</v>
      </c>
      <c r="D204" t="s">
        <v>102</v>
      </c>
      <c r="E204" t="s">
        <v>99</v>
      </c>
      <c r="F204" t="s">
        <v>97</v>
      </c>
      <c r="G204">
        <v>1</v>
      </c>
      <c r="H204">
        <v>2E+20</v>
      </c>
      <c r="I204">
        <v>1</v>
      </c>
      <c r="J204">
        <v>1</v>
      </c>
      <c r="K204">
        <v>1</v>
      </c>
      <c r="L204">
        <v>0</v>
      </c>
      <c r="M204" s="5" t="str">
        <f>ContinuousStatsTable[[#This Row],[ProjectName]]&amp;ContinuousStatsTable[[#This Row],[Name]]&amp;ContinuousStatsTable[[#This Row],[Type]]&amp;ContinuousStatsTable[[#This Row],[Source]]</f>
        <v>Unnamed ProjectM4Number ScheduledResource</v>
      </c>
      <c r="N204" s="5" cm="1">
        <f t="array" ref="N204">MAX(IF((ProjectInfoTable[ProjectName]=ContinuousStatsTable[[#This Row],[ProjectName]]),(ProjectInfoTable[ProjectName]=ContinuousStatsTable[[#This Row],[ProjectName]])*ProjectInfoTable[NumberOfReplications]))</f>
        <v>10</v>
      </c>
      <c r="O204" s="5" cm="1">
        <f t="array" ref="O204">IFERROR(AVERAGE(IF((ContinuousStatsTable[GroupByKey]=ContinuousStatsTable[[#This Row],[GroupByKey]]),(ContinuousStatsTable[GroupByKey]=ContinuousStatsTable[[#This Row],[GroupByKey]])*ContinuousStatsTable[Average])),0)</f>
        <v>1</v>
      </c>
      <c r="P204" s="5" cm="1">
        <f t="array" ref="P204">IFERROR(_xlfn.STDEV.S(IF((ContinuousStatsTable[GroupByKey]=ContinuousStatsTable[[#This Row],[GroupByKey]]),(ContinuousStatsTable[GroupByKey]=ContinuousStatsTable[[#This Row],[GroupByKey]])*ContinuousStatsTable[Average])),0)</f>
        <v>0</v>
      </c>
      <c r="Q204" s="5" cm="1">
        <f t="array" ref="Q204">MAX(IF((ProjectInfoTable[ProjectName]=ContinuousStatsTable[[#This Row],[ProjectName]]),(ProjectInfoTable[ProjectName]=ContinuousStatsTable[[#This Row],[ProjectName]])*ProjectInfoTable[ConfidenceInterval]))</f>
        <v>0.95</v>
      </c>
      <c r="R2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4" s="5" cm="1">
        <f t="array" ref="S204">MIN(IF((ContinuousStatsTable[GroupByKey]=ContinuousStatsTable[[#This Row],[GroupByKey]]),(ContinuousStatsTable[GroupByKey]=ContinuousStatsTable[[#This Row],[GroupByKey]])*ContinuousStatsTable[Average]))</f>
        <v>1</v>
      </c>
      <c r="T204" s="5" cm="1">
        <f t="array" ref="T204">MAX(IF((ContinuousStatsTable[GroupByKey]=ContinuousStatsTable[[#This Row],[GroupByKey]]),(ContinuousStatsTable[GroupByKey]=ContinuousStatsTable[[#This Row],[GroupByKey]])*ContinuousStatsTable[Average]))</f>
        <v>1</v>
      </c>
      <c r="U204" s="5">
        <f>IF((ContinuousStatsTable[[#This Row],[RepsRequested]]&gt;1),ContinuousStatsTable[[#This Row],[HalfWidth]],ContinuousStatsTable[[#This Row],[BatchMeansHalfWidth]])</f>
        <v>0</v>
      </c>
    </row>
    <row r="205" spans="1:21" x14ac:dyDescent="0.4">
      <c r="A205" t="s">
        <v>66</v>
      </c>
      <c r="B205" t="s">
        <v>69</v>
      </c>
      <c r="C205">
        <v>8</v>
      </c>
      <c r="D205" t="s">
        <v>88</v>
      </c>
      <c r="E205" t="s">
        <v>94</v>
      </c>
      <c r="F205" t="s">
        <v>80</v>
      </c>
      <c r="G205">
        <v>0.77944367742144105</v>
      </c>
      <c r="H205">
        <v>2E+20</v>
      </c>
      <c r="I205">
        <v>0</v>
      </c>
      <c r="J205">
        <v>8</v>
      </c>
      <c r="K205">
        <v>0</v>
      </c>
      <c r="L205">
        <v>0</v>
      </c>
      <c r="M205" s="5" t="str">
        <f>ContinuousStatsTable[[#This Row],[ProjectName]]&amp;ContinuousStatsTable[[#This Row],[Name]]&amp;ContinuousStatsTable[[#This Row],[Type]]&amp;ContinuousStatsTable[[#This Row],[Source]]</f>
        <v>Unnamed ProjectM4.QNumber WaitingQueue</v>
      </c>
      <c r="N205" s="5" cm="1">
        <f t="array" ref="N205">MAX(IF((ProjectInfoTable[ProjectName]=ContinuousStatsTable[[#This Row],[ProjectName]]),(ProjectInfoTable[ProjectName]=ContinuousStatsTable[[#This Row],[ProjectName]])*ProjectInfoTable[NumberOfReplications]))</f>
        <v>10</v>
      </c>
      <c r="O205" s="5" cm="1">
        <f t="array" ref="O205">IFERROR(AVERAGE(IF((ContinuousStatsTable[GroupByKey]=ContinuousStatsTable[[#This Row],[GroupByKey]]),(ContinuousStatsTable[GroupByKey]=ContinuousStatsTable[[#This Row],[GroupByKey]])*ContinuousStatsTable[Average])),0)</f>
        <v>0.92596780474390472</v>
      </c>
      <c r="P205" s="5" cm="1">
        <f t="array" ref="P205">IFERROR(_xlfn.STDEV.S(IF((ContinuousStatsTable[GroupByKey]=ContinuousStatsTable[[#This Row],[GroupByKey]]),(ContinuousStatsTable[GroupByKey]=ContinuousStatsTable[[#This Row],[GroupByKey]])*ContinuousStatsTable[Average])),0)</f>
        <v>0.23565784373506599</v>
      </c>
      <c r="Q205" s="5" cm="1">
        <f t="array" ref="Q205">MAX(IF((ProjectInfoTable[ProjectName]=ContinuousStatsTable[[#This Row],[ProjectName]]),(ProjectInfoTable[ProjectName]=ContinuousStatsTable[[#This Row],[ProjectName]])*ProjectInfoTable[ConfidenceInterval]))</f>
        <v>0.95</v>
      </c>
      <c r="R2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0.16857946596203516</v>
      </c>
      <c r="S205" s="5" cm="1">
        <f t="array" ref="S205">MIN(IF((ContinuousStatsTable[GroupByKey]=ContinuousStatsTable[[#This Row],[GroupByKey]]),(ContinuousStatsTable[GroupByKey]=ContinuousStatsTable[[#This Row],[GroupByKey]])*ContinuousStatsTable[Average]))</f>
        <v>0.61954382246291895</v>
      </c>
      <c r="T205" s="5" cm="1">
        <f t="array" ref="T205">MAX(IF((ContinuousStatsTable[GroupByKey]=ContinuousStatsTable[[#This Row],[GroupByKey]]),(ContinuousStatsTable[GroupByKey]=ContinuousStatsTable[[#This Row],[GroupByKey]])*ContinuousStatsTable[Average]))</f>
        <v>1.4060201140591599</v>
      </c>
      <c r="U205" s="5">
        <f>IF((ContinuousStatsTable[[#This Row],[RepsRequested]]&gt;1),ContinuousStatsTable[[#This Row],[HalfWidth]],ContinuousStatsTable[[#This Row],[BatchMeansHalfWidth]])</f>
        <v>0.16857946596203516</v>
      </c>
    </row>
    <row r="206" spans="1:21" x14ac:dyDescent="0.4">
      <c r="A206" t="s">
        <v>66</v>
      </c>
      <c r="B206" t="s">
        <v>69</v>
      </c>
      <c r="C206">
        <v>8</v>
      </c>
      <c r="D206" t="s">
        <v>103</v>
      </c>
      <c r="E206" t="s">
        <v>96</v>
      </c>
      <c r="F206" t="s">
        <v>97</v>
      </c>
      <c r="G206">
        <v>0.35164797618239602</v>
      </c>
      <c r="H206">
        <v>4.8603374232487902E-2</v>
      </c>
      <c r="I206">
        <v>0</v>
      </c>
      <c r="J206">
        <v>1</v>
      </c>
      <c r="K206">
        <v>1</v>
      </c>
      <c r="L206">
        <v>0</v>
      </c>
      <c r="M206" s="5" t="str">
        <f>ContinuousStatsTable[[#This Row],[ProjectName]]&amp;ContinuousStatsTable[[#This Row],[Name]]&amp;ContinuousStatsTable[[#This Row],[Type]]&amp;ContinuousStatsTable[[#This Row],[Source]]</f>
        <v>Unnamed ProjectM5Instantaneous UtilizationResource</v>
      </c>
      <c r="N206" s="5" cm="1">
        <f t="array" ref="N206">MAX(IF((ProjectInfoTable[ProjectName]=ContinuousStatsTable[[#This Row],[ProjectName]]),(ProjectInfoTable[ProjectName]=ContinuousStatsTable[[#This Row],[ProjectName]])*ProjectInfoTable[NumberOfReplications]))</f>
        <v>10</v>
      </c>
      <c r="O206" s="5" cm="1">
        <f t="array" ref="O206">IFERROR(AVERAGE(IF((ContinuousStatsTable[GroupByKey]=ContinuousStatsTable[[#This Row],[GroupByKey]]),(ContinuousStatsTable[GroupByKey]=ContinuousStatsTable[[#This Row],[GroupByKey]])*ContinuousStatsTable[Average])),0)</f>
        <v>0.35254112855323727</v>
      </c>
      <c r="P206" s="5" cm="1">
        <f t="array" ref="P206">IFERROR(_xlfn.STDEV.S(IF((ContinuousStatsTable[GroupByKey]=ContinuousStatsTable[[#This Row],[GroupByKey]]),(ContinuousStatsTable[GroupByKey]=ContinuousStatsTable[[#This Row],[GroupByKey]])*ContinuousStatsTable[Average])),0)</f>
        <v>2.0819740340978523E-2</v>
      </c>
      <c r="Q206" s="5" cm="1">
        <f t="array" ref="Q206">MAX(IF((ProjectInfoTable[ProjectName]=ContinuousStatsTable[[#This Row],[ProjectName]]),(ProjectInfoTable[ProjectName]=ContinuousStatsTable[[#This Row],[ProjectName]])*ProjectInfoTable[ConfidenceInterval]))</f>
        <v>0.95</v>
      </c>
      <c r="R2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1.4893545033435028E-2</v>
      </c>
      <c r="S206" s="5" cm="1">
        <f t="array" ref="S206">MIN(IF((ContinuousStatsTable[GroupByKey]=ContinuousStatsTable[[#This Row],[GroupByKey]]),(ContinuousStatsTable[GroupByKey]=ContinuousStatsTable[[#This Row],[GroupByKey]])*ContinuousStatsTable[Average]))</f>
        <v>0.319082016284436</v>
      </c>
      <c r="T206" s="5" cm="1">
        <f t="array" ref="T206">MAX(IF((ContinuousStatsTable[GroupByKey]=ContinuousStatsTable[[#This Row],[GroupByKey]]),(ContinuousStatsTable[GroupByKey]=ContinuousStatsTable[[#This Row],[GroupByKey]])*ContinuousStatsTable[Average]))</f>
        <v>0.391918845838306</v>
      </c>
      <c r="U206" s="5">
        <f>IF((ContinuousStatsTable[[#This Row],[RepsRequested]]&gt;1),ContinuousStatsTable[[#This Row],[HalfWidth]],ContinuousStatsTable[[#This Row],[BatchMeansHalfWidth]])</f>
        <v>1.4893545033435028E-2</v>
      </c>
    </row>
    <row r="207" spans="1:21" x14ac:dyDescent="0.4">
      <c r="A207" t="s">
        <v>66</v>
      </c>
      <c r="B207" t="s">
        <v>69</v>
      </c>
      <c r="C207">
        <v>8</v>
      </c>
      <c r="D207" t="s">
        <v>103</v>
      </c>
      <c r="E207" t="s">
        <v>98</v>
      </c>
      <c r="F207" t="s">
        <v>97</v>
      </c>
      <c r="G207">
        <v>0.70329595236479303</v>
      </c>
      <c r="H207">
        <v>9.7206748464975901E-2</v>
      </c>
      <c r="I207">
        <v>0</v>
      </c>
      <c r="J207">
        <v>2</v>
      </c>
      <c r="K207">
        <v>2</v>
      </c>
      <c r="L207">
        <v>0</v>
      </c>
      <c r="M207" s="5" t="str">
        <f>ContinuousStatsTable[[#This Row],[ProjectName]]&amp;ContinuousStatsTable[[#This Row],[Name]]&amp;ContinuousStatsTable[[#This Row],[Type]]&amp;ContinuousStatsTable[[#This Row],[Source]]</f>
        <v>Unnamed ProjectM5Number BusyResource</v>
      </c>
      <c r="N207" s="5" cm="1">
        <f t="array" ref="N207">MAX(IF((ProjectInfoTable[ProjectName]=ContinuousStatsTable[[#This Row],[ProjectName]]),(ProjectInfoTable[ProjectName]=ContinuousStatsTable[[#This Row],[ProjectName]])*ProjectInfoTable[NumberOfReplications]))</f>
        <v>10</v>
      </c>
      <c r="O207" s="5" cm="1">
        <f t="array" ref="O207">IFERROR(AVERAGE(IF((ContinuousStatsTable[GroupByKey]=ContinuousStatsTable[[#This Row],[GroupByKey]]),(ContinuousStatsTable[GroupByKey]=ContinuousStatsTable[[#This Row],[GroupByKey]])*ContinuousStatsTable[Average])),0)</f>
        <v>0.70508225710647443</v>
      </c>
      <c r="P207" s="5" cm="1">
        <f t="array" ref="P207">IFERROR(_xlfn.STDEV.S(IF((ContinuousStatsTable[GroupByKey]=ContinuousStatsTable[[#This Row],[GroupByKey]]),(ContinuousStatsTable[GroupByKey]=ContinuousStatsTable[[#This Row],[GroupByKey]])*ContinuousStatsTable[Average])),0)</f>
        <v>4.1639480681956775E-2</v>
      </c>
      <c r="Q207" s="5" cm="1">
        <f t="array" ref="Q207">MAX(IF((ProjectInfoTable[ProjectName]=ContinuousStatsTable[[#This Row],[ProjectName]]),(ProjectInfoTable[ProjectName]=ContinuousStatsTable[[#This Row],[ProjectName]])*ProjectInfoTable[ConfidenceInterval]))</f>
        <v>0.95</v>
      </c>
      <c r="R2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2.9787090066869859E-2</v>
      </c>
      <c r="S207" s="5" cm="1">
        <f t="array" ref="S207">MIN(IF((ContinuousStatsTable[GroupByKey]=ContinuousStatsTable[[#This Row],[GroupByKey]]),(ContinuousStatsTable[GroupByKey]=ContinuousStatsTable[[#This Row],[GroupByKey]])*ContinuousStatsTable[Average]))</f>
        <v>0.638164032568872</v>
      </c>
      <c r="T207" s="5" cm="1">
        <f t="array" ref="T207">MAX(IF((ContinuousStatsTable[GroupByKey]=ContinuousStatsTable[[#This Row],[GroupByKey]]),(ContinuousStatsTable[GroupByKey]=ContinuousStatsTable[[#This Row],[GroupByKey]])*ContinuousStatsTable[Average]))</f>
        <v>0.78383769167661099</v>
      </c>
      <c r="U207" s="5">
        <f>IF((ContinuousStatsTable[[#This Row],[RepsRequested]]&gt;1),ContinuousStatsTable[[#This Row],[HalfWidth]],ContinuousStatsTable[[#This Row],[BatchMeansHalfWidth]])</f>
        <v>2.9787090066869859E-2</v>
      </c>
    </row>
    <row r="208" spans="1:21" x14ac:dyDescent="0.4">
      <c r="A208" t="s">
        <v>66</v>
      </c>
      <c r="B208" t="s">
        <v>69</v>
      </c>
      <c r="C208">
        <v>8</v>
      </c>
      <c r="D208" t="s">
        <v>103</v>
      </c>
      <c r="E208" t="s">
        <v>99</v>
      </c>
      <c r="F208" t="s">
        <v>97</v>
      </c>
      <c r="G208">
        <v>2</v>
      </c>
      <c r="H208">
        <v>2E+20</v>
      </c>
      <c r="I208">
        <v>2</v>
      </c>
      <c r="J208">
        <v>2</v>
      </c>
      <c r="K208">
        <v>2</v>
      </c>
      <c r="L208">
        <v>0</v>
      </c>
      <c r="M208" s="5" t="str">
        <f>ContinuousStatsTable[[#This Row],[ProjectName]]&amp;ContinuousStatsTable[[#This Row],[Name]]&amp;ContinuousStatsTable[[#This Row],[Type]]&amp;ContinuousStatsTable[[#This Row],[Source]]</f>
        <v>Unnamed ProjectM5Number ScheduledResource</v>
      </c>
      <c r="N208" s="5" cm="1">
        <f t="array" ref="N208">MAX(IF((ProjectInfoTable[ProjectName]=ContinuousStatsTable[[#This Row],[ProjectName]]),(ProjectInfoTable[ProjectName]=ContinuousStatsTable[[#This Row],[ProjectName]])*ProjectInfoTable[NumberOfReplications]))</f>
        <v>10</v>
      </c>
      <c r="O208" s="5" cm="1">
        <f t="array" ref="O208">IFERROR(AVERAGE(IF((ContinuousStatsTable[GroupByKey]=ContinuousStatsTable[[#This Row],[GroupByKey]]),(ContinuousStatsTable[GroupByKey]=ContinuousStatsTable[[#This Row],[GroupByKey]])*ContinuousStatsTable[Average])),0)</f>
        <v>2</v>
      </c>
      <c r="P208" s="5" cm="1">
        <f t="array" ref="P208">IFERROR(_xlfn.STDEV.S(IF((ContinuousStatsTable[GroupByKey]=ContinuousStatsTable[[#This Row],[GroupByKey]]),(ContinuousStatsTable[GroupByKey]=ContinuousStatsTable[[#This Row],[GroupByKey]])*ContinuousStatsTable[Average])),0)</f>
        <v>0</v>
      </c>
      <c r="Q208" s="5" cm="1">
        <f t="array" ref="Q208">MAX(IF((ProjectInfoTable[ProjectName]=ContinuousStatsTable[[#This Row],[ProjectName]]),(ProjectInfoTable[ProjectName]=ContinuousStatsTable[[#This Row],[ProjectName]])*ProjectInfoTable[ConfidenceInterval]))</f>
        <v>0.95</v>
      </c>
      <c r="R2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8" s="5" cm="1">
        <f t="array" ref="S208">MIN(IF((ContinuousStatsTable[GroupByKey]=ContinuousStatsTable[[#This Row],[GroupByKey]]),(ContinuousStatsTable[GroupByKey]=ContinuousStatsTable[[#This Row],[GroupByKey]])*ContinuousStatsTable[Average]))</f>
        <v>2</v>
      </c>
      <c r="T208" s="5" cm="1">
        <f t="array" ref="T208">MAX(IF((ContinuousStatsTable[GroupByKey]=ContinuousStatsTable[[#This Row],[GroupByKey]]),(ContinuousStatsTable[GroupByKey]=ContinuousStatsTable[[#This Row],[GroupByKey]])*ContinuousStatsTable[Average]))</f>
        <v>2</v>
      </c>
      <c r="U208" s="5">
        <f>IF((ContinuousStatsTable[[#This Row],[RepsRequested]]&gt;1),ContinuousStatsTable[[#This Row],[HalfWidth]],ContinuousStatsTable[[#This Row],[BatchMeansHalfWidth]])</f>
        <v>0</v>
      </c>
    </row>
    <row r="209" spans="1:21" x14ac:dyDescent="0.4">
      <c r="A209" t="s">
        <v>66</v>
      </c>
      <c r="B209" t="s">
        <v>69</v>
      </c>
      <c r="C209">
        <v>8</v>
      </c>
      <c r="D209" t="s">
        <v>89</v>
      </c>
      <c r="E209" t="s">
        <v>94</v>
      </c>
      <c r="F209" t="s">
        <v>80</v>
      </c>
      <c r="G209">
        <v>9.0065456910795705E-2</v>
      </c>
      <c r="H209">
        <v>2E+20</v>
      </c>
      <c r="I209">
        <v>0</v>
      </c>
      <c r="J209">
        <v>3</v>
      </c>
      <c r="K209">
        <v>0</v>
      </c>
      <c r="L209">
        <v>0</v>
      </c>
      <c r="M209" s="5" t="str">
        <f>ContinuousStatsTable[[#This Row],[ProjectName]]&amp;ContinuousStatsTable[[#This Row],[Name]]&amp;ContinuousStatsTable[[#This Row],[Type]]&amp;ContinuousStatsTable[[#This Row],[Source]]</f>
        <v>Unnamed ProjectM5.QNumber WaitingQueue</v>
      </c>
      <c r="N209" s="5" cm="1">
        <f t="array" ref="N209">MAX(IF((ProjectInfoTable[ProjectName]=ContinuousStatsTable[[#This Row],[ProjectName]]),(ProjectInfoTable[ProjectName]=ContinuousStatsTable[[#This Row],[ProjectName]])*ProjectInfoTable[NumberOfReplications]))</f>
        <v>10</v>
      </c>
      <c r="O209" s="5" cm="1">
        <f t="array" ref="O209">IFERROR(AVERAGE(IF((ContinuousStatsTable[GroupByKey]=ContinuousStatsTable[[#This Row],[GroupByKey]]),(ContinuousStatsTable[GroupByKey]=ContinuousStatsTable[[#This Row],[GroupByKey]])*ContinuousStatsTable[Average])),0)</f>
        <v>4.0588719153078524E-2</v>
      </c>
      <c r="P209" s="5" cm="1">
        <f t="array" ref="P209">IFERROR(_xlfn.STDEV.S(IF((ContinuousStatsTable[GroupByKey]=ContinuousStatsTable[[#This Row],[GroupByKey]]),(ContinuousStatsTable[GroupByKey]=ContinuousStatsTable[[#This Row],[GroupByKey]])*ContinuousStatsTable[Average])),0)</f>
        <v>2.3271584618520549E-2</v>
      </c>
      <c r="Q209" s="5" cm="1">
        <f t="array" ref="Q209">MAX(IF((ProjectInfoTable[ProjectName]=ContinuousStatsTable[[#This Row],[ProjectName]]),(ProjectInfoTable[ProjectName]=ContinuousStatsTable[[#This Row],[ProjectName]])*ProjectInfoTable[ConfidenceInterval]))</f>
        <v>0.95</v>
      </c>
      <c r="R2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1.6647488769739371E-2</v>
      </c>
      <c r="S209" s="5" cm="1">
        <f t="array" ref="S209">MIN(IF((ContinuousStatsTable[GroupByKey]=ContinuousStatsTable[[#This Row],[GroupByKey]]),(ContinuousStatsTable[GroupByKey]=ContinuousStatsTable[[#This Row],[GroupByKey]])*ContinuousStatsTable[Average]))</f>
        <v>1.58912341215269E-2</v>
      </c>
      <c r="T209" s="5" cm="1">
        <f t="array" ref="T209">MAX(IF((ContinuousStatsTable[GroupByKey]=ContinuousStatsTable[[#This Row],[GroupByKey]]),(ContinuousStatsTable[GroupByKey]=ContinuousStatsTable[[#This Row],[GroupByKey]])*ContinuousStatsTable[Average]))</f>
        <v>9.0065456910795705E-2</v>
      </c>
      <c r="U209" s="5">
        <f>IF((ContinuousStatsTable[[#This Row],[RepsRequested]]&gt;1),ContinuousStatsTable[[#This Row],[HalfWidth]],ContinuousStatsTable[[#This Row],[BatchMeansHalfWidth]])</f>
        <v>1.6647488769739371E-2</v>
      </c>
    </row>
    <row r="210" spans="1:21" x14ac:dyDescent="0.4">
      <c r="A210" t="s">
        <v>66</v>
      </c>
      <c r="B210" t="s">
        <v>69</v>
      </c>
      <c r="C210">
        <v>9</v>
      </c>
      <c r="D210" t="s">
        <v>70</v>
      </c>
      <c r="E210" t="s">
        <v>93</v>
      </c>
      <c r="F210" t="s">
        <v>72</v>
      </c>
      <c r="G210">
        <v>6.8304847503364101</v>
      </c>
      <c r="H210">
        <v>3E+20</v>
      </c>
      <c r="I210">
        <v>0</v>
      </c>
      <c r="J210">
        <v>15</v>
      </c>
      <c r="K210">
        <v>12</v>
      </c>
      <c r="L210">
        <v>0</v>
      </c>
      <c r="M210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210" s="5" cm="1">
        <f t="array" ref="N210">MAX(IF((ProjectInfoTable[ProjectName]=ContinuousStatsTable[[#This Row],[ProjectName]]),(ProjectInfoTable[ProjectName]=ContinuousStatsTable[[#This Row],[ProjectName]])*ProjectInfoTable[NumberOfReplications]))</f>
        <v>10</v>
      </c>
      <c r="O210" s="5" cm="1">
        <f t="array" ref="O210">IFERROR(AVERAGE(IF((ContinuousStatsTable[GroupByKey]=ContinuousStatsTable[[#This Row],[GroupByKey]]),(ContinuousStatsTable[GroupByKey]=ContinuousStatsTable[[#This Row],[GroupByKey]])*ContinuousStatsTable[Average])),0)</f>
        <v>6.6735315353875011</v>
      </c>
      <c r="P210" s="5" cm="1">
        <f t="array" ref="P210">IFERROR(_xlfn.STDEV.S(IF((ContinuousStatsTable[GroupByKey]=ContinuousStatsTable[[#This Row],[GroupByKey]]),(ContinuousStatsTable[GroupByKey]=ContinuousStatsTable[[#This Row],[GroupByKey]])*ContinuousStatsTable[Average])),0)</f>
        <v>1.4829188547421246</v>
      </c>
      <c r="Q210" s="5" cm="1">
        <f t="array" ref="Q210">MAX(IF((ProjectInfoTable[ProjectName]=ContinuousStatsTable[[#This Row],[ProjectName]]),(ProjectInfoTable[ProjectName]=ContinuousStatsTable[[#This Row],[ProjectName]])*ProjectInfoTable[ConfidenceInterval]))</f>
        <v>0.95</v>
      </c>
      <c r="R2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1.0608162437338877</v>
      </c>
      <c r="S210" s="5" cm="1">
        <f t="array" ref="S210">MIN(IF((ContinuousStatsTable[GroupByKey]=ContinuousStatsTable[[#This Row],[GroupByKey]]),(ContinuousStatsTable[GroupByKey]=ContinuousStatsTable[[#This Row],[GroupByKey]])*ContinuousStatsTable[Average]))</f>
        <v>4.5894957727661101</v>
      </c>
      <c r="T210" s="5" cm="1">
        <f t="array" ref="T210">MAX(IF((ContinuousStatsTable[GroupByKey]=ContinuousStatsTable[[#This Row],[GroupByKey]]),(ContinuousStatsTable[GroupByKey]=ContinuousStatsTable[[#This Row],[GroupByKey]])*ContinuousStatsTable[Average]))</f>
        <v>9.5134854029509093</v>
      </c>
      <c r="U210" s="5">
        <f>IF((ContinuousStatsTable[[#This Row],[RepsRequested]]&gt;1),ContinuousStatsTable[[#This Row],[HalfWidth]],ContinuousStatsTable[[#This Row],[BatchMeansHalfWidth]])</f>
        <v>1.0608162437338877</v>
      </c>
    </row>
    <row r="211" spans="1:21" x14ac:dyDescent="0.4">
      <c r="A211" t="s">
        <v>66</v>
      </c>
      <c r="B211" t="s">
        <v>69</v>
      </c>
      <c r="C211">
        <v>9</v>
      </c>
      <c r="D211" t="s">
        <v>78</v>
      </c>
      <c r="E211" t="s">
        <v>94</v>
      </c>
      <c r="F211" t="s">
        <v>80</v>
      </c>
      <c r="G211">
        <v>0</v>
      </c>
      <c r="H211">
        <v>2E+20</v>
      </c>
      <c r="I211">
        <v>0</v>
      </c>
      <c r="J211">
        <v>0</v>
      </c>
      <c r="K211">
        <v>0</v>
      </c>
      <c r="L211">
        <v>0</v>
      </c>
      <c r="M211" s="5" t="str">
        <f>ContinuousStatsTable[[#This Row],[ProjectName]]&amp;ContinuousStatsTable[[#This Row],[Name]]&amp;ContinuousStatsTable[[#This Row],[Type]]&amp;ContinuousStatsTable[[#This Row],[Source]]</f>
        <v>Unnamed ProjectHold M1.QueueNumber WaitingQueue</v>
      </c>
      <c r="N211" s="5" cm="1">
        <f t="array" ref="N211">MAX(IF((ProjectInfoTable[ProjectName]=ContinuousStatsTable[[#This Row],[ProjectName]]),(ProjectInfoTable[ProjectName]=ContinuousStatsTable[[#This Row],[ProjectName]])*ProjectInfoTable[NumberOfReplications]))</f>
        <v>10</v>
      </c>
      <c r="O211" s="5" cm="1">
        <f t="array" ref="O211">IFERROR(AVERAGE(IF((ContinuousStatsTable[GroupByKey]=ContinuousStatsTable[[#This Row],[GroupByKey]]),(ContinuousStatsTable[GroupByKey]=ContinuousStatsTable[[#This Row],[GroupByKey]])*ContinuousStatsTable[Average])),0)</f>
        <v>0</v>
      </c>
      <c r="P211" s="5" cm="1">
        <f t="array" ref="P211">IFERROR(_xlfn.STDEV.S(IF((ContinuousStatsTable[GroupByKey]=ContinuousStatsTable[[#This Row],[GroupByKey]]),(ContinuousStatsTable[GroupByKey]=ContinuousStatsTable[[#This Row],[GroupByKey]])*ContinuousStatsTable[Average])),0)</f>
        <v>0</v>
      </c>
      <c r="Q211" s="5" cm="1">
        <f t="array" ref="Q211">MAX(IF((ProjectInfoTable[ProjectName]=ContinuousStatsTable[[#This Row],[ProjectName]]),(ProjectInfoTable[ProjectName]=ContinuousStatsTable[[#This Row],[ProjectName]])*ProjectInfoTable[ConfidenceInterval]))</f>
        <v>0.95</v>
      </c>
      <c r="R2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1" s="5" cm="1">
        <f t="array" ref="S211">MIN(IF((ContinuousStatsTable[GroupByKey]=ContinuousStatsTable[[#This Row],[GroupByKey]]),(ContinuousStatsTable[GroupByKey]=ContinuousStatsTable[[#This Row],[GroupByKey]])*ContinuousStatsTable[Average]))</f>
        <v>0</v>
      </c>
      <c r="T211" s="5" cm="1">
        <f t="array" ref="T211">MAX(IF((ContinuousStatsTable[GroupByKey]=ContinuousStatsTable[[#This Row],[GroupByKey]]),(ContinuousStatsTable[GroupByKey]=ContinuousStatsTable[[#This Row],[GroupByKey]])*ContinuousStatsTable[Average]))</f>
        <v>0</v>
      </c>
      <c r="U211" s="5">
        <f>IF((ContinuousStatsTable[[#This Row],[RepsRequested]]&gt;1),ContinuousStatsTable[[#This Row],[HalfWidth]],ContinuousStatsTable[[#This Row],[BatchMeansHalfWidth]])</f>
        <v>0</v>
      </c>
    </row>
    <row r="212" spans="1:21" x14ac:dyDescent="0.4">
      <c r="A212" t="s">
        <v>66</v>
      </c>
      <c r="B212" t="s">
        <v>69</v>
      </c>
      <c r="C212">
        <v>9</v>
      </c>
      <c r="D212" t="s">
        <v>81</v>
      </c>
      <c r="E212" t="s">
        <v>94</v>
      </c>
      <c r="F212" t="s">
        <v>80</v>
      </c>
      <c r="G212">
        <v>0</v>
      </c>
      <c r="H212">
        <v>2E+20</v>
      </c>
      <c r="I212">
        <v>0</v>
      </c>
      <c r="J212">
        <v>0</v>
      </c>
      <c r="K212">
        <v>0</v>
      </c>
      <c r="L212">
        <v>0</v>
      </c>
      <c r="M212" s="5" t="str">
        <f>ContinuousStatsTable[[#This Row],[ProjectName]]&amp;ContinuousStatsTable[[#This Row],[Name]]&amp;ContinuousStatsTable[[#This Row],[Type]]&amp;ContinuousStatsTable[[#This Row],[Source]]</f>
        <v>Unnamed ProjectHold M2.QueueNumber WaitingQueue</v>
      </c>
      <c r="N212" s="5" cm="1">
        <f t="array" ref="N212">MAX(IF((ProjectInfoTable[ProjectName]=ContinuousStatsTable[[#This Row],[ProjectName]]),(ProjectInfoTable[ProjectName]=ContinuousStatsTable[[#This Row],[ProjectName]])*ProjectInfoTable[NumberOfReplications]))</f>
        <v>10</v>
      </c>
      <c r="O212" s="5" cm="1">
        <f t="array" ref="O212">IFERROR(AVERAGE(IF((ContinuousStatsTable[GroupByKey]=ContinuousStatsTable[[#This Row],[GroupByKey]]),(ContinuousStatsTable[GroupByKey]=ContinuousStatsTable[[#This Row],[GroupByKey]])*ContinuousStatsTable[Average])),0)</f>
        <v>0</v>
      </c>
      <c r="P212" s="5" cm="1">
        <f t="array" ref="P212">IFERROR(_xlfn.STDEV.S(IF((ContinuousStatsTable[GroupByKey]=ContinuousStatsTable[[#This Row],[GroupByKey]]),(ContinuousStatsTable[GroupByKey]=ContinuousStatsTable[[#This Row],[GroupByKey]])*ContinuousStatsTable[Average])),0)</f>
        <v>0</v>
      </c>
      <c r="Q212" s="5" cm="1">
        <f t="array" ref="Q212">MAX(IF((ProjectInfoTable[ProjectName]=ContinuousStatsTable[[#This Row],[ProjectName]]),(ProjectInfoTable[ProjectName]=ContinuousStatsTable[[#This Row],[ProjectName]])*ProjectInfoTable[ConfidenceInterval]))</f>
        <v>0.95</v>
      </c>
      <c r="R2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2" s="5" cm="1">
        <f t="array" ref="S212">MIN(IF((ContinuousStatsTable[GroupByKey]=ContinuousStatsTable[[#This Row],[GroupByKey]]),(ContinuousStatsTable[GroupByKey]=ContinuousStatsTable[[#This Row],[GroupByKey]])*ContinuousStatsTable[Average]))</f>
        <v>0</v>
      </c>
      <c r="T212" s="5" cm="1">
        <f t="array" ref="T212">MAX(IF((ContinuousStatsTable[GroupByKey]=ContinuousStatsTable[[#This Row],[GroupByKey]]),(ContinuousStatsTable[GroupByKey]=ContinuousStatsTable[[#This Row],[GroupByKey]])*ContinuousStatsTable[Average]))</f>
        <v>0</v>
      </c>
      <c r="U212" s="5">
        <f>IF((ContinuousStatsTable[[#This Row],[RepsRequested]]&gt;1),ContinuousStatsTable[[#This Row],[HalfWidth]],ContinuousStatsTable[[#This Row],[BatchMeansHalfWidth]])</f>
        <v>0</v>
      </c>
    </row>
    <row r="213" spans="1:21" x14ac:dyDescent="0.4">
      <c r="A213" t="s">
        <v>66</v>
      </c>
      <c r="B213" t="s">
        <v>69</v>
      </c>
      <c r="C213">
        <v>9</v>
      </c>
      <c r="D213" t="s">
        <v>82</v>
      </c>
      <c r="E213" t="s">
        <v>94</v>
      </c>
      <c r="F213" t="s">
        <v>80</v>
      </c>
      <c r="G213">
        <v>0</v>
      </c>
      <c r="H213">
        <v>2E+20</v>
      </c>
      <c r="I213">
        <v>0</v>
      </c>
      <c r="J213">
        <v>0</v>
      </c>
      <c r="K213">
        <v>0</v>
      </c>
      <c r="L213">
        <v>0</v>
      </c>
      <c r="M213" s="5" t="str">
        <f>ContinuousStatsTable[[#This Row],[ProjectName]]&amp;ContinuousStatsTable[[#This Row],[Name]]&amp;ContinuousStatsTable[[#This Row],[Type]]&amp;ContinuousStatsTable[[#This Row],[Source]]</f>
        <v>Unnamed ProjectHold M3.QueueNumber WaitingQueue</v>
      </c>
      <c r="N213" s="5" cm="1">
        <f t="array" ref="N213">MAX(IF((ProjectInfoTable[ProjectName]=ContinuousStatsTable[[#This Row],[ProjectName]]),(ProjectInfoTable[ProjectName]=ContinuousStatsTable[[#This Row],[ProjectName]])*ProjectInfoTable[NumberOfReplications]))</f>
        <v>10</v>
      </c>
      <c r="O213" s="5" cm="1">
        <f t="array" ref="O213">IFERROR(AVERAGE(IF((ContinuousStatsTable[GroupByKey]=ContinuousStatsTable[[#This Row],[GroupByKey]]),(ContinuousStatsTable[GroupByKey]=ContinuousStatsTable[[#This Row],[GroupByKey]])*ContinuousStatsTable[Average])),0)</f>
        <v>0</v>
      </c>
      <c r="P213" s="5" cm="1">
        <f t="array" ref="P213">IFERROR(_xlfn.STDEV.S(IF((ContinuousStatsTable[GroupByKey]=ContinuousStatsTable[[#This Row],[GroupByKey]]),(ContinuousStatsTable[GroupByKey]=ContinuousStatsTable[[#This Row],[GroupByKey]])*ContinuousStatsTable[Average])),0)</f>
        <v>0</v>
      </c>
      <c r="Q213" s="5" cm="1">
        <f t="array" ref="Q213">MAX(IF((ProjectInfoTable[ProjectName]=ContinuousStatsTable[[#This Row],[ProjectName]]),(ProjectInfoTable[ProjectName]=ContinuousStatsTable[[#This Row],[ProjectName]])*ProjectInfoTable[ConfidenceInterval]))</f>
        <v>0.95</v>
      </c>
      <c r="R2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3" s="5" cm="1">
        <f t="array" ref="S213">MIN(IF((ContinuousStatsTable[GroupByKey]=ContinuousStatsTable[[#This Row],[GroupByKey]]),(ContinuousStatsTable[GroupByKey]=ContinuousStatsTable[[#This Row],[GroupByKey]])*ContinuousStatsTable[Average]))</f>
        <v>0</v>
      </c>
      <c r="T213" s="5" cm="1">
        <f t="array" ref="T213">MAX(IF((ContinuousStatsTable[GroupByKey]=ContinuousStatsTable[[#This Row],[GroupByKey]]),(ContinuousStatsTable[GroupByKey]=ContinuousStatsTable[[#This Row],[GroupByKey]])*ContinuousStatsTable[Average]))</f>
        <v>0</v>
      </c>
      <c r="U213" s="5">
        <f>IF((ContinuousStatsTable[[#This Row],[RepsRequested]]&gt;1),ContinuousStatsTable[[#This Row],[HalfWidth]],ContinuousStatsTable[[#This Row],[BatchMeansHalfWidth]])</f>
        <v>0</v>
      </c>
    </row>
    <row r="214" spans="1:21" x14ac:dyDescent="0.4">
      <c r="A214" t="s">
        <v>66</v>
      </c>
      <c r="B214" t="s">
        <v>69</v>
      </c>
      <c r="C214">
        <v>9</v>
      </c>
      <c r="D214" t="s">
        <v>83</v>
      </c>
      <c r="E214" t="s">
        <v>94</v>
      </c>
      <c r="F214" t="s">
        <v>80</v>
      </c>
      <c r="G214">
        <v>0</v>
      </c>
      <c r="H214">
        <v>2E+20</v>
      </c>
      <c r="I214">
        <v>0</v>
      </c>
      <c r="J214">
        <v>0</v>
      </c>
      <c r="K214">
        <v>0</v>
      </c>
      <c r="L214">
        <v>0</v>
      </c>
      <c r="M214" s="5" t="str">
        <f>ContinuousStatsTable[[#This Row],[ProjectName]]&amp;ContinuousStatsTable[[#This Row],[Name]]&amp;ContinuousStatsTable[[#This Row],[Type]]&amp;ContinuousStatsTable[[#This Row],[Source]]</f>
        <v>Unnamed ProjectHold M4.QueueNumber WaitingQueue</v>
      </c>
      <c r="N214" s="5" cm="1">
        <f t="array" ref="N214">MAX(IF((ProjectInfoTable[ProjectName]=ContinuousStatsTable[[#This Row],[ProjectName]]),(ProjectInfoTable[ProjectName]=ContinuousStatsTable[[#This Row],[ProjectName]])*ProjectInfoTable[NumberOfReplications]))</f>
        <v>10</v>
      </c>
      <c r="O214" s="5" cm="1">
        <f t="array" ref="O214">IFERROR(AVERAGE(IF((ContinuousStatsTable[GroupByKey]=ContinuousStatsTable[[#This Row],[GroupByKey]]),(ContinuousStatsTable[GroupByKey]=ContinuousStatsTable[[#This Row],[GroupByKey]])*ContinuousStatsTable[Average])),0)</f>
        <v>0</v>
      </c>
      <c r="P214" s="5" cm="1">
        <f t="array" ref="P214">IFERROR(_xlfn.STDEV.S(IF((ContinuousStatsTable[GroupByKey]=ContinuousStatsTable[[#This Row],[GroupByKey]]),(ContinuousStatsTable[GroupByKey]=ContinuousStatsTable[[#This Row],[GroupByKey]])*ContinuousStatsTable[Average])),0)</f>
        <v>0</v>
      </c>
      <c r="Q214" s="5" cm="1">
        <f t="array" ref="Q214">MAX(IF((ProjectInfoTable[ProjectName]=ContinuousStatsTable[[#This Row],[ProjectName]]),(ProjectInfoTable[ProjectName]=ContinuousStatsTable[[#This Row],[ProjectName]])*ProjectInfoTable[ConfidenceInterval]))</f>
        <v>0.95</v>
      </c>
      <c r="R2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4" s="5" cm="1">
        <f t="array" ref="S214">MIN(IF((ContinuousStatsTable[GroupByKey]=ContinuousStatsTable[[#This Row],[GroupByKey]]),(ContinuousStatsTable[GroupByKey]=ContinuousStatsTable[[#This Row],[GroupByKey]])*ContinuousStatsTable[Average]))</f>
        <v>0</v>
      </c>
      <c r="T214" s="5" cm="1">
        <f t="array" ref="T214">MAX(IF((ContinuousStatsTable[GroupByKey]=ContinuousStatsTable[[#This Row],[GroupByKey]]),(ContinuousStatsTable[GroupByKey]=ContinuousStatsTable[[#This Row],[GroupByKey]])*ContinuousStatsTable[Average]))</f>
        <v>0</v>
      </c>
      <c r="U214" s="5">
        <f>IF((ContinuousStatsTable[[#This Row],[RepsRequested]]&gt;1),ContinuousStatsTable[[#This Row],[HalfWidth]],ContinuousStatsTable[[#This Row],[BatchMeansHalfWidth]])</f>
        <v>0</v>
      </c>
    </row>
    <row r="215" spans="1:21" x14ac:dyDescent="0.4">
      <c r="A215" t="s">
        <v>66</v>
      </c>
      <c r="B215" t="s">
        <v>69</v>
      </c>
      <c r="C215">
        <v>9</v>
      </c>
      <c r="D215" t="s">
        <v>84</v>
      </c>
      <c r="E215" t="s">
        <v>94</v>
      </c>
      <c r="F215" t="s">
        <v>80</v>
      </c>
      <c r="G215">
        <v>0</v>
      </c>
      <c r="H215">
        <v>2E+20</v>
      </c>
      <c r="I215">
        <v>0</v>
      </c>
      <c r="J215">
        <v>0</v>
      </c>
      <c r="K215">
        <v>0</v>
      </c>
      <c r="L215">
        <v>0</v>
      </c>
      <c r="M215" s="5" t="str">
        <f>ContinuousStatsTable[[#This Row],[ProjectName]]&amp;ContinuousStatsTable[[#This Row],[Name]]&amp;ContinuousStatsTable[[#This Row],[Type]]&amp;ContinuousStatsTable[[#This Row],[Source]]</f>
        <v>Unnamed ProjectHold M5.QueueNumber WaitingQueue</v>
      </c>
      <c r="N215" s="5" cm="1">
        <f t="array" ref="N215">MAX(IF((ProjectInfoTable[ProjectName]=ContinuousStatsTable[[#This Row],[ProjectName]]),(ProjectInfoTable[ProjectName]=ContinuousStatsTable[[#This Row],[ProjectName]])*ProjectInfoTable[NumberOfReplications]))</f>
        <v>10</v>
      </c>
      <c r="O215" s="5" cm="1">
        <f t="array" ref="O215">IFERROR(AVERAGE(IF((ContinuousStatsTable[GroupByKey]=ContinuousStatsTable[[#This Row],[GroupByKey]]),(ContinuousStatsTable[GroupByKey]=ContinuousStatsTable[[#This Row],[GroupByKey]])*ContinuousStatsTable[Average])),0)</f>
        <v>0</v>
      </c>
      <c r="P215" s="5" cm="1">
        <f t="array" ref="P215">IFERROR(_xlfn.STDEV.S(IF((ContinuousStatsTable[GroupByKey]=ContinuousStatsTable[[#This Row],[GroupByKey]]),(ContinuousStatsTable[GroupByKey]=ContinuousStatsTable[[#This Row],[GroupByKey]])*ContinuousStatsTable[Average])),0)</f>
        <v>0</v>
      </c>
      <c r="Q215" s="5" cm="1">
        <f t="array" ref="Q215">MAX(IF((ProjectInfoTable[ProjectName]=ContinuousStatsTable[[#This Row],[ProjectName]]),(ProjectInfoTable[ProjectName]=ContinuousStatsTable[[#This Row],[ProjectName]])*ProjectInfoTable[ConfidenceInterval]))</f>
        <v>0.95</v>
      </c>
      <c r="R2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5" s="5" cm="1">
        <f t="array" ref="S215">MIN(IF((ContinuousStatsTable[GroupByKey]=ContinuousStatsTable[[#This Row],[GroupByKey]]),(ContinuousStatsTable[GroupByKey]=ContinuousStatsTable[[#This Row],[GroupByKey]])*ContinuousStatsTable[Average]))</f>
        <v>0</v>
      </c>
      <c r="T215" s="5" cm="1">
        <f t="array" ref="T215">MAX(IF((ContinuousStatsTable[GroupByKey]=ContinuousStatsTable[[#This Row],[GroupByKey]]),(ContinuousStatsTable[GroupByKey]=ContinuousStatsTable[[#This Row],[GroupByKey]])*ContinuousStatsTable[Average]))</f>
        <v>0</v>
      </c>
      <c r="U215" s="5">
        <f>IF((ContinuousStatsTable[[#This Row],[RepsRequested]]&gt;1),ContinuousStatsTable[[#This Row],[HalfWidth]],ContinuousStatsTable[[#This Row],[BatchMeansHalfWidth]])</f>
        <v>0</v>
      </c>
    </row>
    <row r="216" spans="1:21" x14ac:dyDescent="0.4">
      <c r="A216" t="s">
        <v>66</v>
      </c>
      <c r="B216" t="s">
        <v>69</v>
      </c>
      <c r="C216">
        <v>9</v>
      </c>
      <c r="D216" t="s">
        <v>95</v>
      </c>
      <c r="E216" t="s">
        <v>96</v>
      </c>
      <c r="F216" t="s">
        <v>97</v>
      </c>
      <c r="G216">
        <v>0.38801159974409799</v>
      </c>
      <c r="H216">
        <v>2E+20</v>
      </c>
      <c r="I216">
        <v>0</v>
      </c>
      <c r="J216">
        <v>1</v>
      </c>
      <c r="K216">
        <v>0.5</v>
      </c>
      <c r="L216">
        <v>0</v>
      </c>
      <c r="M216" s="5" t="str">
        <f>ContinuousStatsTable[[#This Row],[ProjectName]]&amp;ContinuousStatsTable[[#This Row],[Name]]&amp;ContinuousStatsTable[[#This Row],[Type]]&amp;ContinuousStatsTable[[#This Row],[Source]]</f>
        <v>Unnamed ProjectM1Instantaneous UtilizationResource</v>
      </c>
      <c r="N216" s="5" cm="1">
        <f t="array" ref="N216">MAX(IF((ProjectInfoTable[ProjectName]=ContinuousStatsTable[[#This Row],[ProjectName]]),(ProjectInfoTable[ProjectName]=ContinuousStatsTable[[#This Row],[ProjectName]])*ProjectInfoTable[NumberOfReplications]))</f>
        <v>10</v>
      </c>
      <c r="O216" s="5" cm="1">
        <f t="array" ref="O216">IFERROR(AVERAGE(IF((ContinuousStatsTable[GroupByKey]=ContinuousStatsTable[[#This Row],[GroupByKey]]),(ContinuousStatsTable[GroupByKey]=ContinuousStatsTable[[#This Row],[GroupByKey]])*ContinuousStatsTable[Average])),0)</f>
        <v>0.35418637725041224</v>
      </c>
      <c r="P216" s="5" cm="1">
        <f t="array" ref="P216">IFERROR(_xlfn.STDEV.S(IF((ContinuousStatsTable[GroupByKey]=ContinuousStatsTable[[#This Row],[GroupByKey]]),(ContinuousStatsTable[GroupByKey]=ContinuousStatsTable[[#This Row],[GroupByKey]])*ContinuousStatsTable[Average])),0)</f>
        <v>3.3453936231241439E-2</v>
      </c>
      <c r="Q216" s="5" cm="1">
        <f t="array" ref="Q216">MAX(IF((ProjectInfoTable[ProjectName]=ContinuousStatsTable[[#This Row],[ProjectName]]),(ProjectInfoTable[ProjectName]=ContinuousStatsTable[[#This Row],[ProjectName]])*ProjectInfoTable[ConfidenceInterval]))</f>
        <v>0.95</v>
      </c>
      <c r="R2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2.3931504314920794E-2</v>
      </c>
      <c r="S216" s="5" cm="1">
        <f t="array" ref="S216">MIN(IF((ContinuousStatsTable[GroupByKey]=ContinuousStatsTable[[#This Row],[GroupByKey]]),(ContinuousStatsTable[GroupByKey]=ContinuousStatsTable[[#This Row],[GroupByKey]])*ContinuousStatsTable[Average]))</f>
        <v>0.29539806709730798</v>
      </c>
      <c r="T216" s="5" cm="1">
        <f t="array" ref="T216">MAX(IF((ContinuousStatsTable[GroupByKey]=ContinuousStatsTable[[#This Row],[GroupByKey]]),(ContinuousStatsTable[GroupByKey]=ContinuousStatsTable[[#This Row],[GroupByKey]])*ContinuousStatsTable[Average]))</f>
        <v>0.39865120046345498</v>
      </c>
      <c r="U216" s="5">
        <f>IF((ContinuousStatsTable[[#This Row],[RepsRequested]]&gt;1),ContinuousStatsTable[[#This Row],[HalfWidth]],ContinuousStatsTable[[#This Row],[BatchMeansHalfWidth]])</f>
        <v>2.3931504314920794E-2</v>
      </c>
    </row>
    <row r="217" spans="1:21" x14ac:dyDescent="0.4">
      <c r="A217" t="s">
        <v>66</v>
      </c>
      <c r="B217" t="s">
        <v>69</v>
      </c>
      <c r="C217">
        <v>9</v>
      </c>
      <c r="D217" t="s">
        <v>95</v>
      </c>
      <c r="E217" t="s">
        <v>98</v>
      </c>
      <c r="F217" t="s">
        <v>97</v>
      </c>
      <c r="G217">
        <v>0.77602319948819598</v>
      </c>
      <c r="H217">
        <v>2E+20</v>
      </c>
      <c r="I217">
        <v>0</v>
      </c>
      <c r="J217">
        <v>2</v>
      </c>
      <c r="K217">
        <v>1</v>
      </c>
      <c r="L217">
        <v>0</v>
      </c>
      <c r="M217" s="5" t="str">
        <f>ContinuousStatsTable[[#This Row],[ProjectName]]&amp;ContinuousStatsTable[[#This Row],[Name]]&amp;ContinuousStatsTable[[#This Row],[Type]]&amp;ContinuousStatsTable[[#This Row],[Source]]</f>
        <v>Unnamed ProjectM1Number BusyResource</v>
      </c>
      <c r="N217" s="5" cm="1">
        <f t="array" ref="N217">MAX(IF((ProjectInfoTable[ProjectName]=ContinuousStatsTable[[#This Row],[ProjectName]]),(ProjectInfoTable[ProjectName]=ContinuousStatsTable[[#This Row],[ProjectName]])*ProjectInfoTable[NumberOfReplications]))</f>
        <v>10</v>
      </c>
      <c r="O217" s="5" cm="1">
        <f t="array" ref="O217">IFERROR(AVERAGE(IF((ContinuousStatsTable[GroupByKey]=ContinuousStatsTable[[#This Row],[GroupByKey]]),(ContinuousStatsTable[GroupByKey]=ContinuousStatsTable[[#This Row],[GroupByKey]])*ContinuousStatsTable[Average])),0)</f>
        <v>0.70837275450082438</v>
      </c>
      <c r="P217" s="5" cm="1">
        <f t="array" ref="P217">IFERROR(_xlfn.STDEV.S(IF((ContinuousStatsTable[GroupByKey]=ContinuousStatsTable[[#This Row],[GroupByKey]]),(ContinuousStatsTable[GroupByKey]=ContinuousStatsTable[[#This Row],[GroupByKey]])*ContinuousStatsTable[Average])),0)</f>
        <v>6.6907872462483045E-2</v>
      </c>
      <c r="Q217" s="5" cm="1">
        <f t="array" ref="Q217">MAX(IF((ProjectInfoTable[ProjectName]=ContinuousStatsTable[[#This Row],[ProjectName]]),(ProjectInfoTable[ProjectName]=ContinuousStatsTable[[#This Row],[ProjectName]])*ProjectInfoTable[ConfidenceInterval]))</f>
        <v>0.95</v>
      </c>
      <c r="R2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4.7863008629841705E-2</v>
      </c>
      <c r="S217" s="5" cm="1">
        <f t="array" ref="S217">MIN(IF((ContinuousStatsTable[GroupByKey]=ContinuousStatsTable[[#This Row],[GroupByKey]]),(ContinuousStatsTable[GroupByKey]=ContinuousStatsTable[[#This Row],[GroupByKey]])*ContinuousStatsTable[Average]))</f>
        <v>0.59079613419461596</v>
      </c>
      <c r="T217" s="5" cm="1">
        <f t="array" ref="T217">MAX(IF((ContinuousStatsTable[GroupByKey]=ContinuousStatsTable[[#This Row],[GroupByKey]]),(ContinuousStatsTable[GroupByKey]=ContinuousStatsTable[[#This Row],[GroupByKey]])*ContinuousStatsTable[Average]))</f>
        <v>0.79730240092691096</v>
      </c>
      <c r="U217" s="5">
        <f>IF((ContinuousStatsTable[[#This Row],[RepsRequested]]&gt;1),ContinuousStatsTable[[#This Row],[HalfWidth]],ContinuousStatsTable[[#This Row],[BatchMeansHalfWidth]])</f>
        <v>4.7863008629841705E-2</v>
      </c>
    </row>
    <row r="218" spans="1:21" x14ac:dyDescent="0.4">
      <c r="A218" t="s">
        <v>66</v>
      </c>
      <c r="B218" t="s">
        <v>69</v>
      </c>
      <c r="C218">
        <v>9</v>
      </c>
      <c r="D218" t="s">
        <v>95</v>
      </c>
      <c r="E218" t="s">
        <v>99</v>
      </c>
      <c r="F218" t="s">
        <v>97</v>
      </c>
      <c r="G218">
        <v>2</v>
      </c>
      <c r="H218">
        <v>2E+20</v>
      </c>
      <c r="I218">
        <v>2</v>
      </c>
      <c r="J218">
        <v>2</v>
      </c>
      <c r="K218">
        <v>2</v>
      </c>
      <c r="L218">
        <v>0</v>
      </c>
      <c r="M218" s="5" t="str">
        <f>ContinuousStatsTable[[#This Row],[ProjectName]]&amp;ContinuousStatsTable[[#This Row],[Name]]&amp;ContinuousStatsTable[[#This Row],[Type]]&amp;ContinuousStatsTable[[#This Row],[Source]]</f>
        <v>Unnamed ProjectM1Number ScheduledResource</v>
      </c>
      <c r="N218" s="5" cm="1">
        <f t="array" ref="N218">MAX(IF((ProjectInfoTable[ProjectName]=ContinuousStatsTable[[#This Row],[ProjectName]]),(ProjectInfoTable[ProjectName]=ContinuousStatsTable[[#This Row],[ProjectName]])*ProjectInfoTable[NumberOfReplications]))</f>
        <v>10</v>
      </c>
      <c r="O218" s="5" cm="1">
        <f t="array" ref="O218">IFERROR(AVERAGE(IF((ContinuousStatsTable[GroupByKey]=ContinuousStatsTable[[#This Row],[GroupByKey]]),(ContinuousStatsTable[GroupByKey]=ContinuousStatsTable[[#This Row],[GroupByKey]])*ContinuousStatsTable[Average])),0)</f>
        <v>2</v>
      </c>
      <c r="P218" s="5" cm="1">
        <f t="array" ref="P218">IFERROR(_xlfn.STDEV.S(IF((ContinuousStatsTable[GroupByKey]=ContinuousStatsTable[[#This Row],[GroupByKey]]),(ContinuousStatsTable[GroupByKey]=ContinuousStatsTable[[#This Row],[GroupByKey]])*ContinuousStatsTable[Average])),0)</f>
        <v>0</v>
      </c>
      <c r="Q218" s="5" cm="1">
        <f t="array" ref="Q218">MAX(IF((ProjectInfoTable[ProjectName]=ContinuousStatsTable[[#This Row],[ProjectName]]),(ProjectInfoTable[ProjectName]=ContinuousStatsTable[[#This Row],[ProjectName]])*ProjectInfoTable[ConfidenceInterval]))</f>
        <v>0.95</v>
      </c>
      <c r="R2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8" s="5" cm="1">
        <f t="array" ref="S218">MIN(IF((ContinuousStatsTable[GroupByKey]=ContinuousStatsTable[[#This Row],[GroupByKey]]),(ContinuousStatsTable[GroupByKey]=ContinuousStatsTable[[#This Row],[GroupByKey]])*ContinuousStatsTable[Average]))</f>
        <v>2</v>
      </c>
      <c r="T218" s="5" cm="1">
        <f t="array" ref="T218">MAX(IF((ContinuousStatsTable[GroupByKey]=ContinuousStatsTable[[#This Row],[GroupByKey]]),(ContinuousStatsTable[GroupByKey]=ContinuousStatsTable[[#This Row],[GroupByKey]])*ContinuousStatsTable[Average]))</f>
        <v>2</v>
      </c>
      <c r="U218" s="5">
        <f>IF((ContinuousStatsTable[[#This Row],[RepsRequested]]&gt;1),ContinuousStatsTable[[#This Row],[HalfWidth]],ContinuousStatsTable[[#This Row],[BatchMeansHalfWidth]])</f>
        <v>0</v>
      </c>
    </row>
    <row r="219" spans="1:21" x14ac:dyDescent="0.4">
      <c r="A219" t="s">
        <v>66</v>
      </c>
      <c r="B219" t="s">
        <v>69</v>
      </c>
      <c r="C219">
        <v>9</v>
      </c>
      <c r="D219" t="s">
        <v>85</v>
      </c>
      <c r="E219" t="s">
        <v>94</v>
      </c>
      <c r="F219" t="s">
        <v>80</v>
      </c>
      <c r="G219">
        <v>7.4014266629813294E-2</v>
      </c>
      <c r="H219">
        <v>2E+20</v>
      </c>
      <c r="I219">
        <v>0</v>
      </c>
      <c r="J219">
        <v>3</v>
      </c>
      <c r="K219">
        <v>0</v>
      </c>
      <c r="L219">
        <v>0</v>
      </c>
      <c r="M219" s="5" t="str">
        <f>ContinuousStatsTable[[#This Row],[ProjectName]]&amp;ContinuousStatsTable[[#This Row],[Name]]&amp;ContinuousStatsTable[[#This Row],[Type]]&amp;ContinuousStatsTable[[#This Row],[Source]]</f>
        <v>Unnamed ProjectM1.QNumber WaitingQueue</v>
      </c>
      <c r="N219" s="5" cm="1">
        <f t="array" ref="N219">MAX(IF((ProjectInfoTable[ProjectName]=ContinuousStatsTable[[#This Row],[ProjectName]]),(ProjectInfoTable[ProjectName]=ContinuousStatsTable[[#This Row],[ProjectName]])*ProjectInfoTable[NumberOfReplications]))</f>
        <v>10</v>
      </c>
      <c r="O219" s="5" cm="1">
        <f t="array" ref="O219">IFERROR(AVERAGE(IF((ContinuousStatsTable[GroupByKey]=ContinuousStatsTable[[#This Row],[GroupByKey]]),(ContinuousStatsTable[GroupByKey]=ContinuousStatsTable[[#This Row],[GroupByKey]])*ContinuousStatsTable[Average])),0)</f>
        <v>8.2638825969756052E-2</v>
      </c>
      <c r="P219" s="5" cm="1">
        <f t="array" ref="P219">IFERROR(_xlfn.STDEV.S(IF((ContinuousStatsTable[GroupByKey]=ContinuousStatsTable[[#This Row],[GroupByKey]]),(ContinuousStatsTable[GroupByKey]=ContinuousStatsTable[[#This Row],[GroupByKey]])*ContinuousStatsTable[Average])),0)</f>
        <v>2.9983492659856659E-2</v>
      </c>
      <c r="Q219" s="5" cm="1">
        <f t="array" ref="Q219">MAX(IF((ProjectInfoTable[ProjectName]=ContinuousStatsTable[[#This Row],[ProjectName]]),(ProjectInfoTable[ProjectName]=ContinuousStatsTable[[#This Row],[ProjectName]])*ProjectInfoTable[ConfidenceInterval]))</f>
        <v>0.95</v>
      </c>
      <c r="R2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2.1448898539349195E-2</v>
      </c>
      <c r="S219" s="5" cm="1">
        <f t="array" ref="S219">MIN(IF((ContinuousStatsTable[GroupByKey]=ContinuousStatsTable[[#This Row],[GroupByKey]]),(ContinuousStatsTable[GroupByKey]=ContinuousStatsTable[[#This Row],[GroupByKey]])*ContinuousStatsTable[Average]))</f>
        <v>3.4990004496426703E-2</v>
      </c>
      <c r="T219" s="5" cm="1">
        <f t="array" ref="T219">MAX(IF((ContinuousStatsTable[GroupByKey]=ContinuousStatsTable[[#This Row],[GroupByKey]]),(ContinuousStatsTable[GroupByKey]=ContinuousStatsTable[[#This Row],[GroupByKey]])*ContinuousStatsTable[Average]))</f>
        <v>0.13146637852281401</v>
      </c>
      <c r="U219" s="5">
        <f>IF((ContinuousStatsTable[[#This Row],[RepsRequested]]&gt;1),ContinuousStatsTable[[#This Row],[HalfWidth]],ContinuousStatsTable[[#This Row],[BatchMeansHalfWidth]])</f>
        <v>2.1448898539349195E-2</v>
      </c>
    </row>
    <row r="220" spans="1:21" x14ac:dyDescent="0.4">
      <c r="A220" t="s">
        <v>66</v>
      </c>
      <c r="B220" t="s">
        <v>69</v>
      </c>
      <c r="C220">
        <v>9</v>
      </c>
      <c r="D220" t="s">
        <v>100</v>
      </c>
      <c r="E220" t="s">
        <v>96</v>
      </c>
      <c r="F220" t="s">
        <v>97</v>
      </c>
      <c r="G220">
        <v>0.785976599233702</v>
      </c>
      <c r="H220">
        <v>2E+20</v>
      </c>
      <c r="I220">
        <v>0</v>
      </c>
      <c r="J220">
        <v>1</v>
      </c>
      <c r="K220">
        <v>1</v>
      </c>
      <c r="L220">
        <v>0</v>
      </c>
      <c r="M220" s="5" t="str">
        <f>ContinuousStatsTable[[#This Row],[ProjectName]]&amp;ContinuousStatsTable[[#This Row],[Name]]&amp;ContinuousStatsTable[[#This Row],[Type]]&amp;ContinuousStatsTable[[#This Row],[Source]]</f>
        <v>Unnamed ProjectM2Instantaneous UtilizationResource</v>
      </c>
      <c r="N220" s="5" cm="1">
        <f t="array" ref="N220">MAX(IF((ProjectInfoTable[ProjectName]=ContinuousStatsTable[[#This Row],[ProjectName]]),(ProjectInfoTable[ProjectName]=ContinuousStatsTable[[#This Row],[ProjectName]])*ProjectInfoTable[NumberOfReplications]))</f>
        <v>10</v>
      </c>
      <c r="O220" s="5" cm="1">
        <f t="array" ref="O220">IFERROR(AVERAGE(IF((ContinuousStatsTable[GroupByKey]=ContinuousStatsTable[[#This Row],[GroupByKey]]),(ContinuousStatsTable[GroupByKey]=ContinuousStatsTable[[#This Row],[GroupByKey]])*ContinuousStatsTable[Average])),0)</f>
        <v>0.79069410142096264</v>
      </c>
      <c r="P220" s="5" cm="1">
        <f t="array" ref="P220">IFERROR(_xlfn.STDEV.S(IF((ContinuousStatsTable[GroupByKey]=ContinuousStatsTable[[#This Row],[GroupByKey]]),(ContinuousStatsTable[GroupByKey]=ContinuousStatsTable[[#This Row],[GroupByKey]])*ContinuousStatsTable[Average])),0)</f>
        <v>8.4677985904895448E-2</v>
      </c>
      <c r="Q220" s="5" cm="1">
        <f t="array" ref="Q220">MAX(IF((ProjectInfoTable[ProjectName]=ContinuousStatsTable[[#This Row],[ProjectName]]),(ProjectInfoTable[ProjectName]=ContinuousStatsTable[[#This Row],[ProjectName]])*ProjectInfoTable[ConfidenceInterval]))</f>
        <v>0.95</v>
      </c>
      <c r="R2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6.0574982000753563E-2</v>
      </c>
      <c r="S220" s="5" cm="1">
        <f t="array" ref="S220">MIN(IF((ContinuousStatsTable[GroupByKey]=ContinuousStatsTable[[#This Row],[GroupByKey]]),(ContinuousStatsTable[GroupByKey]=ContinuousStatsTable[[#This Row],[GroupByKey]])*ContinuousStatsTable[Average]))</f>
        <v>0.62412916158771403</v>
      </c>
      <c r="T220" s="5" cm="1">
        <f t="array" ref="T220">MAX(IF((ContinuousStatsTable[GroupByKey]=ContinuousStatsTable[[#This Row],[GroupByKey]]),(ContinuousStatsTable[GroupByKey]=ContinuousStatsTable[[#This Row],[GroupByKey]])*ContinuousStatsTable[Average]))</f>
        <v>0.92247891730008102</v>
      </c>
      <c r="U220" s="5">
        <f>IF((ContinuousStatsTable[[#This Row],[RepsRequested]]&gt;1),ContinuousStatsTable[[#This Row],[HalfWidth]],ContinuousStatsTable[[#This Row],[BatchMeansHalfWidth]])</f>
        <v>6.0574982000753563E-2</v>
      </c>
    </row>
    <row r="221" spans="1:21" x14ac:dyDescent="0.4">
      <c r="A221" t="s">
        <v>66</v>
      </c>
      <c r="B221" t="s">
        <v>69</v>
      </c>
      <c r="C221">
        <v>9</v>
      </c>
      <c r="D221" t="s">
        <v>100</v>
      </c>
      <c r="E221" t="s">
        <v>98</v>
      </c>
      <c r="F221" t="s">
        <v>97</v>
      </c>
      <c r="G221">
        <v>0.785976599233702</v>
      </c>
      <c r="H221">
        <v>2E+20</v>
      </c>
      <c r="I221">
        <v>0</v>
      </c>
      <c r="J221">
        <v>1</v>
      </c>
      <c r="K221">
        <v>1</v>
      </c>
      <c r="L221">
        <v>0</v>
      </c>
      <c r="M221" s="5" t="str">
        <f>ContinuousStatsTable[[#This Row],[ProjectName]]&amp;ContinuousStatsTable[[#This Row],[Name]]&amp;ContinuousStatsTable[[#This Row],[Type]]&amp;ContinuousStatsTable[[#This Row],[Source]]</f>
        <v>Unnamed ProjectM2Number BusyResource</v>
      </c>
      <c r="N221" s="5" cm="1">
        <f t="array" ref="N221">MAX(IF((ProjectInfoTable[ProjectName]=ContinuousStatsTable[[#This Row],[ProjectName]]),(ProjectInfoTable[ProjectName]=ContinuousStatsTable[[#This Row],[ProjectName]])*ProjectInfoTable[NumberOfReplications]))</f>
        <v>10</v>
      </c>
      <c r="O221" s="5" cm="1">
        <f t="array" ref="O221">IFERROR(AVERAGE(IF((ContinuousStatsTable[GroupByKey]=ContinuousStatsTable[[#This Row],[GroupByKey]]),(ContinuousStatsTable[GroupByKey]=ContinuousStatsTable[[#This Row],[GroupByKey]])*ContinuousStatsTable[Average])),0)</f>
        <v>0.79069410142096264</v>
      </c>
      <c r="P221" s="5" cm="1">
        <f t="array" ref="P221">IFERROR(_xlfn.STDEV.S(IF((ContinuousStatsTable[GroupByKey]=ContinuousStatsTable[[#This Row],[GroupByKey]]),(ContinuousStatsTable[GroupByKey]=ContinuousStatsTable[[#This Row],[GroupByKey]])*ContinuousStatsTable[Average])),0)</f>
        <v>8.4677985904895448E-2</v>
      </c>
      <c r="Q221" s="5" cm="1">
        <f t="array" ref="Q221">MAX(IF((ProjectInfoTable[ProjectName]=ContinuousStatsTable[[#This Row],[ProjectName]]),(ProjectInfoTable[ProjectName]=ContinuousStatsTable[[#This Row],[ProjectName]])*ProjectInfoTable[ConfidenceInterval]))</f>
        <v>0.95</v>
      </c>
      <c r="R2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6.0574982000753563E-2</v>
      </c>
      <c r="S221" s="5" cm="1">
        <f t="array" ref="S221">MIN(IF((ContinuousStatsTable[GroupByKey]=ContinuousStatsTable[[#This Row],[GroupByKey]]),(ContinuousStatsTable[GroupByKey]=ContinuousStatsTable[[#This Row],[GroupByKey]])*ContinuousStatsTable[Average]))</f>
        <v>0.62412916158771403</v>
      </c>
      <c r="T221" s="5" cm="1">
        <f t="array" ref="T221">MAX(IF((ContinuousStatsTable[GroupByKey]=ContinuousStatsTable[[#This Row],[GroupByKey]]),(ContinuousStatsTable[GroupByKey]=ContinuousStatsTable[[#This Row],[GroupByKey]])*ContinuousStatsTable[Average]))</f>
        <v>0.92247891730008102</v>
      </c>
      <c r="U221" s="5">
        <f>IF((ContinuousStatsTable[[#This Row],[RepsRequested]]&gt;1),ContinuousStatsTable[[#This Row],[HalfWidth]],ContinuousStatsTable[[#This Row],[BatchMeansHalfWidth]])</f>
        <v>6.0574982000753563E-2</v>
      </c>
    </row>
    <row r="222" spans="1:21" x14ac:dyDescent="0.4">
      <c r="A222" t="s">
        <v>66</v>
      </c>
      <c r="B222" t="s">
        <v>69</v>
      </c>
      <c r="C222">
        <v>9</v>
      </c>
      <c r="D222" t="s">
        <v>100</v>
      </c>
      <c r="E222" t="s">
        <v>99</v>
      </c>
      <c r="F222" t="s">
        <v>97</v>
      </c>
      <c r="G222">
        <v>1</v>
      </c>
      <c r="H222">
        <v>2E+20</v>
      </c>
      <c r="I222">
        <v>1</v>
      </c>
      <c r="J222">
        <v>1</v>
      </c>
      <c r="K222">
        <v>1</v>
      </c>
      <c r="L222">
        <v>0</v>
      </c>
      <c r="M222" s="5" t="str">
        <f>ContinuousStatsTable[[#This Row],[ProjectName]]&amp;ContinuousStatsTable[[#This Row],[Name]]&amp;ContinuousStatsTable[[#This Row],[Type]]&amp;ContinuousStatsTable[[#This Row],[Source]]</f>
        <v>Unnamed ProjectM2Number ScheduledResource</v>
      </c>
      <c r="N222" s="5" cm="1">
        <f t="array" ref="N222">MAX(IF((ProjectInfoTable[ProjectName]=ContinuousStatsTable[[#This Row],[ProjectName]]),(ProjectInfoTable[ProjectName]=ContinuousStatsTable[[#This Row],[ProjectName]])*ProjectInfoTable[NumberOfReplications]))</f>
        <v>10</v>
      </c>
      <c r="O222" s="5" cm="1">
        <f t="array" ref="O222">IFERROR(AVERAGE(IF((ContinuousStatsTable[GroupByKey]=ContinuousStatsTable[[#This Row],[GroupByKey]]),(ContinuousStatsTable[GroupByKey]=ContinuousStatsTable[[#This Row],[GroupByKey]])*ContinuousStatsTable[Average])),0)</f>
        <v>1</v>
      </c>
      <c r="P222" s="5" cm="1">
        <f t="array" ref="P222">IFERROR(_xlfn.STDEV.S(IF((ContinuousStatsTable[GroupByKey]=ContinuousStatsTable[[#This Row],[GroupByKey]]),(ContinuousStatsTable[GroupByKey]=ContinuousStatsTable[[#This Row],[GroupByKey]])*ContinuousStatsTable[Average])),0)</f>
        <v>0</v>
      </c>
      <c r="Q222" s="5" cm="1">
        <f t="array" ref="Q222">MAX(IF((ProjectInfoTable[ProjectName]=ContinuousStatsTable[[#This Row],[ProjectName]]),(ProjectInfoTable[ProjectName]=ContinuousStatsTable[[#This Row],[ProjectName]])*ProjectInfoTable[ConfidenceInterval]))</f>
        <v>0.95</v>
      </c>
      <c r="R2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2" s="5" cm="1">
        <f t="array" ref="S222">MIN(IF((ContinuousStatsTable[GroupByKey]=ContinuousStatsTable[[#This Row],[GroupByKey]]),(ContinuousStatsTable[GroupByKey]=ContinuousStatsTable[[#This Row],[GroupByKey]])*ContinuousStatsTable[Average]))</f>
        <v>1</v>
      </c>
      <c r="T222" s="5" cm="1">
        <f t="array" ref="T222">MAX(IF((ContinuousStatsTable[GroupByKey]=ContinuousStatsTable[[#This Row],[GroupByKey]]),(ContinuousStatsTable[GroupByKey]=ContinuousStatsTable[[#This Row],[GroupByKey]])*ContinuousStatsTable[Average]))</f>
        <v>1</v>
      </c>
      <c r="U222" s="5">
        <f>IF((ContinuousStatsTable[[#This Row],[RepsRequested]]&gt;1),ContinuousStatsTable[[#This Row],[HalfWidth]],ContinuousStatsTable[[#This Row],[BatchMeansHalfWidth]])</f>
        <v>0</v>
      </c>
    </row>
    <row r="223" spans="1:21" x14ac:dyDescent="0.4">
      <c r="A223" t="s">
        <v>66</v>
      </c>
      <c r="B223" t="s">
        <v>69</v>
      </c>
      <c r="C223">
        <v>9</v>
      </c>
      <c r="D223" t="s">
        <v>86</v>
      </c>
      <c r="E223" t="s">
        <v>94</v>
      </c>
      <c r="F223" t="s">
        <v>80</v>
      </c>
      <c r="G223">
        <v>1.77791571404792</v>
      </c>
      <c r="H223">
        <v>2E+20</v>
      </c>
      <c r="I223">
        <v>0</v>
      </c>
      <c r="J223">
        <v>8</v>
      </c>
      <c r="K223">
        <v>3</v>
      </c>
      <c r="L223">
        <v>0</v>
      </c>
      <c r="M223" s="5" t="str">
        <f>ContinuousStatsTable[[#This Row],[ProjectName]]&amp;ContinuousStatsTable[[#This Row],[Name]]&amp;ContinuousStatsTable[[#This Row],[Type]]&amp;ContinuousStatsTable[[#This Row],[Source]]</f>
        <v>Unnamed ProjectM2.QNumber WaitingQueue</v>
      </c>
      <c r="N223" s="5" cm="1">
        <f t="array" ref="N223">MAX(IF((ProjectInfoTable[ProjectName]=ContinuousStatsTable[[#This Row],[ProjectName]]),(ProjectInfoTable[ProjectName]=ContinuousStatsTable[[#This Row],[ProjectName]])*ProjectInfoTable[NumberOfReplications]))</f>
        <v>10</v>
      </c>
      <c r="O223" s="5" cm="1">
        <f t="array" ref="O223">IFERROR(AVERAGE(IF((ContinuousStatsTable[GroupByKey]=ContinuousStatsTable[[#This Row],[GroupByKey]]),(ContinuousStatsTable[GroupByKey]=ContinuousStatsTable[[#This Row],[GroupByKey]])*ContinuousStatsTable[Average])),0)</f>
        <v>1.9414248775037748</v>
      </c>
      <c r="P223" s="5" cm="1">
        <f t="array" ref="P223">IFERROR(_xlfn.STDEV.S(IF((ContinuousStatsTable[GroupByKey]=ContinuousStatsTable[[#This Row],[GroupByKey]]),(ContinuousStatsTable[GroupByKey]=ContinuousStatsTable[[#This Row],[GroupByKey]])*ContinuousStatsTable[Average])),0)</f>
        <v>1.0999712931753487</v>
      </c>
      <c r="Q223" s="5" cm="1">
        <f t="array" ref="Q223">MAX(IF((ProjectInfoTable[ProjectName]=ContinuousStatsTable[[#This Row],[ProjectName]]),(ProjectInfoTable[ProjectName]=ContinuousStatsTable[[#This Row],[ProjectName]])*ProjectInfoTable[ConfidenceInterval]))</f>
        <v>0.95</v>
      </c>
      <c r="R2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0.78687206094246831</v>
      </c>
      <c r="S223" s="5" cm="1">
        <f t="array" ref="S223">MIN(IF((ContinuousStatsTable[GroupByKey]=ContinuousStatsTable[[#This Row],[GroupByKey]]),(ContinuousStatsTable[GroupByKey]=ContinuousStatsTable[[#This Row],[GroupByKey]])*ContinuousStatsTable[Average]))</f>
        <v>0.64368437614034602</v>
      </c>
      <c r="T223" s="5" cm="1">
        <f t="array" ref="T223">MAX(IF((ContinuousStatsTable[GroupByKey]=ContinuousStatsTable[[#This Row],[GroupByKey]]),(ContinuousStatsTable[GroupByKey]=ContinuousStatsTable[[#This Row],[GroupByKey]])*ContinuousStatsTable[Average]))</f>
        <v>3.96038812902029</v>
      </c>
      <c r="U223" s="5">
        <f>IF((ContinuousStatsTable[[#This Row],[RepsRequested]]&gt;1),ContinuousStatsTable[[#This Row],[HalfWidth]],ContinuousStatsTable[[#This Row],[BatchMeansHalfWidth]])</f>
        <v>0.78687206094246831</v>
      </c>
    </row>
    <row r="224" spans="1:21" x14ac:dyDescent="0.4">
      <c r="A224" t="s">
        <v>66</v>
      </c>
      <c r="B224" t="s">
        <v>69</v>
      </c>
      <c r="C224">
        <v>9</v>
      </c>
      <c r="D224" t="s">
        <v>101</v>
      </c>
      <c r="E224" t="s">
        <v>96</v>
      </c>
      <c r="F224" t="s">
        <v>97</v>
      </c>
      <c r="G224">
        <v>0.37226147107938901</v>
      </c>
      <c r="H224">
        <v>3E+20</v>
      </c>
      <c r="I224">
        <v>0</v>
      </c>
      <c r="J224">
        <v>1</v>
      </c>
      <c r="K224">
        <v>0</v>
      </c>
      <c r="L224">
        <v>0</v>
      </c>
      <c r="M224" s="5" t="str">
        <f>ContinuousStatsTable[[#This Row],[ProjectName]]&amp;ContinuousStatsTable[[#This Row],[Name]]&amp;ContinuousStatsTable[[#This Row],[Type]]&amp;ContinuousStatsTable[[#This Row],[Source]]</f>
        <v>Unnamed ProjectM3Instantaneous UtilizationResource</v>
      </c>
      <c r="N224" s="5" cm="1">
        <f t="array" ref="N224">MAX(IF((ProjectInfoTable[ProjectName]=ContinuousStatsTable[[#This Row],[ProjectName]]),(ProjectInfoTable[ProjectName]=ContinuousStatsTable[[#This Row],[ProjectName]])*ProjectInfoTable[NumberOfReplications]))</f>
        <v>10</v>
      </c>
      <c r="O224" s="5" cm="1">
        <f t="array" ref="O224">IFERROR(AVERAGE(IF((ContinuousStatsTable[GroupByKey]=ContinuousStatsTable[[#This Row],[GroupByKey]]),(ContinuousStatsTable[GroupByKey]=ContinuousStatsTable[[#This Row],[GroupByKey]])*ContinuousStatsTable[Average])),0)</f>
        <v>0.38204498745219106</v>
      </c>
      <c r="P224" s="5" cm="1">
        <f t="array" ref="P224">IFERROR(_xlfn.STDEV.S(IF((ContinuousStatsTable[GroupByKey]=ContinuousStatsTable[[#This Row],[GroupByKey]]),(ContinuousStatsTable[GroupByKey]=ContinuousStatsTable[[#This Row],[GroupByKey]])*ContinuousStatsTable[Average])),0)</f>
        <v>2.9603647703352595E-2</v>
      </c>
      <c r="Q224" s="5" cm="1">
        <f t="array" ref="Q224">MAX(IF((ProjectInfoTable[ProjectName]=ContinuousStatsTable[[#This Row],[ProjectName]]),(ProjectInfoTable[ProjectName]=ContinuousStatsTable[[#This Row],[ProjectName]])*ProjectInfoTable[ConfidenceInterval]))</f>
        <v>0.95</v>
      </c>
      <c r="R2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2.1177173826515884E-2</v>
      </c>
      <c r="S224" s="5" cm="1">
        <f t="array" ref="S224">MIN(IF((ContinuousStatsTable[GroupByKey]=ContinuousStatsTable[[#This Row],[GroupByKey]]),(ContinuousStatsTable[GroupByKey]=ContinuousStatsTable[[#This Row],[GroupByKey]])*ContinuousStatsTable[Average]))</f>
        <v>0.32566726436532201</v>
      </c>
      <c r="T224" s="5" cm="1">
        <f t="array" ref="T224">MAX(IF((ContinuousStatsTable[GroupByKey]=ContinuousStatsTable[[#This Row],[GroupByKey]]),(ContinuousStatsTable[GroupByKey]=ContinuousStatsTable[[#This Row],[GroupByKey]])*ContinuousStatsTable[Average]))</f>
        <v>0.42511230467838501</v>
      </c>
      <c r="U224" s="5">
        <f>IF((ContinuousStatsTable[[#This Row],[RepsRequested]]&gt;1),ContinuousStatsTable[[#This Row],[HalfWidth]],ContinuousStatsTable[[#This Row],[BatchMeansHalfWidth]])</f>
        <v>2.1177173826515884E-2</v>
      </c>
    </row>
    <row r="225" spans="1:21" x14ac:dyDescent="0.4">
      <c r="A225" t="s">
        <v>66</v>
      </c>
      <c r="B225" t="s">
        <v>69</v>
      </c>
      <c r="C225">
        <v>9</v>
      </c>
      <c r="D225" t="s">
        <v>101</v>
      </c>
      <c r="E225" t="s">
        <v>98</v>
      </c>
      <c r="F225" t="s">
        <v>97</v>
      </c>
      <c r="G225">
        <v>0.74452294215877801</v>
      </c>
      <c r="H225">
        <v>3E+20</v>
      </c>
      <c r="I225">
        <v>0</v>
      </c>
      <c r="J225">
        <v>2</v>
      </c>
      <c r="K225">
        <v>0</v>
      </c>
      <c r="L225">
        <v>0</v>
      </c>
      <c r="M225" s="5" t="str">
        <f>ContinuousStatsTable[[#This Row],[ProjectName]]&amp;ContinuousStatsTable[[#This Row],[Name]]&amp;ContinuousStatsTable[[#This Row],[Type]]&amp;ContinuousStatsTable[[#This Row],[Source]]</f>
        <v>Unnamed ProjectM3Number BusyResource</v>
      </c>
      <c r="N225" s="5" cm="1">
        <f t="array" ref="N225">MAX(IF((ProjectInfoTable[ProjectName]=ContinuousStatsTable[[#This Row],[ProjectName]]),(ProjectInfoTable[ProjectName]=ContinuousStatsTable[[#This Row],[ProjectName]])*ProjectInfoTable[NumberOfReplications]))</f>
        <v>10</v>
      </c>
      <c r="O225" s="5" cm="1">
        <f t="array" ref="O225">IFERROR(AVERAGE(IF((ContinuousStatsTable[GroupByKey]=ContinuousStatsTable[[#This Row],[GroupByKey]]),(ContinuousStatsTable[GroupByKey]=ContinuousStatsTable[[#This Row],[GroupByKey]])*ContinuousStatsTable[Average])),0)</f>
        <v>0.76408997490438202</v>
      </c>
      <c r="P225" s="5" cm="1">
        <f t="array" ref="P225">IFERROR(_xlfn.STDEV.S(IF((ContinuousStatsTable[GroupByKey]=ContinuousStatsTable[[#This Row],[GroupByKey]]),(ContinuousStatsTable[GroupByKey]=ContinuousStatsTable[[#This Row],[GroupByKey]])*ContinuousStatsTable[Average])),0)</f>
        <v>5.9207295406705232E-2</v>
      </c>
      <c r="Q225" s="5" cm="1">
        <f t="array" ref="Q225">MAX(IF((ProjectInfoTable[ProjectName]=ContinuousStatsTable[[#This Row],[ProjectName]]),(ProjectInfoTable[ProjectName]=ContinuousStatsTable[[#This Row],[ProjectName]])*ProjectInfoTable[ConfidenceInterval]))</f>
        <v>0.95</v>
      </c>
      <c r="R2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4.2354347653031796E-2</v>
      </c>
      <c r="S225" s="5" cm="1">
        <f t="array" ref="S225">MIN(IF((ContinuousStatsTable[GroupByKey]=ContinuousStatsTable[[#This Row],[GroupByKey]]),(ContinuousStatsTable[GroupByKey]=ContinuousStatsTable[[#This Row],[GroupByKey]])*ContinuousStatsTable[Average]))</f>
        <v>0.65133452873064301</v>
      </c>
      <c r="T225" s="5" cm="1">
        <f t="array" ref="T225">MAX(IF((ContinuousStatsTable[GroupByKey]=ContinuousStatsTable[[#This Row],[GroupByKey]]),(ContinuousStatsTable[GroupByKey]=ContinuousStatsTable[[#This Row],[GroupByKey]])*ContinuousStatsTable[Average]))</f>
        <v>0.85022460935677002</v>
      </c>
      <c r="U225" s="5">
        <f>IF((ContinuousStatsTable[[#This Row],[RepsRequested]]&gt;1),ContinuousStatsTable[[#This Row],[HalfWidth]],ContinuousStatsTable[[#This Row],[BatchMeansHalfWidth]])</f>
        <v>4.2354347653031796E-2</v>
      </c>
    </row>
    <row r="226" spans="1:21" x14ac:dyDescent="0.4">
      <c r="A226" t="s">
        <v>66</v>
      </c>
      <c r="B226" t="s">
        <v>69</v>
      </c>
      <c r="C226">
        <v>9</v>
      </c>
      <c r="D226" t="s">
        <v>101</v>
      </c>
      <c r="E226" t="s">
        <v>99</v>
      </c>
      <c r="F226" t="s">
        <v>97</v>
      </c>
      <c r="G226">
        <v>2</v>
      </c>
      <c r="H226">
        <v>2E+20</v>
      </c>
      <c r="I226">
        <v>2</v>
      </c>
      <c r="J226">
        <v>2</v>
      </c>
      <c r="K226">
        <v>2</v>
      </c>
      <c r="L226">
        <v>0</v>
      </c>
      <c r="M226" s="5" t="str">
        <f>ContinuousStatsTable[[#This Row],[ProjectName]]&amp;ContinuousStatsTable[[#This Row],[Name]]&amp;ContinuousStatsTable[[#This Row],[Type]]&amp;ContinuousStatsTable[[#This Row],[Source]]</f>
        <v>Unnamed ProjectM3Number ScheduledResource</v>
      </c>
      <c r="N226" s="5" cm="1">
        <f t="array" ref="N226">MAX(IF((ProjectInfoTable[ProjectName]=ContinuousStatsTable[[#This Row],[ProjectName]]),(ProjectInfoTable[ProjectName]=ContinuousStatsTable[[#This Row],[ProjectName]])*ProjectInfoTable[NumberOfReplications]))</f>
        <v>10</v>
      </c>
      <c r="O226" s="5" cm="1">
        <f t="array" ref="O226">IFERROR(AVERAGE(IF((ContinuousStatsTable[GroupByKey]=ContinuousStatsTable[[#This Row],[GroupByKey]]),(ContinuousStatsTable[GroupByKey]=ContinuousStatsTable[[#This Row],[GroupByKey]])*ContinuousStatsTable[Average])),0)</f>
        <v>2</v>
      </c>
      <c r="P226" s="5" cm="1">
        <f t="array" ref="P226">IFERROR(_xlfn.STDEV.S(IF((ContinuousStatsTable[GroupByKey]=ContinuousStatsTable[[#This Row],[GroupByKey]]),(ContinuousStatsTable[GroupByKey]=ContinuousStatsTable[[#This Row],[GroupByKey]])*ContinuousStatsTable[Average])),0)</f>
        <v>0</v>
      </c>
      <c r="Q226" s="5" cm="1">
        <f t="array" ref="Q226">MAX(IF((ProjectInfoTable[ProjectName]=ContinuousStatsTable[[#This Row],[ProjectName]]),(ProjectInfoTable[ProjectName]=ContinuousStatsTable[[#This Row],[ProjectName]])*ProjectInfoTable[ConfidenceInterval]))</f>
        <v>0.95</v>
      </c>
      <c r="R2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6" s="5" cm="1">
        <f t="array" ref="S226">MIN(IF((ContinuousStatsTable[GroupByKey]=ContinuousStatsTable[[#This Row],[GroupByKey]]),(ContinuousStatsTable[GroupByKey]=ContinuousStatsTable[[#This Row],[GroupByKey]])*ContinuousStatsTable[Average]))</f>
        <v>2</v>
      </c>
      <c r="T226" s="5" cm="1">
        <f t="array" ref="T226">MAX(IF((ContinuousStatsTable[GroupByKey]=ContinuousStatsTable[[#This Row],[GroupByKey]]),(ContinuousStatsTable[GroupByKey]=ContinuousStatsTable[[#This Row],[GroupByKey]])*ContinuousStatsTable[Average]))</f>
        <v>2</v>
      </c>
      <c r="U226" s="5">
        <f>IF((ContinuousStatsTable[[#This Row],[RepsRequested]]&gt;1),ContinuousStatsTable[[#This Row],[HalfWidth]],ContinuousStatsTable[[#This Row],[BatchMeansHalfWidth]])</f>
        <v>0</v>
      </c>
    </row>
    <row r="227" spans="1:21" x14ac:dyDescent="0.4">
      <c r="A227" t="s">
        <v>66</v>
      </c>
      <c r="B227" t="s">
        <v>69</v>
      </c>
      <c r="C227">
        <v>9</v>
      </c>
      <c r="D227" t="s">
        <v>87</v>
      </c>
      <c r="E227" t="s">
        <v>94</v>
      </c>
      <c r="F227" t="s">
        <v>80</v>
      </c>
      <c r="G227">
        <v>1.85781565677464E-2</v>
      </c>
      <c r="H227">
        <v>2E+20</v>
      </c>
      <c r="I227">
        <v>0</v>
      </c>
      <c r="J227">
        <v>1</v>
      </c>
      <c r="K227">
        <v>0</v>
      </c>
      <c r="L227">
        <v>0</v>
      </c>
      <c r="M227" s="5" t="str">
        <f>ContinuousStatsTable[[#This Row],[ProjectName]]&amp;ContinuousStatsTable[[#This Row],[Name]]&amp;ContinuousStatsTable[[#This Row],[Type]]&amp;ContinuousStatsTable[[#This Row],[Source]]</f>
        <v>Unnamed ProjectM3.QNumber WaitingQueue</v>
      </c>
      <c r="N227" s="5" cm="1">
        <f t="array" ref="N227">MAX(IF((ProjectInfoTable[ProjectName]=ContinuousStatsTable[[#This Row],[ProjectName]]),(ProjectInfoTable[ProjectName]=ContinuousStatsTable[[#This Row],[ProjectName]])*ProjectInfoTable[NumberOfReplications]))</f>
        <v>10</v>
      </c>
      <c r="O227" s="5" cm="1">
        <f t="array" ref="O227">IFERROR(AVERAGE(IF((ContinuousStatsTable[GroupByKey]=ContinuousStatsTable[[#This Row],[GroupByKey]]),(ContinuousStatsTable[GroupByKey]=ContinuousStatsTable[[#This Row],[GroupByKey]])*ContinuousStatsTable[Average])),0)</f>
        <v>2.5183140573256935E-2</v>
      </c>
      <c r="P227" s="5" cm="1">
        <f t="array" ref="P227">IFERROR(_xlfn.STDEV.S(IF((ContinuousStatsTable[GroupByKey]=ContinuousStatsTable[[#This Row],[GroupByKey]]),(ContinuousStatsTable[GroupByKey]=ContinuousStatsTable[[#This Row],[GroupByKey]])*ContinuousStatsTable[Average])),0)</f>
        <v>6.5933898933538881E-3</v>
      </c>
      <c r="Q227" s="5" cm="1">
        <f t="array" ref="Q227">MAX(IF((ProjectInfoTable[ProjectName]=ContinuousStatsTable[[#This Row],[ProjectName]]),(ProjectInfoTable[ProjectName]=ContinuousStatsTable[[#This Row],[ProjectName]])*ProjectInfoTable[ConfidenceInterval]))</f>
        <v>0.95</v>
      </c>
      <c r="R2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4.7166269939678878E-3</v>
      </c>
      <c r="S227" s="5" cm="1">
        <f t="array" ref="S227">MIN(IF((ContinuousStatsTable[GroupByKey]=ContinuousStatsTable[[#This Row],[GroupByKey]]),(ContinuousStatsTable[GroupByKey]=ContinuousStatsTable[[#This Row],[GroupByKey]])*ContinuousStatsTable[Average]))</f>
        <v>1.7183032756251101E-2</v>
      </c>
      <c r="T227" s="5" cm="1">
        <f t="array" ref="T227">MAX(IF((ContinuousStatsTable[GroupByKey]=ContinuousStatsTable[[#This Row],[GroupByKey]]),(ContinuousStatsTable[GroupByKey]=ContinuousStatsTable[[#This Row],[GroupByKey]])*ContinuousStatsTable[Average]))</f>
        <v>3.3093677405251203E-2</v>
      </c>
      <c r="U227" s="5">
        <f>IF((ContinuousStatsTable[[#This Row],[RepsRequested]]&gt;1),ContinuousStatsTable[[#This Row],[HalfWidth]],ContinuousStatsTable[[#This Row],[BatchMeansHalfWidth]])</f>
        <v>4.7166269939678878E-3</v>
      </c>
    </row>
    <row r="228" spans="1:21" x14ac:dyDescent="0.4">
      <c r="A228" t="s">
        <v>66</v>
      </c>
      <c r="B228" t="s">
        <v>69</v>
      </c>
      <c r="C228">
        <v>9</v>
      </c>
      <c r="D228" t="s">
        <v>102</v>
      </c>
      <c r="E228" t="s">
        <v>96</v>
      </c>
      <c r="F228" t="s">
        <v>97</v>
      </c>
      <c r="G228">
        <v>0.72217215637455201</v>
      </c>
      <c r="H228">
        <v>2E+20</v>
      </c>
      <c r="I228">
        <v>0</v>
      </c>
      <c r="J228">
        <v>1</v>
      </c>
      <c r="K228">
        <v>1</v>
      </c>
      <c r="L228">
        <v>0</v>
      </c>
      <c r="M228" s="5" t="str">
        <f>ContinuousStatsTable[[#This Row],[ProjectName]]&amp;ContinuousStatsTable[[#This Row],[Name]]&amp;ContinuousStatsTable[[#This Row],[Type]]&amp;ContinuousStatsTable[[#This Row],[Source]]</f>
        <v>Unnamed ProjectM4Instantaneous UtilizationResource</v>
      </c>
      <c r="N228" s="5" cm="1">
        <f t="array" ref="N228">MAX(IF((ProjectInfoTable[ProjectName]=ContinuousStatsTable[[#This Row],[ProjectName]]),(ProjectInfoTable[ProjectName]=ContinuousStatsTable[[#This Row],[ProjectName]])*ProjectInfoTable[NumberOfReplications]))</f>
        <v>10</v>
      </c>
      <c r="O228" s="5" cm="1">
        <f t="array" ref="O228">IFERROR(AVERAGE(IF((ContinuousStatsTable[GroupByKey]=ContinuousStatsTable[[#This Row],[GroupByKey]]),(ContinuousStatsTable[GroupByKey]=ContinuousStatsTable[[#This Row],[GroupByKey]])*ContinuousStatsTable[Average])),0)</f>
        <v>0.68948907951108873</v>
      </c>
      <c r="P228" s="5" cm="1">
        <f t="array" ref="P228">IFERROR(_xlfn.STDEV.S(IF((ContinuousStatsTable[GroupByKey]=ContinuousStatsTable[[#This Row],[GroupByKey]]),(ContinuousStatsTable[GroupByKey]=ContinuousStatsTable[[#This Row],[GroupByKey]])*ContinuousStatsTable[Average])),0)</f>
        <v>7.0099805521104841E-2</v>
      </c>
      <c r="Q228" s="5" cm="1">
        <f t="array" ref="Q228">MAX(IF((ProjectInfoTable[ProjectName]=ContinuousStatsTable[[#This Row],[ProjectName]]),(ProjectInfoTable[ProjectName]=ContinuousStatsTable[[#This Row],[ProjectName]])*ProjectInfoTable[ConfidenceInterval]))</f>
        <v>0.95</v>
      </c>
      <c r="R2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5.0146379986722875E-2</v>
      </c>
      <c r="S228" s="5" cm="1">
        <f t="array" ref="S228">MIN(IF((ContinuousStatsTable[GroupByKey]=ContinuousStatsTable[[#This Row],[GroupByKey]]),(ContinuousStatsTable[GroupByKey]=ContinuousStatsTable[[#This Row],[GroupByKey]])*ContinuousStatsTable[Average]))</f>
        <v>0.59708526729729605</v>
      </c>
      <c r="T228" s="5" cm="1">
        <f t="array" ref="T228">MAX(IF((ContinuousStatsTable[GroupByKey]=ContinuousStatsTable[[#This Row],[GroupByKey]]),(ContinuousStatsTable[GroupByKey]=ContinuousStatsTable[[#This Row],[GroupByKey]])*ContinuousStatsTable[Average]))</f>
        <v>0.81511052462014799</v>
      </c>
      <c r="U228" s="5">
        <f>IF((ContinuousStatsTable[[#This Row],[RepsRequested]]&gt;1),ContinuousStatsTable[[#This Row],[HalfWidth]],ContinuousStatsTable[[#This Row],[BatchMeansHalfWidth]])</f>
        <v>5.0146379986722875E-2</v>
      </c>
    </row>
    <row r="229" spans="1:21" x14ac:dyDescent="0.4">
      <c r="A229" t="s">
        <v>66</v>
      </c>
      <c r="B229" t="s">
        <v>69</v>
      </c>
      <c r="C229">
        <v>9</v>
      </c>
      <c r="D229" t="s">
        <v>102</v>
      </c>
      <c r="E229" t="s">
        <v>98</v>
      </c>
      <c r="F229" t="s">
        <v>97</v>
      </c>
      <c r="G229">
        <v>0.72217215637455201</v>
      </c>
      <c r="H229">
        <v>2E+20</v>
      </c>
      <c r="I229">
        <v>0</v>
      </c>
      <c r="J229">
        <v>1</v>
      </c>
      <c r="K229">
        <v>1</v>
      </c>
      <c r="L229">
        <v>0</v>
      </c>
      <c r="M229" s="5" t="str">
        <f>ContinuousStatsTable[[#This Row],[ProjectName]]&amp;ContinuousStatsTable[[#This Row],[Name]]&amp;ContinuousStatsTable[[#This Row],[Type]]&amp;ContinuousStatsTable[[#This Row],[Source]]</f>
        <v>Unnamed ProjectM4Number BusyResource</v>
      </c>
      <c r="N229" s="5" cm="1">
        <f t="array" ref="N229">MAX(IF((ProjectInfoTable[ProjectName]=ContinuousStatsTable[[#This Row],[ProjectName]]),(ProjectInfoTable[ProjectName]=ContinuousStatsTable[[#This Row],[ProjectName]])*ProjectInfoTable[NumberOfReplications]))</f>
        <v>10</v>
      </c>
      <c r="O229" s="5" cm="1">
        <f t="array" ref="O229">IFERROR(AVERAGE(IF((ContinuousStatsTable[GroupByKey]=ContinuousStatsTable[[#This Row],[GroupByKey]]),(ContinuousStatsTable[GroupByKey]=ContinuousStatsTable[[#This Row],[GroupByKey]])*ContinuousStatsTable[Average])),0)</f>
        <v>0.68948907951108873</v>
      </c>
      <c r="P229" s="5" cm="1">
        <f t="array" ref="P229">IFERROR(_xlfn.STDEV.S(IF((ContinuousStatsTable[GroupByKey]=ContinuousStatsTable[[#This Row],[GroupByKey]]),(ContinuousStatsTable[GroupByKey]=ContinuousStatsTable[[#This Row],[GroupByKey]])*ContinuousStatsTable[Average])),0)</f>
        <v>7.0099805521104841E-2</v>
      </c>
      <c r="Q229" s="5" cm="1">
        <f t="array" ref="Q229">MAX(IF((ProjectInfoTable[ProjectName]=ContinuousStatsTable[[#This Row],[ProjectName]]),(ProjectInfoTable[ProjectName]=ContinuousStatsTable[[#This Row],[ProjectName]])*ProjectInfoTable[ConfidenceInterval]))</f>
        <v>0.95</v>
      </c>
      <c r="R2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5.0146379986722875E-2</v>
      </c>
      <c r="S229" s="5" cm="1">
        <f t="array" ref="S229">MIN(IF((ContinuousStatsTable[GroupByKey]=ContinuousStatsTable[[#This Row],[GroupByKey]]),(ContinuousStatsTable[GroupByKey]=ContinuousStatsTable[[#This Row],[GroupByKey]])*ContinuousStatsTable[Average]))</f>
        <v>0.59708526729729605</v>
      </c>
      <c r="T229" s="5" cm="1">
        <f t="array" ref="T229">MAX(IF((ContinuousStatsTable[GroupByKey]=ContinuousStatsTable[[#This Row],[GroupByKey]]),(ContinuousStatsTable[GroupByKey]=ContinuousStatsTable[[#This Row],[GroupByKey]])*ContinuousStatsTable[Average]))</f>
        <v>0.81511052462014799</v>
      </c>
      <c r="U229" s="5">
        <f>IF((ContinuousStatsTable[[#This Row],[RepsRequested]]&gt;1),ContinuousStatsTable[[#This Row],[HalfWidth]],ContinuousStatsTable[[#This Row],[BatchMeansHalfWidth]])</f>
        <v>5.0146379986722875E-2</v>
      </c>
    </row>
    <row r="230" spans="1:21" x14ac:dyDescent="0.4">
      <c r="A230" t="s">
        <v>66</v>
      </c>
      <c r="B230" t="s">
        <v>69</v>
      </c>
      <c r="C230">
        <v>9</v>
      </c>
      <c r="D230" t="s">
        <v>102</v>
      </c>
      <c r="E230" t="s">
        <v>99</v>
      </c>
      <c r="F230" t="s">
        <v>97</v>
      </c>
      <c r="G230">
        <v>1</v>
      </c>
      <c r="H230">
        <v>2E+20</v>
      </c>
      <c r="I230">
        <v>1</v>
      </c>
      <c r="J230">
        <v>1</v>
      </c>
      <c r="K230">
        <v>1</v>
      </c>
      <c r="L230">
        <v>0</v>
      </c>
      <c r="M230" s="5" t="str">
        <f>ContinuousStatsTable[[#This Row],[ProjectName]]&amp;ContinuousStatsTable[[#This Row],[Name]]&amp;ContinuousStatsTable[[#This Row],[Type]]&amp;ContinuousStatsTable[[#This Row],[Source]]</f>
        <v>Unnamed ProjectM4Number ScheduledResource</v>
      </c>
      <c r="N230" s="5" cm="1">
        <f t="array" ref="N230">MAX(IF((ProjectInfoTable[ProjectName]=ContinuousStatsTable[[#This Row],[ProjectName]]),(ProjectInfoTable[ProjectName]=ContinuousStatsTable[[#This Row],[ProjectName]])*ProjectInfoTable[NumberOfReplications]))</f>
        <v>10</v>
      </c>
      <c r="O230" s="5" cm="1">
        <f t="array" ref="O230">IFERROR(AVERAGE(IF((ContinuousStatsTable[GroupByKey]=ContinuousStatsTable[[#This Row],[GroupByKey]]),(ContinuousStatsTable[GroupByKey]=ContinuousStatsTable[[#This Row],[GroupByKey]])*ContinuousStatsTable[Average])),0)</f>
        <v>1</v>
      </c>
      <c r="P230" s="5" cm="1">
        <f t="array" ref="P230">IFERROR(_xlfn.STDEV.S(IF((ContinuousStatsTable[GroupByKey]=ContinuousStatsTable[[#This Row],[GroupByKey]]),(ContinuousStatsTable[GroupByKey]=ContinuousStatsTable[[#This Row],[GroupByKey]])*ContinuousStatsTable[Average])),0)</f>
        <v>0</v>
      </c>
      <c r="Q230" s="5" cm="1">
        <f t="array" ref="Q230">MAX(IF((ProjectInfoTable[ProjectName]=ContinuousStatsTable[[#This Row],[ProjectName]]),(ProjectInfoTable[ProjectName]=ContinuousStatsTable[[#This Row],[ProjectName]])*ProjectInfoTable[ConfidenceInterval]))</f>
        <v>0.95</v>
      </c>
      <c r="R2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0" s="5" cm="1">
        <f t="array" ref="S230">MIN(IF((ContinuousStatsTable[GroupByKey]=ContinuousStatsTable[[#This Row],[GroupByKey]]),(ContinuousStatsTable[GroupByKey]=ContinuousStatsTable[[#This Row],[GroupByKey]])*ContinuousStatsTable[Average]))</f>
        <v>1</v>
      </c>
      <c r="T230" s="5" cm="1">
        <f t="array" ref="T230">MAX(IF((ContinuousStatsTable[GroupByKey]=ContinuousStatsTable[[#This Row],[GroupByKey]]),(ContinuousStatsTable[GroupByKey]=ContinuousStatsTable[[#This Row],[GroupByKey]])*ContinuousStatsTable[Average]))</f>
        <v>1</v>
      </c>
      <c r="U230" s="5">
        <f>IF((ContinuousStatsTable[[#This Row],[RepsRequested]]&gt;1),ContinuousStatsTable[[#This Row],[HalfWidth]],ContinuousStatsTable[[#This Row],[BatchMeansHalfWidth]])</f>
        <v>0</v>
      </c>
    </row>
    <row r="231" spans="1:21" x14ac:dyDescent="0.4">
      <c r="A231" t="s">
        <v>66</v>
      </c>
      <c r="B231" t="s">
        <v>69</v>
      </c>
      <c r="C231">
        <v>9</v>
      </c>
      <c r="D231" t="s">
        <v>88</v>
      </c>
      <c r="E231" t="s">
        <v>94</v>
      </c>
      <c r="F231" t="s">
        <v>80</v>
      </c>
      <c r="G231">
        <v>1.1705129357270601</v>
      </c>
      <c r="H231">
        <v>2E+20</v>
      </c>
      <c r="I231">
        <v>0</v>
      </c>
      <c r="J231">
        <v>6</v>
      </c>
      <c r="K231">
        <v>6</v>
      </c>
      <c r="L231">
        <v>0</v>
      </c>
      <c r="M231" s="5" t="str">
        <f>ContinuousStatsTable[[#This Row],[ProjectName]]&amp;ContinuousStatsTable[[#This Row],[Name]]&amp;ContinuousStatsTable[[#This Row],[Type]]&amp;ContinuousStatsTable[[#This Row],[Source]]</f>
        <v>Unnamed ProjectM4.QNumber WaitingQueue</v>
      </c>
      <c r="N231" s="5" cm="1">
        <f t="array" ref="N231">MAX(IF((ProjectInfoTable[ProjectName]=ContinuousStatsTable[[#This Row],[ProjectName]]),(ProjectInfoTable[ProjectName]=ContinuousStatsTable[[#This Row],[ProjectName]])*ProjectInfoTable[NumberOfReplications]))</f>
        <v>10</v>
      </c>
      <c r="O231" s="5" cm="1">
        <f t="array" ref="O231">IFERROR(AVERAGE(IF((ContinuousStatsTable[GroupByKey]=ContinuousStatsTable[[#This Row],[GroupByKey]]),(ContinuousStatsTable[GroupByKey]=ContinuousStatsTable[[#This Row],[GroupByKey]])*ContinuousStatsTable[Average])),0)</f>
        <v>0.92596780474390472</v>
      </c>
      <c r="P231" s="5" cm="1">
        <f t="array" ref="P231">IFERROR(_xlfn.STDEV.S(IF((ContinuousStatsTable[GroupByKey]=ContinuousStatsTable[[#This Row],[GroupByKey]]),(ContinuousStatsTable[GroupByKey]=ContinuousStatsTable[[#This Row],[GroupByKey]])*ContinuousStatsTable[Average])),0)</f>
        <v>0.23565784373506599</v>
      </c>
      <c r="Q231" s="5" cm="1">
        <f t="array" ref="Q231">MAX(IF((ProjectInfoTable[ProjectName]=ContinuousStatsTable[[#This Row],[ProjectName]]),(ProjectInfoTable[ProjectName]=ContinuousStatsTable[[#This Row],[ProjectName]])*ProjectInfoTable[ConfidenceInterval]))</f>
        <v>0.95</v>
      </c>
      <c r="R2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0.16857946596203516</v>
      </c>
      <c r="S231" s="5" cm="1">
        <f t="array" ref="S231">MIN(IF((ContinuousStatsTable[GroupByKey]=ContinuousStatsTable[[#This Row],[GroupByKey]]),(ContinuousStatsTable[GroupByKey]=ContinuousStatsTable[[#This Row],[GroupByKey]])*ContinuousStatsTable[Average]))</f>
        <v>0.61954382246291895</v>
      </c>
      <c r="T231" s="5" cm="1">
        <f t="array" ref="T231">MAX(IF((ContinuousStatsTable[GroupByKey]=ContinuousStatsTable[[#This Row],[GroupByKey]]),(ContinuousStatsTable[GroupByKey]=ContinuousStatsTable[[#This Row],[GroupByKey]])*ContinuousStatsTable[Average]))</f>
        <v>1.4060201140591599</v>
      </c>
      <c r="U231" s="5">
        <f>IF((ContinuousStatsTable[[#This Row],[RepsRequested]]&gt;1),ContinuousStatsTable[[#This Row],[HalfWidth]],ContinuousStatsTable[[#This Row],[BatchMeansHalfWidth]])</f>
        <v>0.16857946596203516</v>
      </c>
    </row>
    <row r="232" spans="1:21" x14ac:dyDescent="0.4">
      <c r="A232" t="s">
        <v>66</v>
      </c>
      <c r="B232" t="s">
        <v>69</v>
      </c>
      <c r="C232">
        <v>9</v>
      </c>
      <c r="D232" t="s">
        <v>103</v>
      </c>
      <c r="E232" t="s">
        <v>96</v>
      </c>
      <c r="F232" t="s">
        <v>97</v>
      </c>
      <c r="G232">
        <v>0.36650972442579799</v>
      </c>
      <c r="H232">
        <v>3.74648248532891E-2</v>
      </c>
      <c r="I232">
        <v>0</v>
      </c>
      <c r="J232">
        <v>1</v>
      </c>
      <c r="K232">
        <v>0</v>
      </c>
      <c r="L232">
        <v>0</v>
      </c>
      <c r="M232" s="5" t="str">
        <f>ContinuousStatsTable[[#This Row],[ProjectName]]&amp;ContinuousStatsTable[[#This Row],[Name]]&amp;ContinuousStatsTable[[#This Row],[Type]]&amp;ContinuousStatsTable[[#This Row],[Source]]</f>
        <v>Unnamed ProjectM5Instantaneous UtilizationResource</v>
      </c>
      <c r="N232" s="5" cm="1">
        <f t="array" ref="N232">MAX(IF((ProjectInfoTable[ProjectName]=ContinuousStatsTable[[#This Row],[ProjectName]]),(ProjectInfoTable[ProjectName]=ContinuousStatsTable[[#This Row],[ProjectName]])*ProjectInfoTable[NumberOfReplications]))</f>
        <v>10</v>
      </c>
      <c r="O232" s="5" cm="1">
        <f t="array" ref="O232">IFERROR(AVERAGE(IF((ContinuousStatsTable[GroupByKey]=ContinuousStatsTable[[#This Row],[GroupByKey]]),(ContinuousStatsTable[GroupByKey]=ContinuousStatsTable[[#This Row],[GroupByKey]])*ContinuousStatsTable[Average])),0)</f>
        <v>0.35254112855323727</v>
      </c>
      <c r="P232" s="5" cm="1">
        <f t="array" ref="P232">IFERROR(_xlfn.STDEV.S(IF((ContinuousStatsTable[GroupByKey]=ContinuousStatsTable[[#This Row],[GroupByKey]]),(ContinuousStatsTable[GroupByKey]=ContinuousStatsTable[[#This Row],[GroupByKey]])*ContinuousStatsTable[Average])),0)</f>
        <v>2.0819740340978523E-2</v>
      </c>
      <c r="Q232" s="5" cm="1">
        <f t="array" ref="Q232">MAX(IF((ProjectInfoTable[ProjectName]=ContinuousStatsTable[[#This Row],[ProjectName]]),(ProjectInfoTable[ProjectName]=ContinuousStatsTable[[#This Row],[ProjectName]])*ProjectInfoTable[ConfidenceInterval]))</f>
        <v>0.95</v>
      </c>
      <c r="R2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1.4893545033435028E-2</v>
      </c>
      <c r="S232" s="5" cm="1">
        <f t="array" ref="S232">MIN(IF((ContinuousStatsTable[GroupByKey]=ContinuousStatsTable[[#This Row],[GroupByKey]]),(ContinuousStatsTable[GroupByKey]=ContinuousStatsTable[[#This Row],[GroupByKey]])*ContinuousStatsTable[Average]))</f>
        <v>0.319082016284436</v>
      </c>
      <c r="T232" s="5" cm="1">
        <f t="array" ref="T232">MAX(IF((ContinuousStatsTable[GroupByKey]=ContinuousStatsTable[[#This Row],[GroupByKey]]),(ContinuousStatsTable[GroupByKey]=ContinuousStatsTable[[#This Row],[GroupByKey]])*ContinuousStatsTable[Average]))</f>
        <v>0.391918845838306</v>
      </c>
      <c r="U232" s="5">
        <f>IF((ContinuousStatsTable[[#This Row],[RepsRequested]]&gt;1),ContinuousStatsTable[[#This Row],[HalfWidth]],ContinuousStatsTable[[#This Row],[BatchMeansHalfWidth]])</f>
        <v>1.4893545033435028E-2</v>
      </c>
    </row>
    <row r="233" spans="1:21" x14ac:dyDescent="0.4">
      <c r="A233" t="s">
        <v>66</v>
      </c>
      <c r="B233" t="s">
        <v>69</v>
      </c>
      <c r="C233">
        <v>9</v>
      </c>
      <c r="D233" t="s">
        <v>103</v>
      </c>
      <c r="E233" t="s">
        <v>98</v>
      </c>
      <c r="F233" t="s">
        <v>97</v>
      </c>
      <c r="G233">
        <v>0.73301944885159598</v>
      </c>
      <c r="H233">
        <v>7.4929649706578103E-2</v>
      </c>
      <c r="I233">
        <v>0</v>
      </c>
      <c r="J233">
        <v>2</v>
      </c>
      <c r="K233">
        <v>0</v>
      </c>
      <c r="L233">
        <v>0</v>
      </c>
      <c r="M233" s="5" t="str">
        <f>ContinuousStatsTable[[#This Row],[ProjectName]]&amp;ContinuousStatsTable[[#This Row],[Name]]&amp;ContinuousStatsTable[[#This Row],[Type]]&amp;ContinuousStatsTable[[#This Row],[Source]]</f>
        <v>Unnamed ProjectM5Number BusyResource</v>
      </c>
      <c r="N233" s="5" cm="1">
        <f t="array" ref="N233">MAX(IF((ProjectInfoTable[ProjectName]=ContinuousStatsTable[[#This Row],[ProjectName]]),(ProjectInfoTable[ProjectName]=ContinuousStatsTable[[#This Row],[ProjectName]])*ProjectInfoTable[NumberOfReplications]))</f>
        <v>10</v>
      </c>
      <c r="O233" s="5" cm="1">
        <f t="array" ref="O233">IFERROR(AVERAGE(IF((ContinuousStatsTable[GroupByKey]=ContinuousStatsTable[[#This Row],[GroupByKey]]),(ContinuousStatsTable[GroupByKey]=ContinuousStatsTable[[#This Row],[GroupByKey]])*ContinuousStatsTable[Average])),0)</f>
        <v>0.70508225710647443</v>
      </c>
      <c r="P233" s="5" cm="1">
        <f t="array" ref="P233">IFERROR(_xlfn.STDEV.S(IF((ContinuousStatsTable[GroupByKey]=ContinuousStatsTable[[#This Row],[GroupByKey]]),(ContinuousStatsTable[GroupByKey]=ContinuousStatsTable[[#This Row],[GroupByKey]])*ContinuousStatsTable[Average])),0)</f>
        <v>4.1639480681956775E-2</v>
      </c>
      <c r="Q233" s="5" cm="1">
        <f t="array" ref="Q233">MAX(IF((ProjectInfoTable[ProjectName]=ContinuousStatsTable[[#This Row],[ProjectName]]),(ProjectInfoTable[ProjectName]=ContinuousStatsTable[[#This Row],[ProjectName]])*ProjectInfoTable[ConfidenceInterval]))</f>
        <v>0.95</v>
      </c>
      <c r="R2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2.9787090066869859E-2</v>
      </c>
      <c r="S233" s="5" cm="1">
        <f t="array" ref="S233">MIN(IF((ContinuousStatsTable[GroupByKey]=ContinuousStatsTable[[#This Row],[GroupByKey]]),(ContinuousStatsTable[GroupByKey]=ContinuousStatsTable[[#This Row],[GroupByKey]])*ContinuousStatsTable[Average]))</f>
        <v>0.638164032568872</v>
      </c>
      <c r="T233" s="5" cm="1">
        <f t="array" ref="T233">MAX(IF((ContinuousStatsTable[GroupByKey]=ContinuousStatsTable[[#This Row],[GroupByKey]]),(ContinuousStatsTable[GroupByKey]=ContinuousStatsTable[[#This Row],[GroupByKey]])*ContinuousStatsTable[Average]))</f>
        <v>0.78383769167661099</v>
      </c>
      <c r="U233" s="5">
        <f>IF((ContinuousStatsTable[[#This Row],[RepsRequested]]&gt;1),ContinuousStatsTable[[#This Row],[HalfWidth]],ContinuousStatsTable[[#This Row],[BatchMeansHalfWidth]])</f>
        <v>2.9787090066869859E-2</v>
      </c>
    </row>
    <row r="234" spans="1:21" x14ac:dyDescent="0.4">
      <c r="A234" t="s">
        <v>66</v>
      </c>
      <c r="B234" t="s">
        <v>69</v>
      </c>
      <c r="C234">
        <v>9</v>
      </c>
      <c r="D234" t="s">
        <v>103</v>
      </c>
      <c r="E234" t="s">
        <v>99</v>
      </c>
      <c r="F234" t="s">
        <v>97</v>
      </c>
      <c r="G234">
        <v>2</v>
      </c>
      <c r="H234">
        <v>2E+20</v>
      </c>
      <c r="I234">
        <v>2</v>
      </c>
      <c r="J234">
        <v>2</v>
      </c>
      <c r="K234">
        <v>2</v>
      </c>
      <c r="L234">
        <v>0</v>
      </c>
      <c r="M234" s="5" t="str">
        <f>ContinuousStatsTable[[#This Row],[ProjectName]]&amp;ContinuousStatsTable[[#This Row],[Name]]&amp;ContinuousStatsTable[[#This Row],[Type]]&amp;ContinuousStatsTable[[#This Row],[Source]]</f>
        <v>Unnamed ProjectM5Number ScheduledResource</v>
      </c>
      <c r="N234" s="5" cm="1">
        <f t="array" ref="N234">MAX(IF((ProjectInfoTable[ProjectName]=ContinuousStatsTable[[#This Row],[ProjectName]]),(ProjectInfoTable[ProjectName]=ContinuousStatsTable[[#This Row],[ProjectName]])*ProjectInfoTable[NumberOfReplications]))</f>
        <v>10</v>
      </c>
      <c r="O234" s="5" cm="1">
        <f t="array" ref="O234">IFERROR(AVERAGE(IF((ContinuousStatsTable[GroupByKey]=ContinuousStatsTable[[#This Row],[GroupByKey]]),(ContinuousStatsTable[GroupByKey]=ContinuousStatsTable[[#This Row],[GroupByKey]])*ContinuousStatsTable[Average])),0)</f>
        <v>2</v>
      </c>
      <c r="P234" s="5" cm="1">
        <f t="array" ref="P234">IFERROR(_xlfn.STDEV.S(IF((ContinuousStatsTable[GroupByKey]=ContinuousStatsTable[[#This Row],[GroupByKey]]),(ContinuousStatsTable[GroupByKey]=ContinuousStatsTable[[#This Row],[GroupByKey]])*ContinuousStatsTable[Average])),0)</f>
        <v>0</v>
      </c>
      <c r="Q234" s="5" cm="1">
        <f t="array" ref="Q234">MAX(IF((ProjectInfoTable[ProjectName]=ContinuousStatsTable[[#This Row],[ProjectName]]),(ProjectInfoTable[ProjectName]=ContinuousStatsTable[[#This Row],[ProjectName]])*ProjectInfoTable[ConfidenceInterval]))</f>
        <v>0.95</v>
      </c>
      <c r="R2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4" s="5" cm="1">
        <f t="array" ref="S234">MIN(IF((ContinuousStatsTable[GroupByKey]=ContinuousStatsTable[[#This Row],[GroupByKey]]),(ContinuousStatsTable[GroupByKey]=ContinuousStatsTable[[#This Row],[GroupByKey]])*ContinuousStatsTable[Average]))</f>
        <v>2</v>
      </c>
      <c r="T234" s="5" cm="1">
        <f t="array" ref="T234">MAX(IF((ContinuousStatsTable[GroupByKey]=ContinuousStatsTable[[#This Row],[GroupByKey]]),(ContinuousStatsTable[GroupByKey]=ContinuousStatsTable[[#This Row],[GroupByKey]])*ContinuousStatsTable[Average]))</f>
        <v>2</v>
      </c>
      <c r="U234" s="5">
        <f>IF((ContinuousStatsTable[[#This Row],[RepsRequested]]&gt;1),ContinuousStatsTable[[#This Row],[HalfWidth]],ContinuousStatsTable[[#This Row],[BatchMeansHalfWidth]])</f>
        <v>0</v>
      </c>
    </row>
    <row r="235" spans="1:21" x14ac:dyDescent="0.4">
      <c r="A235" t="s">
        <v>66</v>
      </c>
      <c r="B235" t="s">
        <v>69</v>
      </c>
      <c r="C235">
        <v>9</v>
      </c>
      <c r="D235" t="s">
        <v>89</v>
      </c>
      <c r="E235" t="s">
        <v>94</v>
      </c>
      <c r="F235" t="s">
        <v>80</v>
      </c>
      <c r="G235">
        <v>2.7749331257064701E-2</v>
      </c>
      <c r="H235">
        <v>2E+20</v>
      </c>
      <c r="I235">
        <v>0</v>
      </c>
      <c r="J235">
        <v>2</v>
      </c>
      <c r="K235">
        <v>0</v>
      </c>
      <c r="L235">
        <v>0</v>
      </c>
      <c r="M235" s="5" t="str">
        <f>ContinuousStatsTable[[#This Row],[ProjectName]]&amp;ContinuousStatsTable[[#This Row],[Name]]&amp;ContinuousStatsTable[[#This Row],[Type]]&amp;ContinuousStatsTable[[#This Row],[Source]]</f>
        <v>Unnamed ProjectM5.QNumber WaitingQueue</v>
      </c>
      <c r="N235" s="5" cm="1">
        <f t="array" ref="N235">MAX(IF((ProjectInfoTable[ProjectName]=ContinuousStatsTable[[#This Row],[ProjectName]]),(ProjectInfoTable[ProjectName]=ContinuousStatsTable[[#This Row],[ProjectName]])*ProjectInfoTable[NumberOfReplications]))</f>
        <v>10</v>
      </c>
      <c r="O235" s="5" cm="1">
        <f t="array" ref="O235">IFERROR(AVERAGE(IF((ContinuousStatsTable[GroupByKey]=ContinuousStatsTable[[#This Row],[GroupByKey]]),(ContinuousStatsTable[GroupByKey]=ContinuousStatsTable[[#This Row],[GroupByKey]])*ContinuousStatsTable[Average])),0)</f>
        <v>4.0588719153078524E-2</v>
      </c>
      <c r="P235" s="5" cm="1">
        <f t="array" ref="P235">IFERROR(_xlfn.STDEV.S(IF((ContinuousStatsTable[GroupByKey]=ContinuousStatsTable[[#This Row],[GroupByKey]]),(ContinuousStatsTable[GroupByKey]=ContinuousStatsTable[[#This Row],[GroupByKey]])*ContinuousStatsTable[Average])),0)</f>
        <v>2.3271584618520549E-2</v>
      </c>
      <c r="Q235" s="5" cm="1">
        <f t="array" ref="Q235">MAX(IF((ProjectInfoTable[ProjectName]=ContinuousStatsTable[[#This Row],[ProjectName]]),(ProjectInfoTable[ProjectName]=ContinuousStatsTable[[#This Row],[ProjectName]])*ProjectInfoTable[ConfidenceInterval]))</f>
        <v>0.95</v>
      </c>
      <c r="R2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1.6647488769739371E-2</v>
      </c>
      <c r="S235" s="5" cm="1">
        <f t="array" ref="S235">MIN(IF((ContinuousStatsTable[GroupByKey]=ContinuousStatsTable[[#This Row],[GroupByKey]]),(ContinuousStatsTable[GroupByKey]=ContinuousStatsTable[[#This Row],[GroupByKey]])*ContinuousStatsTable[Average]))</f>
        <v>1.58912341215269E-2</v>
      </c>
      <c r="T235" s="5" cm="1">
        <f t="array" ref="T235">MAX(IF((ContinuousStatsTable[GroupByKey]=ContinuousStatsTable[[#This Row],[GroupByKey]]),(ContinuousStatsTable[GroupByKey]=ContinuousStatsTable[[#This Row],[GroupByKey]])*ContinuousStatsTable[Average]))</f>
        <v>9.0065456910795705E-2</v>
      </c>
      <c r="U235" s="5">
        <f>IF((ContinuousStatsTable[[#This Row],[RepsRequested]]&gt;1),ContinuousStatsTable[[#This Row],[HalfWidth]],ContinuousStatsTable[[#This Row],[BatchMeansHalfWidth]])</f>
        <v>1.6647488769739371E-2</v>
      </c>
    </row>
    <row r="236" spans="1:21" x14ac:dyDescent="0.4">
      <c r="A236" t="s">
        <v>66</v>
      </c>
      <c r="B236" t="s">
        <v>69</v>
      </c>
      <c r="C236">
        <v>10</v>
      </c>
      <c r="D236" t="s">
        <v>70</v>
      </c>
      <c r="E236" t="s">
        <v>93</v>
      </c>
      <c r="F236" t="s">
        <v>72</v>
      </c>
      <c r="G236">
        <v>6.0016564160241703</v>
      </c>
      <c r="H236">
        <v>3E+20</v>
      </c>
      <c r="I236">
        <v>0</v>
      </c>
      <c r="J236">
        <v>17</v>
      </c>
      <c r="K236">
        <v>13</v>
      </c>
      <c r="L236">
        <v>0</v>
      </c>
      <c r="M236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236" s="5" cm="1">
        <f t="array" ref="N236">MAX(IF((ProjectInfoTable[ProjectName]=ContinuousStatsTable[[#This Row],[ProjectName]]),(ProjectInfoTable[ProjectName]=ContinuousStatsTable[[#This Row],[ProjectName]])*ProjectInfoTable[NumberOfReplications]))</f>
        <v>10</v>
      </c>
      <c r="O236" s="5" cm="1">
        <f t="array" ref="O236">IFERROR(AVERAGE(IF((ContinuousStatsTable[GroupByKey]=ContinuousStatsTable[[#This Row],[GroupByKey]]),(ContinuousStatsTable[GroupByKey]=ContinuousStatsTable[[#This Row],[GroupByKey]])*ContinuousStatsTable[Average])),0)</f>
        <v>6.6735315353875011</v>
      </c>
      <c r="P236" s="5" cm="1">
        <f t="array" ref="P236">IFERROR(_xlfn.STDEV.S(IF((ContinuousStatsTable[GroupByKey]=ContinuousStatsTable[[#This Row],[GroupByKey]]),(ContinuousStatsTable[GroupByKey]=ContinuousStatsTable[[#This Row],[GroupByKey]])*ContinuousStatsTable[Average])),0)</f>
        <v>1.4829188547421246</v>
      </c>
      <c r="Q236" s="5" cm="1">
        <f t="array" ref="Q236">MAX(IF((ProjectInfoTable[ProjectName]=ContinuousStatsTable[[#This Row],[ProjectName]]),(ProjectInfoTable[ProjectName]=ContinuousStatsTable[[#This Row],[ProjectName]])*ProjectInfoTable[ConfidenceInterval]))</f>
        <v>0.95</v>
      </c>
      <c r="R2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1.0608162437338877</v>
      </c>
      <c r="S236" s="5" cm="1">
        <f t="array" ref="S236">MIN(IF((ContinuousStatsTable[GroupByKey]=ContinuousStatsTable[[#This Row],[GroupByKey]]),(ContinuousStatsTable[GroupByKey]=ContinuousStatsTable[[#This Row],[GroupByKey]])*ContinuousStatsTable[Average]))</f>
        <v>4.5894957727661101</v>
      </c>
      <c r="T236" s="5" cm="1">
        <f t="array" ref="T236">MAX(IF((ContinuousStatsTable[GroupByKey]=ContinuousStatsTable[[#This Row],[GroupByKey]]),(ContinuousStatsTable[GroupByKey]=ContinuousStatsTable[[#This Row],[GroupByKey]])*ContinuousStatsTable[Average]))</f>
        <v>9.5134854029509093</v>
      </c>
      <c r="U236" s="5">
        <f>IF((ContinuousStatsTable[[#This Row],[RepsRequested]]&gt;1),ContinuousStatsTable[[#This Row],[HalfWidth]],ContinuousStatsTable[[#This Row],[BatchMeansHalfWidth]])</f>
        <v>1.0608162437338877</v>
      </c>
    </row>
    <row r="237" spans="1:21" x14ac:dyDescent="0.4">
      <c r="A237" t="s">
        <v>66</v>
      </c>
      <c r="B237" t="s">
        <v>69</v>
      </c>
      <c r="C237">
        <v>10</v>
      </c>
      <c r="D237" t="s">
        <v>78</v>
      </c>
      <c r="E237" t="s">
        <v>94</v>
      </c>
      <c r="F237" t="s">
        <v>80</v>
      </c>
      <c r="G237">
        <v>0</v>
      </c>
      <c r="H237">
        <v>2E+20</v>
      </c>
      <c r="I237">
        <v>0</v>
      </c>
      <c r="J237">
        <v>0</v>
      </c>
      <c r="K237">
        <v>0</v>
      </c>
      <c r="L237">
        <v>0</v>
      </c>
      <c r="M237" s="5" t="str">
        <f>ContinuousStatsTable[[#This Row],[ProjectName]]&amp;ContinuousStatsTable[[#This Row],[Name]]&amp;ContinuousStatsTable[[#This Row],[Type]]&amp;ContinuousStatsTable[[#This Row],[Source]]</f>
        <v>Unnamed ProjectHold M1.QueueNumber WaitingQueue</v>
      </c>
      <c r="N237" s="5" cm="1">
        <f t="array" ref="N237">MAX(IF((ProjectInfoTable[ProjectName]=ContinuousStatsTable[[#This Row],[ProjectName]]),(ProjectInfoTable[ProjectName]=ContinuousStatsTable[[#This Row],[ProjectName]])*ProjectInfoTable[NumberOfReplications]))</f>
        <v>10</v>
      </c>
      <c r="O237" s="5" cm="1">
        <f t="array" ref="O237">IFERROR(AVERAGE(IF((ContinuousStatsTable[GroupByKey]=ContinuousStatsTable[[#This Row],[GroupByKey]]),(ContinuousStatsTable[GroupByKey]=ContinuousStatsTable[[#This Row],[GroupByKey]])*ContinuousStatsTable[Average])),0)</f>
        <v>0</v>
      </c>
      <c r="P237" s="5" cm="1">
        <f t="array" ref="P237">IFERROR(_xlfn.STDEV.S(IF((ContinuousStatsTable[GroupByKey]=ContinuousStatsTable[[#This Row],[GroupByKey]]),(ContinuousStatsTable[GroupByKey]=ContinuousStatsTable[[#This Row],[GroupByKey]])*ContinuousStatsTable[Average])),0)</f>
        <v>0</v>
      </c>
      <c r="Q237" s="5" cm="1">
        <f t="array" ref="Q237">MAX(IF((ProjectInfoTable[ProjectName]=ContinuousStatsTable[[#This Row],[ProjectName]]),(ProjectInfoTable[ProjectName]=ContinuousStatsTable[[#This Row],[ProjectName]])*ProjectInfoTable[ConfidenceInterval]))</f>
        <v>0.95</v>
      </c>
      <c r="R2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7" s="5" cm="1">
        <f t="array" ref="S237">MIN(IF((ContinuousStatsTable[GroupByKey]=ContinuousStatsTable[[#This Row],[GroupByKey]]),(ContinuousStatsTable[GroupByKey]=ContinuousStatsTable[[#This Row],[GroupByKey]])*ContinuousStatsTable[Average]))</f>
        <v>0</v>
      </c>
      <c r="T237" s="5" cm="1">
        <f t="array" ref="T237">MAX(IF((ContinuousStatsTable[GroupByKey]=ContinuousStatsTable[[#This Row],[GroupByKey]]),(ContinuousStatsTable[GroupByKey]=ContinuousStatsTable[[#This Row],[GroupByKey]])*ContinuousStatsTable[Average]))</f>
        <v>0</v>
      </c>
      <c r="U237" s="5">
        <f>IF((ContinuousStatsTable[[#This Row],[RepsRequested]]&gt;1),ContinuousStatsTable[[#This Row],[HalfWidth]],ContinuousStatsTable[[#This Row],[BatchMeansHalfWidth]])</f>
        <v>0</v>
      </c>
    </row>
    <row r="238" spans="1:21" x14ac:dyDescent="0.4">
      <c r="A238" t="s">
        <v>66</v>
      </c>
      <c r="B238" t="s">
        <v>69</v>
      </c>
      <c r="C238">
        <v>10</v>
      </c>
      <c r="D238" t="s">
        <v>81</v>
      </c>
      <c r="E238" t="s">
        <v>94</v>
      </c>
      <c r="F238" t="s">
        <v>80</v>
      </c>
      <c r="G238">
        <v>0</v>
      </c>
      <c r="H238">
        <v>2E+20</v>
      </c>
      <c r="I238">
        <v>0</v>
      </c>
      <c r="J238">
        <v>0</v>
      </c>
      <c r="K238">
        <v>0</v>
      </c>
      <c r="L238">
        <v>0</v>
      </c>
      <c r="M238" s="5" t="str">
        <f>ContinuousStatsTable[[#This Row],[ProjectName]]&amp;ContinuousStatsTable[[#This Row],[Name]]&amp;ContinuousStatsTable[[#This Row],[Type]]&amp;ContinuousStatsTable[[#This Row],[Source]]</f>
        <v>Unnamed ProjectHold M2.QueueNumber WaitingQueue</v>
      </c>
      <c r="N238" s="5" cm="1">
        <f t="array" ref="N238">MAX(IF((ProjectInfoTable[ProjectName]=ContinuousStatsTable[[#This Row],[ProjectName]]),(ProjectInfoTable[ProjectName]=ContinuousStatsTable[[#This Row],[ProjectName]])*ProjectInfoTable[NumberOfReplications]))</f>
        <v>10</v>
      </c>
      <c r="O238" s="5" cm="1">
        <f t="array" ref="O238">IFERROR(AVERAGE(IF((ContinuousStatsTable[GroupByKey]=ContinuousStatsTable[[#This Row],[GroupByKey]]),(ContinuousStatsTable[GroupByKey]=ContinuousStatsTable[[#This Row],[GroupByKey]])*ContinuousStatsTable[Average])),0)</f>
        <v>0</v>
      </c>
      <c r="P238" s="5" cm="1">
        <f t="array" ref="P238">IFERROR(_xlfn.STDEV.S(IF((ContinuousStatsTable[GroupByKey]=ContinuousStatsTable[[#This Row],[GroupByKey]]),(ContinuousStatsTable[GroupByKey]=ContinuousStatsTable[[#This Row],[GroupByKey]])*ContinuousStatsTable[Average])),0)</f>
        <v>0</v>
      </c>
      <c r="Q238" s="5" cm="1">
        <f t="array" ref="Q238">MAX(IF((ProjectInfoTable[ProjectName]=ContinuousStatsTable[[#This Row],[ProjectName]]),(ProjectInfoTable[ProjectName]=ContinuousStatsTable[[#This Row],[ProjectName]])*ProjectInfoTable[ConfidenceInterval]))</f>
        <v>0.95</v>
      </c>
      <c r="R2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8" s="5" cm="1">
        <f t="array" ref="S238">MIN(IF((ContinuousStatsTable[GroupByKey]=ContinuousStatsTable[[#This Row],[GroupByKey]]),(ContinuousStatsTable[GroupByKey]=ContinuousStatsTable[[#This Row],[GroupByKey]])*ContinuousStatsTable[Average]))</f>
        <v>0</v>
      </c>
      <c r="T238" s="5" cm="1">
        <f t="array" ref="T238">MAX(IF((ContinuousStatsTable[GroupByKey]=ContinuousStatsTable[[#This Row],[GroupByKey]]),(ContinuousStatsTable[GroupByKey]=ContinuousStatsTable[[#This Row],[GroupByKey]])*ContinuousStatsTable[Average]))</f>
        <v>0</v>
      </c>
      <c r="U238" s="5">
        <f>IF((ContinuousStatsTable[[#This Row],[RepsRequested]]&gt;1),ContinuousStatsTable[[#This Row],[HalfWidth]],ContinuousStatsTable[[#This Row],[BatchMeansHalfWidth]])</f>
        <v>0</v>
      </c>
    </row>
    <row r="239" spans="1:21" x14ac:dyDescent="0.4">
      <c r="A239" t="s">
        <v>66</v>
      </c>
      <c r="B239" t="s">
        <v>69</v>
      </c>
      <c r="C239">
        <v>10</v>
      </c>
      <c r="D239" t="s">
        <v>82</v>
      </c>
      <c r="E239" t="s">
        <v>94</v>
      </c>
      <c r="F239" t="s">
        <v>80</v>
      </c>
      <c r="G239">
        <v>0</v>
      </c>
      <c r="H239">
        <v>2E+20</v>
      </c>
      <c r="I239">
        <v>0</v>
      </c>
      <c r="J239">
        <v>0</v>
      </c>
      <c r="K239">
        <v>0</v>
      </c>
      <c r="L239">
        <v>0</v>
      </c>
      <c r="M239" s="5" t="str">
        <f>ContinuousStatsTable[[#This Row],[ProjectName]]&amp;ContinuousStatsTable[[#This Row],[Name]]&amp;ContinuousStatsTable[[#This Row],[Type]]&amp;ContinuousStatsTable[[#This Row],[Source]]</f>
        <v>Unnamed ProjectHold M3.QueueNumber WaitingQueue</v>
      </c>
      <c r="N239" s="5" cm="1">
        <f t="array" ref="N239">MAX(IF((ProjectInfoTable[ProjectName]=ContinuousStatsTable[[#This Row],[ProjectName]]),(ProjectInfoTable[ProjectName]=ContinuousStatsTable[[#This Row],[ProjectName]])*ProjectInfoTable[NumberOfReplications]))</f>
        <v>10</v>
      </c>
      <c r="O239" s="5" cm="1">
        <f t="array" ref="O239">IFERROR(AVERAGE(IF((ContinuousStatsTable[GroupByKey]=ContinuousStatsTable[[#This Row],[GroupByKey]]),(ContinuousStatsTable[GroupByKey]=ContinuousStatsTable[[#This Row],[GroupByKey]])*ContinuousStatsTable[Average])),0)</f>
        <v>0</v>
      </c>
      <c r="P239" s="5" cm="1">
        <f t="array" ref="P239">IFERROR(_xlfn.STDEV.S(IF((ContinuousStatsTable[GroupByKey]=ContinuousStatsTable[[#This Row],[GroupByKey]]),(ContinuousStatsTable[GroupByKey]=ContinuousStatsTable[[#This Row],[GroupByKey]])*ContinuousStatsTable[Average])),0)</f>
        <v>0</v>
      </c>
      <c r="Q239" s="5" cm="1">
        <f t="array" ref="Q239">MAX(IF((ProjectInfoTable[ProjectName]=ContinuousStatsTable[[#This Row],[ProjectName]]),(ProjectInfoTable[ProjectName]=ContinuousStatsTable[[#This Row],[ProjectName]])*ProjectInfoTable[ConfidenceInterval]))</f>
        <v>0.95</v>
      </c>
      <c r="R2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9" s="5" cm="1">
        <f t="array" ref="S239">MIN(IF((ContinuousStatsTable[GroupByKey]=ContinuousStatsTable[[#This Row],[GroupByKey]]),(ContinuousStatsTable[GroupByKey]=ContinuousStatsTable[[#This Row],[GroupByKey]])*ContinuousStatsTable[Average]))</f>
        <v>0</v>
      </c>
      <c r="T239" s="5" cm="1">
        <f t="array" ref="T239">MAX(IF((ContinuousStatsTable[GroupByKey]=ContinuousStatsTable[[#This Row],[GroupByKey]]),(ContinuousStatsTable[GroupByKey]=ContinuousStatsTable[[#This Row],[GroupByKey]])*ContinuousStatsTable[Average]))</f>
        <v>0</v>
      </c>
      <c r="U239" s="5">
        <f>IF((ContinuousStatsTable[[#This Row],[RepsRequested]]&gt;1),ContinuousStatsTable[[#This Row],[HalfWidth]],ContinuousStatsTable[[#This Row],[BatchMeansHalfWidth]])</f>
        <v>0</v>
      </c>
    </row>
    <row r="240" spans="1:21" x14ac:dyDescent="0.4">
      <c r="A240" t="s">
        <v>66</v>
      </c>
      <c r="B240" t="s">
        <v>69</v>
      </c>
      <c r="C240">
        <v>10</v>
      </c>
      <c r="D240" t="s">
        <v>83</v>
      </c>
      <c r="E240" t="s">
        <v>94</v>
      </c>
      <c r="F240" t="s">
        <v>80</v>
      </c>
      <c r="G240">
        <v>0</v>
      </c>
      <c r="H240">
        <v>2E+20</v>
      </c>
      <c r="I240">
        <v>0</v>
      </c>
      <c r="J240">
        <v>0</v>
      </c>
      <c r="K240">
        <v>0</v>
      </c>
      <c r="L240">
        <v>0</v>
      </c>
      <c r="M240" s="5" t="str">
        <f>ContinuousStatsTable[[#This Row],[ProjectName]]&amp;ContinuousStatsTable[[#This Row],[Name]]&amp;ContinuousStatsTable[[#This Row],[Type]]&amp;ContinuousStatsTable[[#This Row],[Source]]</f>
        <v>Unnamed ProjectHold M4.QueueNumber WaitingQueue</v>
      </c>
      <c r="N240" s="5" cm="1">
        <f t="array" ref="N240">MAX(IF((ProjectInfoTable[ProjectName]=ContinuousStatsTable[[#This Row],[ProjectName]]),(ProjectInfoTable[ProjectName]=ContinuousStatsTable[[#This Row],[ProjectName]])*ProjectInfoTable[NumberOfReplications]))</f>
        <v>10</v>
      </c>
      <c r="O240" s="5" cm="1">
        <f t="array" ref="O240">IFERROR(AVERAGE(IF((ContinuousStatsTable[GroupByKey]=ContinuousStatsTable[[#This Row],[GroupByKey]]),(ContinuousStatsTable[GroupByKey]=ContinuousStatsTable[[#This Row],[GroupByKey]])*ContinuousStatsTable[Average])),0)</f>
        <v>0</v>
      </c>
      <c r="P240" s="5" cm="1">
        <f t="array" ref="P240">IFERROR(_xlfn.STDEV.S(IF((ContinuousStatsTable[GroupByKey]=ContinuousStatsTable[[#This Row],[GroupByKey]]),(ContinuousStatsTable[GroupByKey]=ContinuousStatsTable[[#This Row],[GroupByKey]])*ContinuousStatsTable[Average])),0)</f>
        <v>0</v>
      </c>
      <c r="Q240" s="5" cm="1">
        <f t="array" ref="Q240">MAX(IF((ProjectInfoTable[ProjectName]=ContinuousStatsTable[[#This Row],[ProjectName]]),(ProjectInfoTable[ProjectName]=ContinuousStatsTable[[#This Row],[ProjectName]])*ProjectInfoTable[ConfidenceInterval]))</f>
        <v>0.95</v>
      </c>
      <c r="R2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0" s="5" cm="1">
        <f t="array" ref="S240">MIN(IF((ContinuousStatsTable[GroupByKey]=ContinuousStatsTable[[#This Row],[GroupByKey]]),(ContinuousStatsTable[GroupByKey]=ContinuousStatsTable[[#This Row],[GroupByKey]])*ContinuousStatsTable[Average]))</f>
        <v>0</v>
      </c>
      <c r="T240" s="5" cm="1">
        <f t="array" ref="T240">MAX(IF((ContinuousStatsTable[GroupByKey]=ContinuousStatsTable[[#This Row],[GroupByKey]]),(ContinuousStatsTable[GroupByKey]=ContinuousStatsTable[[#This Row],[GroupByKey]])*ContinuousStatsTable[Average]))</f>
        <v>0</v>
      </c>
      <c r="U240" s="5">
        <f>IF((ContinuousStatsTable[[#This Row],[RepsRequested]]&gt;1),ContinuousStatsTable[[#This Row],[HalfWidth]],ContinuousStatsTable[[#This Row],[BatchMeansHalfWidth]])</f>
        <v>0</v>
      </c>
    </row>
    <row r="241" spans="1:21" x14ac:dyDescent="0.4">
      <c r="A241" t="s">
        <v>66</v>
      </c>
      <c r="B241" t="s">
        <v>69</v>
      </c>
      <c r="C241">
        <v>10</v>
      </c>
      <c r="D241" t="s">
        <v>84</v>
      </c>
      <c r="E241" t="s">
        <v>94</v>
      </c>
      <c r="F241" t="s">
        <v>80</v>
      </c>
      <c r="G241">
        <v>0</v>
      </c>
      <c r="H241">
        <v>2E+20</v>
      </c>
      <c r="I241">
        <v>0</v>
      </c>
      <c r="J241">
        <v>0</v>
      </c>
      <c r="K241">
        <v>0</v>
      </c>
      <c r="L241">
        <v>0</v>
      </c>
      <c r="M241" s="5" t="str">
        <f>ContinuousStatsTable[[#This Row],[ProjectName]]&amp;ContinuousStatsTable[[#This Row],[Name]]&amp;ContinuousStatsTable[[#This Row],[Type]]&amp;ContinuousStatsTable[[#This Row],[Source]]</f>
        <v>Unnamed ProjectHold M5.QueueNumber WaitingQueue</v>
      </c>
      <c r="N241" s="5" cm="1">
        <f t="array" ref="N241">MAX(IF((ProjectInfoTable[ProjectName]=ContinuousStatsTable[[#This Row],[ProjectName]]),(ProjectInfoTable[ProjectName]=ContinuousStatsTable[[#This Row],[ProjectName]])*ProjectInfoTable[NumberOfReplications]))</f>
        <v>10</v>
      </c>
      <c r="O241" s="5" cm="1">
        <f t="array" ref="O241">IFERROR(AVERAGE(IF((ContinuousStatsTable[GroupByKey]=ContinuousStatsTable[[#This Row],[GroupByKey]]),(ContinuousStatsTable[GroupByKey]=ContinuousStatsTable[[#This Row],[GroupByKey]])*ContinuousStatsTable[Average])),0)</f>
        <v>0</v>
      </c>
      <c r="P241" s="5" cm="1">
        <f t="array" ref="P241">IFERROR(_xlfn.STDEV.S(IF((ContinuousStatsTable[GroupByKey]=ContinuousStatsTable[[#This Row],[GroupByKey]]),(ContinuousStatsTable[GroupByKey]=ContinuousStatsTable[[#This Row],[GroupByKey]])*ContinuousStatsTable[Average])),0)</f>
        <v>0</v>
      </c>
      <c r="Q241" s="5" cm="1">
        <f t="array" ref="Q241">MAX(IF((ProjectInfoTable[ProjectName]=ContinuousStatsTable[[#This Row],[ProjectName]]),(ProjectInfoTable[ProjectName]=ContinuousStatsTable[[#This Row],[ProjectName]])*ProjectInfoTable[ConfidenceInterval]))</f>
        <v>0.95</v>
      </c>
      <c r="R2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1" s="5" cm="1">
        <f t="array" ref="S241">MIN(IF((ContinuousStatsTable[GroupByKey]=ContinuousStatsTable[[#This Row],[GroupByKey]]),(ContinuousStatsTable[GroupByKey]=ContinuousStatsTable[[#This Row],[GroupByKey]])*ContinuousStatsTable[Average]))</f>
        <v>0</v>
      </c>
      <c r="T241" s="5" cm="1">
        <f t="array" ref="T241">MAX(IF((ContinuousStatsTable[GroupByKey]=ContinuousStatsTable[[#This Row],[GroupByKey]]),(ContinuousStatsTable[GroupByKey]=ContinuousStatsTable[[#This Row],[GroupByKey]])*ContinuousStatsTable[Average]))</f>
        <v>0</v>
      </c>
      <c r="U241" s="5">
        <f>IF((ContinuousStatsTable[[#This Row],[RepsRequested]]&gt;1),ContinuousStatsTable[[#This Row],[HalfWidth]],ContinuousStatsTable[[#This Row],[BatchMeansHalfWidth]])</f>
        <v>0</v>
      </c>
    </row>
    <row r="242" spans="1:21" x14ac:dyDescent="0.4">
      <c r="A242" t="s">
        <v>66</v>
      </c>
      <c r="B242" t="s">
        <v>69</v>
      </c>
      <c r="C242">
        <v>10</v>
      </c>
      <c r="D242" t="s">
        <v>95</v>
      </c>
      <c r="E242" t="s">
        <v>96</v>
      </c>
      <c r="F242" t="s">
        <v>97</v>
      </c>
      <c r="G242">
        <v>0.34545460352422602</v>
      </c>
      <c r="H242">
        <v>2E+20</v>
      </c>
      <c r="I242">
        <v>0</v>
      </c>
      <c r="J242">
        <v>1</v>
      </c>
      <c r="K242">
        <v>1</v>
      </c>
      <c r="L242">
        <v>0</v>
      </c>
      <c r="M242" s="5" t="str">
        <f>ContinuousStatsTable[[#This Row],[ProjectName]]&amp;ContinuousStatsTable[[#This Row],[Name]]&amp;ContinuousStatsTable[[#This Row],[Type]]&amp;ContinuousStatsTable[[#This Row],[Source]]</f>
        <v>Unnamed ProjectM1Instantaneous UtilizationResource</v>
      </c>
      <c r="N242" s="5" cm="1">
        <f t="array" ref="N242">MAX(IF((ProjectInfoTable[ProjectName]=ContinuousStatsTable[[#This Row],[ProjectName]]),(ProjectInfoTable[ProjectName]=ContinuousStatsTable[[#This Row],[ProjectName]])*ProjectInfoTable[NumberOfReplications]))</f>
        <v>10</v>
      </c>
      <c r="O242" s="5" cm="1">
        <f t="array" ref="O242">IFERROR(AVERAGE(IF((ContinuousStatsTable[GroupByKey]=ContinuousStatsTable[[#This Row],[GroupByKey]]),(ContinuousStatsTable[GroupByKey]=ContinuousStatsTable[[#This Row],[GroupByKey]])*ContinuousStatsTable[Average])),0)</f>
        <v>0.35418637725041224</v>
      </c>
      <c r="P242" s="5" cm="1">
        <f t="array" ref="P242">IFERROR(_xlfn.STDEV.S(IF((ContinuousStatsTable[GroupByKey]=ContinuousStatsTable[[#This Row],[GroupByKey]]),(ContinuousStatsTable[GroupByKey]=ContinuousStatsTable[[#This Row],[GroupByKey]])*ContinuousStatsTable[Average])),0)</f>
        <v>3.3453936231241439E-2</v>
      </c>
      <c r="Q242" s="5" cm="1">
        <f t="array" ref="Q242">MAX(IF((ProjectInfoTable[ProjectName]=ContinuousStatsTable[[#This Row],[ProjectName]]),(ProjectInfoTable[ProjectName]=ContinuousStatsTable[[#This Row],[ProjectName]])*ProjectInfoTable[ConfidenceInterval]))</f>
        <v>0.95</v>
      </c>
      <c r="R2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2.3931504314920794E-2</v>
      </c>
      <c r="S242" s="5" cm="1">
        <f t="array" ref="S242">MIN(IF((ContinuousStatsTable[GroupByKey]=ContinuousStatsTable[[#This Row],[GroupByKey]]),(ContinuousStatsTable[GroupByKey]=ContinuousStatsTable[[#This Row],[GroupByKey]])*ContinuousStatsTable[Average]))</f>
        <v>0.29539806709730798</v>
      </c>
      <c r="T242" s="5" cm="1">
        <f t="array" ref="T242">MAX(IF((ContinuousStatsTable[GroupByKey]=ContinuousStatsTable[[#This Row],[GroupByKey]]),(ContinuousStatsTable[GroupByKey]=ContinuousStatsTable[[#This Row],[GroupByKey]])*ContinuousStatsTable[Average]))</f>
        <v>0.39865120046345498</v>
      </c>
      <c r="U242" s="5">
        <f>IF((ContinuousStatsTable[[#This Row],[RepsRequested]]&gt;1),ContinuousStatsTable[[#This Row],[HalfWidth]],ContinuousStatsTable[[#This Row],[BatchMeansHalfWidth]])</f>
        <v>2.3931504314920794E-2</v>
      </c>
    </row>
    <row r="243" spans="1:21" x14ac:dyDescent="0.4">
      <c r="A243" t="s">
        <v>66</v>
      </c>
      <c r="B243" t="s">
        <v>69</v>
      </c>
      <c r="C243">
        <v>10</v>
      </c>
      <c r="D243" t="s">
        <v>95</v>
      </c>
      <c r="E243" t="s">
        <v>98</v>
      </c>
      <c r="F243" t="s">
        <v>97</v>
      </c>
      <c r="G243">
        <v>0.69090920704845205</v>
      </c>
      <c r="H243">
        <v>2E+20</v>
      </c>
      <c r="I243">
        <v>0</v>
      </c>
      <c r="J243">
        <v>2</v>
      </c>
      <c r="K243">
        <v>2</v>
      </c>
      <c r="L243">
        <v>0</v>
      </c>
      <c r="M243" s="5" t="str">
        <f>ContinuousStatsTable[[#This Row],[ProjectName]]&amp;ContinuousStatsTable[[#This Row],[Name]]&amp;ContinuousStatsTable[[#This Row],[Type]]&amp;ContinuousStatsTable[[#This Row],[Source]]</f>
        <v>Unnamed ProjectM1Number BusyResource</v>
      </c>
      <c r="N243" s="5" cm="1">
        <f t="array" ref="N243">MAX(IF((ProjectInfoTable[ProjectName]=ContinuousStatsTable[[#This Row],[ProjectName]]),(ProjectInfoTable[ProjectName]=ContinuousStatsTable[[#This Row],[ProjectName]])*ProjectInfoTable[NumberOfReplications]))</f>
        <v>10</v>
      </c>
      <c r="O243" s="5" cm="1">
        <f t="array" ref="O243">IFERROR(AVERAGE(IF((ContinuousStatsTable[GroupByKey]=ContinuousStatsTable[[#This Row],[GroupByKey]]),(ContinuousStatsTable[GroupByKey]=ContinuousStatsTable[[#This Row],[GroupByKey]])*ContinuousStatsTable[Average])),0)</f>
        <v>0.70837275450082438</v>
      </c>
      <c r="P243" s="5" cm="1">
        <f t="array" ref="P243">IFERROR(_xlfn.STDEV.S(IF((ContinuousStatsTable[GroupByKey]=ContinuousStatsTable[[#This Row],[GroupByKey]]),(ContinuousStatsTable[GroupByKey]=ContinuousStatsTable[[#This Row],[GroupByKey]])*ContinuousStatsTable[Average])),0)</f>
        <v>6.6907872462483045E-2</v>
      </c>
      <c r="Q243" s="5" cm="1">
        <f t="array" ref="Q243">MAX(IF((ProjectInfoTable[ProjectName]=ContinuousStatsTable[[#This Row],[ProjectName]]),(ProjectInfoTable[ProjectName]=ContinuousStatsTable[[#This Row],[ProjectName]])*ProjectInfoTable[ConfidenceInterval]))</f>
        <v>0.95</v>
      </c>
      <c r="R2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4.7863008629841705E-2</v>
      </c>
      <c r="S243" s="5" cm="1">
        <f t="array" ref="S243">MIN(IF((ContinuousStatsTable[GroupByKey]=ContinuousStatsTable[[#This Row],[GroupByKey]]),(ContinuousStatsTable[GroupByKey]=ContinuousStatsTable[[#This Row],[GroupByKey]])*ContinuousStatsTable[Average]))</f>
        <v>0.59079613419461596</v>
      </c>
      <c r="T243" s="5" cm="1">
        <f t="array" ref="T243">MAX(IF((ContinuousStatsTable[GroupByKey]=ContinuousStatsTable[[#This Row],[GroupByKey]]),(ContinuousStatsTable[GroupByKey]=ContinuousStatsTable[[#This Row],[GroupByKey]])*ContinuousStatsTable[Average]))</f>
        <v>0.79730240092691096</v>
      </c>
      <c r="U243" s="5">
        <f>IF((ContinuousStatsTable[[#This Row],[RepsRequested]]&gt;1),ContinuousStatsTable[[#This Row],[HalfWidth]],ContinuousStatsTable[[#This Row],[BatchMeansHalfWidth]])</f>
        <v>4.7863008629841705E-2</v>
      </c>
    </row>
    <row r="244" spans="1:21" x14ac:dyDescent="0.4">
      <c r="A244" t="s">
        <v>66</v>
      </c>
      <c r="B244" t="s">
        <v>69</v>
      </c>
      <c r="C244">
        <v>10</v>
      </c>
      <c r="D244" t="s">
        <v>95</v>
      </c>
      <c r="E244" t="s">
        <v>99</v>
      </c>
      <c r="F244" t="s">
        <v>97</v>
      </c>
      <c r="G244">
        <v>2</v>
      </c>
      <c r="H244">
        <v>2E+20</v>
      </c>
      <c r="I244">
        <v>2</v>
      </c>
      <c r="J244">
        <v>2</v>
      </c>
      <c r="K244">
        <v>2</v>
      </c>
      <c r="L244">
        <v>0</v>
      </c>
      <c r="M244" s="5" t="str">
        <f>ContinuousStatsTable[[#This Row],[ProjectName]]&amp;ContinuousStatsTable[[#This Row],[Name]]&amp;ContinuousStatsTable[[#This Row],[Type]]&amp;ContinuousStatsTable[[#This Row],[Source]]</f>
        <v>Unnamed ProjectM1Number ScheduledResource</v>
      </c>
      <c r="N244" s="5" cm="1">
        <f t="array" ref="N244">MAX(IF((ProjectInfoTable[ProjectName]=ContinuousStatsTable[[#This Row],[ProjectName]]),(ProjectInfoTable[ProjectName]=ContinuousStatsTable[[#This Row],[ProjectName]])*ProjectInfoTable[NumberOfReplications]))</f>
        <v>10</v>
      </c>
      <c r="O244" s="5" cm="1">
        <f t="array" ref="O244">IFERROR(AVERAGE(IF((ContinuousStatsTable[GroupByKey]=ContinuousStatsTable[[#This Row],[GroupByKey]]),(ContinuousStatsTable[GroupByKey]=ContinuousStatsTable[[#This Row],[GroupByKey]])*ContinuousStatsTable[Average])),0)</f>
        <v>2</v>
      </c>
      <c r="P244" s="5" cm="1">
        <f t="array" ref="P244">IFERROR(_xlfn.STDEV.S(IF((ContinuousStatsTable[GroupByKey]=ContinuousStatsTable[[#This Row],[GroupByKey]]),(ContinuousStatsTable[GroupByKey]=ContinuousStatsTable[[#This Row],[GroupByKey]])*ContinuousStatsTable[Average])),0)</f>
        <v>0</v>
      </c>
      <c r="Q244" s="5" cm="1">
        <f t="array" ref="Q244">MAX(IF((ProjectInfoTable[ProjectName]=ContinuousStatsTable[[#This Row],[ProjectName]]),(ProjectInfoTable[ProjectName]=ContinuousStatsTable[[#This Row],[ProjectName]])*ProjectInfoTable[ConfidenceInterval]))</f>
        <v>0.95</v>
      </c>
      <c r="R2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4" s="5" cm="1">
        <f t="array" ref="S244">MIN(IF((ContinuousStatsTable[GroupByKey]=ContinuousStatsTable[[#This Row],[GroupByKey]]),(ContinuousStatsTable[GroupByKey]=ContinuousStatsTable[[#This Row],[GroupByKey]])*ContinuousStatsTable[Average]))</f>
        <v>2</v>
      </c>
      <c r="T244" s="5" cm="1">
        <f t="array" ref="T244">MAX(IF((ContinuousStatsTable[GroupByKey]=ContinuousStatsTable[[#This Row],[GroupByKey]]),(ContinuousStatsTable[GroupByKey]=ContinuousStatsTable[[#This Row],[GroupByKey]])*ContinuousStatsTable[Average]))</f>
        <v>2</v>
      </c>
      <c r="U244" s="5">
        <f>IF((ContinuousStatsTable[[#This Row],[RepsRequested]]&gt;1),ContinuousStatsTable[[#This Row],[HalfWidth]],ContinuousStatsTable[[#This Row],[BatchMeansHalfWidth]])</f>
        <v>0</v>
      </c>
    </row>
    <row r="245" spans="1:21" x14ac:dyDescent="0.4">
      <c r="A245" t="s">
        <v>66</v>
      </c>
      <c r="B245" t="s">
        <v>69</v>
      </c>
      <c r="C245">
        <v>10</v>
      </c>
      <c r="D245" t="s">
        <v>85</v>
      </c>
      <c r="E245" t="s">
        <v>94</v>
      </c>
      <c r="F245" t="s">
        <v>80</v>
      </c>
      <c r="G245">
        <v>9.7226002254163904E-2</v>
      </c>
      <c r="H245">
        <v>2E+20</v>
      </c>
      <c r="I245">
        <v>0</v>
      </c>
      <c r="J245">
        <v>4</v>
      </c>
      <c r="K245">
        <v>2</v>
      </c>
      <c r="L245">
        <v>0</v>
      </c>
      <c r="M245" s="5" t="str">
        <f>ContinuousStatsTable[[#This Row],[ProjectName]]&amp;ContinuousStatsTable[[#This Row],[Name]]&amp;ContinuousStatsTable[[#This Row],[Type]]&amp;ContinuousStatsTable[[#This Row],[Source]]</f>
        <v>Unnamed ProjectM1.QNumber WaitingQueue</v>
      </c>
      <c r="N245" s="5" cm="1">
        <f t="array" ref="N245">MAX(IF((ProjectInfoTable[ProjectName]=ContinuousStatsTable[[#This Row],[ProjectName]]),(ProjectInfoTable[ProjectName]=ContinuousStatsTable[[#This Row],[ProjectName]])*ProjectInfoTable[NumberOfReplications]))</f>
        <v>10</v>
      </c>
      <c r="O245" s="5" cm="1">
        <f t="array" ref="O245">IFERROR(AVERAGE(IF((ContinuousStatsTable[GroupByKey]=ContinuousStatsTable[[#This Row],[GroupByKey]]),(ContinuousStatsTable[GroupByKey]=ContinuousStatsTable[[#This Row],[GroupByKey]])*ContinuousStatsTable[Average])),0)</f>
        <v>8.2638825969756052E-2</v>
      </c>
      <c r="P245" s="5" cm="1">
        <f t="array" ref="P245">IFERROR(_xlfn.STDEV.S(IF((ContinuousStatsTable[GroupByKey]=ContinuousStatsTable[[#This Row],[GroupByKey]]),(ContinuousStatsTable[GroupByKey]=ContinuousStatsTable[[#This Row],[GroupByKey]])*ContinuousStatsTable[Average])),0)</f>
        <v>2.9983492659856659E-2</v>
      </c>
      <c r="Q245" s="5" cm="1">
        <f t="array" ref="Q245">MAX(IF((ProjectInfoTable[ProjectName]=ContinuousStatsTable[[#This Row],[ProjectName]]),(ProjectInfoTable[ProjectName]=ContinuousStatsTable[[#This Row],[ProjectName]])*ProjectInfoTable[ConfidenceInterval]))</f>
        <v>0.95</v>
      </c>
      <c r="R2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2.1448898539349195E-2</v>
      </c>
      <c r="S245" s="5" cm="1">
        <f t="array" ref="S245">MIN(IF((ContinuousStatsTable[GroupByKey]=ContinuousStatsTable[[#This Row],[GroupByKey]]),(ContinuousStatsTable[GroupByKey]=ContinuousStatsTable[[#This Row],[GroupByKey]])*ContinuousStatsTable[Average]))</f>
        <v>3.4990004496426703E-2</v>
      </c>
      <c r="T245" s="5" cm="1">
        <f t="array" ref="T245">MAX(IF((ContinuousStatsTable[GroupByKey]=ContinuousStatsTable[[#This Row],[GroupByKey]]),(ContinuousStatsTable[GroupByKey]=ContinuousStatsTable[[#This Row],[GroupByKey]])*ContinuousStatsTable[Average]))</f>
        <v>0.13146637852281401</v>
      </c>
      <c r="U245" s="5">
        <f>IF((ContinuousStatsTable[[#This Row],[RepsRequested]]&gt;1),ContinuousStatsTable[[#This Row],[HalfWidth]],ContinuousStatsTable[[#This Row],[BatchMeansHalfWidth]])</f>
        <v>2.1448898539349195E-2</v>
      </c>
    </row>
    <row r="246" spans="1:21" x14ac:dyDescent="0.4">
      <c r="A246" t="s">
        <v>66</v>
      </c>
      <c r="B246" t="s">
        <v>69</v>
      </c>
      <c r="C246">
        <v>10</v>
      </c>
      <c r="D246" t="s">
        <v>100</v>
      </c>
      <c r="E246" t="s">
        <v>96</v>
      </c>
      <c r="F246" t="s">
        <v>97</v>
      </c>
      <c r="G246">
        <v>0.74554556159781105</v>
      </c>
      <c r="H246">
        <v>2E+20</v>
      </c>
      <c r="I246">
        <v>0</v>
      </c>
      <c r="J246">
        <v>1</v>
      </c>
      <c r="K246">
        <v>1</v>
      </c>
      <c r="L246">
        <v>0</v>
      </c>
      <c r="M246" s="5" t="str">
        <f>ContinuousStatsTable[[#This Row],[ProjectName]]&amp;ContinuousStatsTable[[#This Row],[Name]]&amp;ContinuousStatsTable[[#This Row],[Type]]&amp;ContinuousStatsTable[[#This Row],[Source]]</f>
        <v>Unnamed ProjectM2Instantaneous UtilizationResource</v>
      </c>
      <c r="N246" s="5" cm="1">
        <f t="array" ref="N246">MAX(IF((ProjectInfoTable[ProjectName]=ContinuousStatsTable[[#This Row],[ProjectName]]),(ProjectInfoTable[ProjectName]=ContinuousStatsTable[[#This Row],[ProjectName]])*ProjectInfoTable[NumberOfReplications]))</f>
        <v>10</v>
      </c>
      <c r="O246" s="5" cm="1">
        <f t="array" ref="O246">IFERROR(AVERAGE(IF((ContinuousStatsTable[GroupByKey]=ContinuousStatsTable[[#This Row],[GroupByKey]]),(ContinuousStatsTable[GroupByKey]=ContinuousStatsTable[[#This Row],[GroupByKey]])*ContinuousStatsTable[Average])),0)</f>
        <v>0.79069410142096264</v>
      </c>
      <c r="P246" s="5" cm="1">
        <f t="array" ref="P246">IFERROR(_xlfn.STDEV.S(IF((ContinuousStatsTable[GroupByKey]=ContinuousStatsTable[[#This Row],[GroupByKey]]),(ContinuousStatsTable[GroupByKey]=ContinuousStatsTable[[#This Row],[GroupByKey]])*ContinuousStatsTable[Average])),0)</f>
        <v>8.4677985904895448E-2</v>
      </c>
      <c r="Q246" s="5" cm="1">
        <f t="array" ref="Q246">MAX(IF((ProjectInfoTable[ProjectName]=ContinuousStatsTable[[#This Row],[ProjectName]]),(ProjectInfoTable[ProjectName]=ContinuousStatsTable[[#This Row],[ProjectName]])*ProjectInfoTable[ConfidenceInterval]))</f>
        <v>0.95</v>
      </c>
      <c r="R2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6.0574982000753563E-2</v>
      </c>
      <c r="S246" s="5" cm="1">
        <f t="array" ref="S246">MIN(IF((ContinuousStatsTable[GroupByKey]=ContinuousStatsTable[[#This Row],[GroupByKey]]),(ContinuousStatsTable[GroupByKey]=ContinuousStatsTable[[#This Row],[GroupByKey]])*ContinuousStatsTable[Average]))</f>
        <v>0.62412916158771403</v>
      </c>
      <c r="T246" s="5" cm="1">
        <f t="array" ref="T246">MAX(IF((ContinuousStatsTable[GroupByKey]=ContinuousStatsTable[[#This Row],[GroupByKey]]),(ContinuousStatsTable[GroupByKey]=ContinuousStatsTable[[#This Row],[GroupByKey]])*ContinuousStatsTable[Average]))</f>
        <v>0.92247891730008102</v>
      </c>
      <c r="U246" s="5">
        <f>IF((ContinuousStatsTable[[#This Row],[RepsRequested]]&gt;1),ContinuousStatsTable[[#This Row],[HalfWidth]],ContinuousStatsTable[[#This Row],[BatchMeansHalfWidth]])</f>
        <v>6.0574982000753563E-2</v>
      </c>
    </row>
    <row r="247" spans="1:21" x14ac:dyDescent="0.4">
      <c r="A247" t="s">
        <v>66</v>
      </c>
      <c r="B247" t="s">
        <v>69</v>
      </c>
      <c r="C247">
        <v>10</v>
      </c>
      <c r="D247" t="s">
        <v>100</v>
      </c>
      <c r="E247" t="s">
        <v>98</v>
      </c>
      <c r="F247" t="s">
        <v>97</v>
      </c>
      <c r="G247">
        <v>0.74554556159781105</v>
      </c>
      <c r="H247">
        <v>2E+20</v>
      </c>
      <c r="I247">
        <v>0</v>
      </c>
      <c r="J247">
        <v>1</v>
      </c>
      <c r="K247">
        <v>1</v>
      </c>
      <c r="L247">
        <v>0</v>
      </c>
      <c r="M247" s="5" t="str">
        <f>ContinuousStatsTable[[#This Row],[ProjectName]]&amp;ContinuousStatsTable[[#This Row],[Name]]&amp;ContinuousStatsTable[[#This Row],[Type]]&amp;ContinuousStatsTable[[#This Row],[Source]]</f>
        <v>Unnamed ProjectM2Number BusyResource</v>
      </c>
      <c r="N247" s="5" cm="1">
        <f t="array" ref="N247">MAX(IF((ProjectInfoTable[ProjectName]=ContinuousStatsTable[[#This Row],[ProjectName]]),(ProjectInfoTable[ProjectName]=ContinuousStatsTable[[#This Row],[ProjectName]])*ProjectInfoTable[NumberOfReplications]))</f>
        <v>10</v>
      </c>
      <c r="O247" s="5" cm="1">
        <f t="array" ref="O247">IFERROR(AVERAGE(IF((ContinuousStatsTable[GroupByKey]=ContinuousStatsTable[[#This Row],[GroupByKey]]),(ContinuousStatsTable[GroupByKey]=ContinuousStatsTable[[#This Row],[GroupByKey]])*ContinuousStatsTable[Average])),0)</f>
        <v>0.79069410142096264</v>
      </c>
      <c r="P247" s="5" cm="1">
        <f t="array" ref="P247">IFERROR(_xlfn.STDEV.S(IF((ContinuousStatsTable[GroupByKey]=ContinuousStatsTable[[#This Row],[GroupByKey]]),(ContinuousStatsTable[GroupByKey]=ContinuousStatsTable[[#This Row],[GroupByKey]])*ContinuousStatsTable[Average])),0)</f>
        <v>8.4677985904895448E-2</v>
      </c>
      <c r="Q247" s="5" cm="1">
        <f t="array" ref="Q247">MAX(IF((ProjectInfoTable[ProjectName]=ContinuousStatsTable[[#This Row],[ProjectName]]),(ProjectInfoTable[ProjectName]=ContinuousStatsTable[[#This Row],[ProjectName]])*ProjectInfoTable[ConfidenceInterval]))</f>
        <v>0.95</v>
      </c>
      <c r="R2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6.0574982000753563E-2</v>
      </c>
      <c r="S247" s="5" cm="1">
        <f t="array" ref="S247">MIN(IF((ContinuousStatsTable[GroupByKey]=ContinuousStatsTable[[#This Row],[GroupByKey]]),(ContinuousStatsTable[GroupByKey]=ContinuousStatsTable[[#This Row],[GroupByKey]])*ContinuousStatsTable[Average]))</f>
        <v>0.62412916158771403</v>
      </c>
      <c r="T247" s="5" cm="1">
        <f t="array" ref="T247">MAX(IF((ContinuousStatsTable[GroupByKey]=ContinuousStatsTable[[#This Row],[GroupByKey]]),(ContinuousStatsTable[GroupByKey]=ContinuousStatsTable[[#This Row],[GroupByKey]])*ContinuousStatsTable[Average]))</f>
        <v>0.92247891730008102</v>
      </c>
      <c r="U247" s="5">
        <f>IF((ContinuousStatsTable[[#This Row],[RepsRequested]]&gt;1),ContinuousStatsTable[[#This Row],[HalfWidth]],ContinuousStatsTable[[#This Row],[BatchMeansHalfWidth]])</f>
        <v>6.0574982000753563E-2</v>
      </c>
    </row>
    <row r="248" spans="1:21" x14ac:dyDescent="0.4">
      <c r="A248" t="s">
        <v>66</v>
      </c>
      <c r="B248" t="s">
        <v>69</v>
      </c>
      <c r="C248">
        <v>10</v>
      </c>
      <c r="D248" t="s">
        <v>100</v>
      </c>
      <c r="E248" t="s">
        <v>99</v>
      </c>
      <c r="F248" t="s">
        <v>97</v>
      </c>
      <c r="G248">
        <v>1</v>
      </c>
      <c r="H248">
        <v>2E+20</v>
      </c>
      <c r="I248">
        <v>1</v>
      </c>
      <c r="J248">
        <v>1</v>
      </c>
      <c r="K248">
        <v>1</v>
      </c>
      <c r="L248">
        <v>0</v>
      </c>
      <c r="M248" s="5" t="str">
        <f>ContinuousStatsTable[[#This Row],[ProjectName]]&amp;ContinuousStatsTable[[#This Row],[Name]]&amp;ContinuousStatsTable[[#This Row],[Type]]&amp;ContinuousStatsTable[[#This Row],[Source]]</f>
        <v>Unnamed ProjectM2Number ScheduledResource</v>
      </c>
      <c r="N248" s="5" cm="1">
        <f t="array" ref="N248">MAX(IF((ProjectInfoTable[ProjectName]=ContinuousStatsTable[[#This Row],[ProjectName]]),(ProjectInfoTable[ProjectName]=ContinuousStatsTable[[#This Row],[ProjectName]])*ProjectInfoTable[NumberOfReplications]))</f>
        <v>10</v>
      </c>
      <c r="O248" s="5" cm="1">
        <f t="array" ref="O248">IFERROR(AVERAGE(IF((ContinuousStatsTable[GroupByKey]=ContinuousStatsTable[[#This Row],[GroupByKey]]),(ContinuousStatsTable[GroupByKey]=ContinuousStatsTable[[#This Row],[GroupByKey]])*ContinuousStatsTable[Average])),0)</f>
        <v>1</v>
      </c>
      <c r="P248" s="5" cm="1">
        <f t="array" ref="P248">IFERROR(_xlfn.STDEV.S(IF((ContinuousStatsTable[GroupByKey]=ContinuousStatsTable[[#This Row],[GroupByKey]]),(ContinuousStatsTable[GroupByKey]=ContinuousStatsTable[[#This Row],[GroupByKey]])*ContinuousStatsTable[Average])),0)</f>
        <v>0</v>
      </c>
      <c r="Q248" s="5" cm="1">
        <f t="array" ref="Q248">MAX(IF((ProjectInfoTable[ProjectName]=ContinuousStatsTable[[#This Row],[ProjectName]]),(ProjectInfoTable[ProjectName]=ContinuousStatsTable[[#This Row],[ProjectName]])*ProjectInfoTable[ConfidenceInterval]))</f>
        <v>0.95</v>
      </c>
      <c r="R2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8" s="5" cm="1">
        <f t="array" ref="S248">MIN(IF((ContinuousStatsTable[GroupByKey]=ContinuousStatsTable[[#This Row],[GroupByKey]]),(ContinuousStatsTable[GroupByKey]=ContinuousStatsTable[[#This Row],[GroupByKey]])*ContinuousStatsTable[Average]))</f>
        <v>1</v>
      </c>
      <c r="T248" s="5" cm="1">
        <f t="array" ref="T248">MAX(IF((ContinuousStatsTable[GroupByKey]=ContinuousStatsTable[[#This Row],[GroupByKey]]),(ContinuousStatsTable[GroupByKey]=ContinuousStatsTable[[#This Row],[GroupByKey]])*ContinuousStatsTable[Average]))</f>
        <v>1</v>
      </c>
      <c r="U248" s="5">
        <f>IF((ContinuousStatsTable[[#This Row],[RepsRequested]]&gt;1),ContinuousStatsTable[[#This Row],[HalfWidth]],ContinuousStatsTable[[#This Row],[BatchMeansHalfWidth]])</f>
        <v>0</v>
      </c>
    </row>
    <row r="249" spans="1:21" x14ac:dyDescent="0.4">
      <c r="A249" t="s">
        <v>66</v>
      </c>
      <c r="B249" t="s">
        <v>69</v>
      </c>
      <c r="C249">
        <v>10</v>
      </c>
      <c r="D249" t="s">
        <v>86</v>
      </c>
      <c r="E249" t="s">
        <v>94</v>
      </c>
      <c r="F249" t="s">
        <v>80</v>
      </c>
      <c r="G249">
        <v>1.8366395402818101</v>
      </c>
      <c r="H249">
        <v>2E+20</v>
      </c>
      <c r="I249">
        <v>0</v>
      </c>
      <c r="J249">
        <v>8</v>
      </c>
      <c r="K249">
        <v>7</v>
      </c>
      <c r="L249">
        <v>0</v>
      </c>
      <c r="M249" s="5" t="str">
        <f>ContinuousStatsTable[[#This Row],[ProjectName]]&amp;ContinuousStatsTable[[#This Row],[Name]]&amp;ContinuousStatsTable[[#This Row],[Type]]&amp;ContinuousStatsTable[[#This Row],[Source]]</f>
        <v>Unnamed ProjectM2.QNumber WaitingQueue</v>
      </c>
      <c r="N249" s="5" cm="1">
        <f t="array" ref="N249">MAX(IF((ProjectInfoTable[ProjectName]=ContinuousStatsTable[[#This Row],[ProjectName]]),(ProjectInfoTable[ProjectName]=ContinuousStatsTable[[#This Row],[ProjectName]])*ProjectInfoTable[NumberOfReplications]))</f>
        <v>10</v>
      </c>
      <c r="O249" s="5" cm="1">
        <f t="array" ref="O249">IFERROR(AVERAGE(IF((ContinuousStatsTable[GroupByKey]=ContinuousStatsTable[[#This Row],[GroupByKey]]),(ContinuousStatsTable[GroupByKey]=ContinuousStatsTable[[#This Row],[GroupByKey]])*ContinuousStatsTable[Average])),0)</f>
        <v>1.9414248775037748</v>
      </c>
      <c r="P249" s="5" cm="1">
        <f t="array" ref="P249">IFERROR(_xlfn.STDEV.S(IF((ContinuousStatsTable[GroupByKey]=ContinuousStatsTable[[#This Row],[GroupByKey]]),(ContinuousStatsTable[GroupByKey]=ContinuousStatsTable[[#This Row],[GroupByKey]])*ContinuousStatsTable[Average])),0)</f>
        <v>1.0999712931753487</v>
      </c>
      <c r="Q249" s="5" cm="1">
        <f t="array" ref="Q249">MAX(IF((ProjectInfoTable[ProjectName]=ContinuousStatsTable[[#This Row],[ProjectName]]),(ProjectInfoTable[ProjectName]=ContinuousStatsTable[[#This Row],[ProjectName]])*ProjectInfoTable[ConfidenceInterval]))</f>
        <v>0.95</v>
      </c>
      <c r="R2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0.78687206094246831</v>
      </c>
      <c r="S249" s="5" cm="1">
        <f t="array" ref="S249">MIN(IF((ContinuousStatsTable[GroupByKey]=ContinuousStatsTable[[#This Row],[GroupByKey]]),(ContinuousStatsTable[GroupByKey]=ContinuousStatsTable[[#This Row],[GroupByKey]])*ContinuousStatsTable[Average]))</f>
        <v>0.64368437614034602</v>
      </c>
      <c r="T249" s="5" cm="1">
        <f t="array" ref="T249">MAX(IF((ContinuousStatsTable[GroupByKey]=ContinuousStatsTable[[#This Row],[GroupByKey]]),(ContinuousStatsTable[GroupByKey]=ContinuousStatsTable[[#This Row],[GroupByKey]])*ContinuousStatsTable[Average]))</f>
        <v>3.96038812902029</v>
      </c>
      <c r="U249" s="5">
        <f>IF((ContinuousStatsTable[[#This Row],[RepsRequested]]&gt;1),ContinuousStatsTable[[#This Row],[HalfWidth]],ContinuousStatsTable[[#This Row],[BatchMeansHalfWidth]])</f>
        <v>0.78687206094246831</v>
      </c>
    </row>
    <row r="250" spans="1:21" x14ac:dyDescent="0.4">
      <c r="A250" t="s">
        <v>66</v>
      </c>
      <c r="B250" t="s">
        <v>69</v>
      </c>
      <c r="C250">
        <v>10</v>
      </c>
      <c r="D250" t="s">
        <v>101</v>
      </c>
      <c r="E250" t="s">
        <v>96</v>
      </c>
      <c r="F250" t="s">
        <v>97</v>
      </c>
      <c r="G250">
        <v>0.36248067330217498</v>
      </c>
      <c r="H250">
        <v>2E+20</v>
      </c>
      <c r="I250">
        <v>0</v>
      </c>
      <c r="J250">
        <v>1</v>
      </c>
      <c r="K250">
        <v>0.5</v>
      </c>
      <c r="L250">
        <v>0</v>
      </c>
      <c r="M250" s="5" t="str">
        <f>ContinuousStatsTable[[#This Row],[ProjectName]]&amp;ContinuousStatsTable[[#This Row],[Name]]&amp;ContinuousStatsTable[[#This Row],[Type]]&amp;ContinuousStatsTable[[#This Row],[Source]]</f>
        <v>Unnamed ProjectM3Instantaneous UtilizationResource</v>
      </c>
      <c r="N250" s="5" cm="1">
        <f t="array" ref="N250">MAX(IF((ProjectInfoTable[ProjectName]=ContinuousStatsTable[[#This Row],[ProjectName]]),(ProjectInfoTable[ProjectName]=ContinuousStatsTable[[#This Row],[ProjectName]])*ProjectInfoTable[NumberOfReplications]))</f>
        <v>10</v>
      </c>
      <c r="O250" s="5" cm="1">
        <f t="array" ref="O250">IFERROR(AVERAGE(IF((ContinuousStatsTable[GroupByKey]=ContinuousStatsTable[[#This Row],[GroupByKey]]),(ContinuousStatsTable[GroupByKey]=ContinuousStatsTable[[#This Row],[GroupByKey]])*ContinuousStatsTable[Average])),0)</f>
        <v>0.38204498745219106</v>
      </c>
      <c r="P250" s="5" cm="1">
        <f t="array" ref="P250">IFERROR(_xlfn.STDEV.S(IF((ContinuousStatsTable[GroupByKey]=ContinuousStatsTable[[#This Row],[GroupByKey]]),(ContinuousStatsTable[GroupByKey]=ContinuousStatsTable[[#This Row],[GroupByKey]])*ContinuousStatsTable[Average])),0)</f>
        <v>2.9603647703352595E-2</v>
      </c>
      <c r="Q250" s="5" cm="1">
        <f t="array" ref="Q250">MAX(IF((ProjectInfoTable[ProjectName]=ContinuousStatsTable[[#This Row],[ProjectName]]),(ProjectInfoTable[ProjectName]=ContinuousStatsTable[[#This Row],[ProjectName]])*ProjectInfoTable[ConfidenceInterval]))</f>
        <v>0.95</v>
      </c>
      <c r="R2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2.1177173826515884E-2</v>
      </c>
      <c r="S250" s="5" cm="1">
        <f t="array" ref="S250">MIN(IF((ContinuousStatsTable[GroupByKey]=ContinuousStatsTable[[#This Row],[GroupByKey]]),(ContinuousStatsTable[GroupByKey]=ContinuousStatsTable[[#This Row],[GroupByKey]])*ContinuousStatsTable[Average]))</f>
        <v>0.32566726436532201</v>
      </c>
      <c r="T250" s="5" cm="1">
        <f t="array" ref="T250">MAX(IF((ContinuousStatsTable[GroupByKey]=ContinuousStatsTable[[#This Row],[GroupByKey]]),(ContinuousStatsTable[GroupByKey]=ContinuousStatsTable[[#This Row],[GroupByKey]])*ContinuousStatsTable[Average]))</f>
        <v>0.42511230467838501</v>
      </c>
      <c r="U250" s="5">
        <f>IF((ContinuousStatsTable[[#This Row],[RepsRequested]]&gt;1),ContinuousStatsTable[[#This Row],[HalfWidth]],ContinuousStatsTable[[#This Row],[BatchMeansHalfWidth]])</f>
        <v>2.1177173826515884E-2</v>
      </c>
    </row>
    <row r="251" spans="1:21" x14ac:dyDescent="0.4">
      <c r="A251" t="s">
        <v>66</v>
      </c>
      <c r="B251" t="s">
        <v>69</v>
      </c>
      <c r="C251">
        <v>10</v>
      </c>
      <c r="D251" t="s">
        <v>101</v>
      </c>
      <c r="E251" t="s">
        <v>98</v>
      </c>
      <c r="F251" t="s">
        <v>97</v>
      </c>
      <c r="G251">
        <v>0.72496134660435096</v>
      </c>
      <c r="H251">
        <v>2E+20</v>
      </c>
      <c r="I251">
        <v>0</v>
      </c>
      <c r="J251">
        <v>2</v>
      </c>
      <c r="K251">
        <v>1</v>
      </c>
      <c r="L251">
        <v>0</v>
      </c>
      <c r="M251" s="5" t="str">
        <f>ContinuousStatsTable[[#This Row],[ProjectName]]&amp;ContinuousStatsTable[[#This Row],[Name]]&amp;ContinuousStatsTable[[#This Row],[Type]]&amp;ContinuousStatsTable[[#This Row],[Source]]</f>
        <v>Unnamed ProjectM3Number BusyResource</v>
      </c>
      <c r="N251" s="5" cm="1">
        <f t="array" ref="N251">MAX(IF((ProjectInfoTable[ProjectName]=ContinuousStatsTable[[#This Row],[ProjectName]]),(ProjectInfoTable[ProjectName]=ContinuousStatsTable[[#This Row],[ProjectName]])*ProjectInfoTable[NumberOfReplications]))</f>
        <v>10</v>
      </c>
      <c r="O251" s="5" cm="1">
        <f t="array" ref="O251">IFERROR(AVERAGE(IF((ContinuousStatsTable[GroupByKey]=ContinuousStatsTable[[#This Row],[GroupByKey]]),(ContinuousStatsTable[GroupByKey]=ContinuousStatsTable[[#This Row],[GroupByKey]])*ContinuousStatsTable[Average])),0)</f>
        <v>0.76408997490438202</v>
      </c>
      <c r="P251" s="5" cm="1">
        <f t="array" ref="P251">IFERROR(_xlfn.STDEV.S(IF((ContinuousStatsTable[GroupByKey]=ContinuousStatsTable[[#This Row],[GroupByKey]]),(ContinuousStatsTable[GroupByKey]=ContinuousStatsTable[[#This Row],[GroupByKey]])*ContinuousStatsTable[Average])),0)</f>
        <v>5.9207295406705232E-2</v>
      </c>
      <c r="Q251" s="5" cm="1">
        <f t="array" ref="Q251">MAX(IF((ProjectInfoTable[ProjectName]=ContinuousStatsTable[[#This Row],[ProjectName]]),(ProjectInfoTable[ProjectName]=ContinuousStatsTable[[#This Row],[ProjectName]])*ProjectInfoTable[ConfidenceInterval]))</f>
        <v>0.95</v>
      </c>
      <c r="R2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4.2354347653031796E-2</v>
      </c>
      <c r="S251" s="5" cm="1">
        <f t="array" ref="S251">MIN(IF((ContinuousStatsTable[GroupByKey]=ContinuousStatsTable[[#This Row],[GroupByKey]]),(ContinuousStatsTable[GroupByKey]=ContinuousStatsTable[[#This Row],[GroupByKey]])*ContinuousStatsTable[Average]))</f>
        <v>0.65133452873064301</v>
      </c>
      <c r="T251" s="5" cm="1">
        <f t="array" ref="T251">MAX(IF((ContinuousStatsTable[GroupByKey]=ContinuousStatsTable[[#This Row],[GroupByKey]]),(ContinuousStatsTable[GroupByKey]=ContinuousStatsTable[[#This Row],[GroupByKey]])*ContinuousStatsTable[Average]))</f>
        <v>0.85022460935677002</v>
      </c>
      <c r="U251" s="5">
        <f>IF((ContinuousStatsTable[[#This Row],[RepsRequested]]&gt;1),ContinuousStatsTable[[#This Row],[HalfWidth]],ContinuousStatsTable[[#This Row],[BatchMeansHalfWidth]])</f>
        <v>4.2354347653031796E-2</v>
      </c>
    </row>
    <row r="252" spans="1:21" x14ac:dyDescent="0.4">
      <c r="A252" t="s">
        <v>66</v>
      </c>
      <c r="B252" t="s">
        <v>69</v>
      </c>
      <c r="C252">
        <v>10</v>
      </c>
      <c r="D252" t="s">
        <v>101</v>
      </c>
      <c r="E252" t="s">
        <v>99</v>
      </c>
      <c r="F252" t="s">
        <v>97</v>
      </c>
      <c r="G252">
        <v>2</v>
      </c>
      <c r="H252">
        <v>2E+20</v>
      </c>
      <c r="I252">
        <v>2</v>
      </c>
      <c r="J252">
        <v>2</v>
      </c>
      <c r="K252">
        <v>2</v>
      </c>
      <c r="L252">
        <v>0</v>
      </c>
      <c r="M252" s="5" t="str">
        <f>ContinuousStatsTable[[#This Row],[ProjectName]]&amp;ContinuousStatsTable[[#This Row],[Name]]&amp;ContinuousStatsTable[[#This Row],[Type]]&amp;ContinuousStatsTable[[#This Row],[Source]]</f>
        <v>Unnamed ProjectM3Number ScheduledResource</v>
      </c>
      <c r="N252" s="5" cm="1">
        <f t="array" ref="N252">MAX(IF((ProjectInfoTable[ProjectName]=ContinuousStatsTable[[#This Row],[ProjectName]]),(ProjectInfoTable[ProjectName]=ContinuousStatsTable[[#This Row],[ProjectName]])*ProjectInfoTable[NumberOfReplications]))</f>
        <v>10</v>
      </c>
      <c r="O252" s="5" cm="1">
        <f t="array" ref="O252">IFERROR(AVERAGE(IF((ContinuousStatsTable[GroupByKey]=ContinuousStatsTable[[#This Row],[GroupByKey]]),(ContinuousStatsTable[GroupByKey]=ContinuousStatsTable[[#This Row],[GroupByKey]])*ContinuousStatsTable[Average])),0)</f>
        <v>2</v>
      </c>
      <c r="P252" s="5" cm="1">
        <f t="array" ref="P252">IFERROR(_xlfn.STDEV.S(IF((ContinuousStatsTable[GroupByKey]=ContinuousStatsTable[[#This Row],[GroupByKey]]),(ContinuousStatsTable[GroupByKey]=ContinuousStatsTable[[#This Row],[GroupByKey]])*ContinuousStatsTable[Average])),0)</f>
        <v>0</v>
      </c>
      <c r="Q252" s="5" cm="1">
        <f t="array" ref="Q252">MAX(IF((ProjectInfoTable[ProjectName]=ContinuousStatsTable[[#This Row],[ProjectName]]),(ProjectInfoTable[ProjectName]=ContinuousStatsTable[[#This Row],[ProjectName]])*ProjectInfoTable[ConfidenceInterval]))</f>
        <v>0.95</v>
      </c>
      <c r="R2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2" s="5" cm="1">
        <f t="array" ref="S252">MIN(IF((ContinuousStatsTable[GroupByKey]=ContinuousStatsTable[[#This Row],[GroupByKey]]),(ContinuousStatsTable[GroupByKey]=ContinuousStatsTable[[#This Row],[GroupByKey]])*ContinuousStatsTable[Average]))</f>
        <v>2</v>
      </c>
      <c r="T252" s="5" cm="1">
        <f t="array" ref="T252">MAX(IF((ContinuousStatsTable[GroupByKey]=ContinuousStatsTable[[#This Row],[GroupByKey]]),(ContinuousStatsTable[GroupByKey]=ContinuousStatsTable[[#This Row],[GroupByKey]])*ContinuousStatsTable[Average]))</f>
        <v>2</v>
      </c>
      <c r="U252" s="5">
        <f>IF((ContinuousStatsTable[[#This Row],[RepsRequested]]&gt;1),ContinuousStatsTable[[#This Row],[HalfWidth]],ContinuousStatsTable[[#This Row],[BatchMeansHalfWidth]])</f>
        <v>0</v>
      </c>
    </row>
    <row r="253" spans="1:21" x14ac:dyDescent="0.4">
      <c r="A253" t="s">
        <v>66</v>
      </c>
      <c r="B253" t="s">
        <v>69</v>
      </c>
      <c r="C253">
        <v>10</v>
      </c>
      <c r="D253" t="s">
        <v>87</v>
      </c>
      <c r="E253" t="s">
        <v>94</v>
      </c>
      <c r="F253" t="s">
        <v>80</v>
      </c>
      <c r="G253">
        <v>3.1529923879093202E-2</v>
      </c>
      <c r="H253">
        <v>2E+20</v>
      </c>
      <c r="I253">
        <v>0</v>
      </c>
      <c r="J253">
        <v>2</v>
      </c>
      <c r="K253">
        <v>0</v>
      </c>
      <c r="L253">
        <v>0</v>
      </c>
      <c r="M253" s="5" t="str">
        <f>ContinuousStatsTable[[#This Row],[ProjectName]]&amp;ContinuousStatsTable[[#This Row],[Name]]&amp;ContinuousStatsTable[[#This Row],[Type]]&amp;ContinuousStatsTable[[#This Row],[Source]]</f>
        <v>Unnamed ProjectM3.QNumber WaitingQueue</v>
      </c>
      <c r="N253" s="5" cm="1">
        <f t="array" ref="N253">MAX(IF((ProjectInfoTable[ProjectName]=ContinuousStatsTable[[#This Row],[ProjectName]]),(ProjectInfoTable[ProjectName]=ContinuousStatsTable[[#This Row],[ProjectName]])*ProjectInfoTable[NumberOfReplications]))</f>
        <v>10</v>
      </c>
      <c r="O253" s="5" cm="1">
        <f t="array" ref="O253">IFERROR(AVERAGE(IF((ContinuousStatsTable[GroupByKey]=ContinuousStatsTable[[#This Row],[GroupByKey]]),(ContinuousStatsTable[GroupByKey]=ContinuousStatsTable[[#This Row],[GroupByKey]])*ContinuousStatsTable[Average])),0)</f>
        <v>2.5183140573256935E-2</v>
      </c>
      <c r="P253" s="5" cm="1">
        <f t="array" ref="P253">IFERROR(_xlfn.STDEV.S(IF((ContinuousStatsTable[GroupByKey]=ContinuousStatsTable[[#This Row],[GroupByKey]]),(ContinuousStatsTable[GroupByKey]=ContinuousStatsTable[[#This Row],[GroupByKey]])*ContinuousStatsTable[Average])),0)</f>
        <v>6.5933898933538881E-3</v>
      </c>
      <c r="Q253" s="5" cm="1">
        <f t="array" ref="Q253">MAX(IF((ProjectInfoTable[ProjectName]=ContinuousStatsTable[[#This Row],[ProjectName]]),(ProjectInfoTable[ProjectName]=ContinuousStatsTable[[#This Row],[ProjectName]])*ProjectInfoTable[ConfidenceInterval]))</f>
        <v>0.95</v>
      </c>
      <c r="R2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4.7166269939678878E-3</v>
      </c>
      <c r="S253" s="5" cm="1">
        <f t="array" ref="S253">MIN(IF((ContinuousStatsTable[GroupByKey]=ContinuousStatsTable[[#This Row],[GroupByKey]]),(ContinuousStatsTable[GroupByKey]=ContinuousStatsTable[[#This Row],[GroupByKey]])*ContinuousStatsTable[Average]))</f>
        <v>1.7183032756251101E-2</v>
      </c>
      <c r="T253" s="5" cm="1">
        <f t="array" ref="T253">MAX(IF((ContinuousStatsTable[GroupByKey]=ContinuousStatsTable[[#This Row],[GroupByKey]]),(ContinuousStatsTable[GroupByKey]=ContinuousStatsTable[[#This Row],[GroupByKey]])*ContinuousStatsTable[Average]))</f>
        <v>3.3093677405251203E-2</v>
      </c>
      <c r="U253" s="5">
        <f>IF((ContinuousStatsTable[[#This Row],[RepsRequested]]&gt;1),ContinuousStatsTable[[#This Row],[HalfWidth]],ContinuousStatsTable[[#This Row],[BatchMeansHalfWidth]])</f>
        <v>4.7166269939678878E-3</v>
      </c>
    </row>
    <row r="254" spans="1:21" x14ac:dyDescent="0.4">
      <c r="A254" t="s">
        <v>66</v>
      </c>
      <c r="B254" t="s">
        <v>69</v>
      </c>
      <c r="C254">
        <v>10</v>
      </c>
      <c r="D254" t="s">
        <v>102</v>
      </c>
      <c r="E254" t="s">
        <v>96</v>
      </c>
      <c r="F254" t="s">
        <v>97</v>
      </c>
      <c r="G254">
        <v>0.59708526729729605</v>
      </c>
      <c r="H254">
        <v>2E+20</v>
      </c>
      <c r="I254">
        <v>0</v>
      </c>
      <c r="J254">
        <v>1</v>
      </c>
      <c r="K254">
        <v>0</v>
      </c>
      <c r="L254">
        <v>0</v>
      </c>
      <c r="M254" s="5" t="str">
        <f>ContinuousStatsTable[[#This Row],[ProjectName]]&amp;ContinuousStatsTable[[#This Row],[Name]]&amp;ContinuousStatsTable[[#This Row],[Type]]&amp;ContinuousStatsTable[[#This Row],[Source]]</f>
        <v>Unnamed ProjectM4Instantaneous UtilizationResource</v>
      </c>
      <c r="N254" s="5" cm="1">
        <f t="array" ref="N254">MAX(IF((ProjectInfoTable[ProjectName]=ContinuousStatsTable[[#This Row],[ProjectName]]),(ProjectInfoTable[ProjectName]=ContinuousStatsTable[[#This Row],[ProjectName]])*ProjectInfoTable[NumberOfReplications]))</f>
        <v>10</v>
      </c>
      <c r="O254" s="5" cm="1">
        <f t="array" ref="O254">IFERROR(AVERAGE(IF((ContinuousStatsTable[GroupByKey]=ContinuousStatsTable[[#This Row],[GroupByKey]]),(ContinuousStatsTable[GroupByKey]=ContinuousStatsTable[[#This Row],[GroupByKey]])*ContinuousStatsTable[Average])),0)</f>
        <v>0.68948907951108873</v>
      </c>
      <c r="P254" s="5" cm="1">
        <f t="array" ref="P254">IFERROR(_xlfn.STDEV.S(IF((ContinuousStatsTable[GroupByKey]=ContinuousStatsTable[[#This Row],[GroupByKey]]),(ContinuousStatsTable[GroupByKey]=ContinuousStatsTable[[#This Row],[GroupByKey]])*ContinuousStatsTable[Average])),0)</f>
        <v>7.0099805521104841E-2</v>
      </c>
      <c r="Q254" s="5" cm="1">
        <f t="array" ref="Q254">MAX(IF((ProjectInfoTable[ProjectName]=ContinuousStatsTable[[#This Row],[ProjectName]]),(ProjectInfoTable[ProjectName]=ContinuousStatsTable[[#This Row],[ProjectName]])*ProjectInfoTable[ConfidenceInterval]))</f>
        <v>0.95</v>
      </c>
      <c r="R2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5.0146379986722875E-2</v>
      </c>
      <c r="S254" s="5" cm="1">
        <f t="array" ref="S254">MIN(IF((ContinuousStatsTable[GroupByKey]=ContinuousStatsTable[[#This Row],[GroupByKey]]),(ContinuousStatsTable[GroupByKey]=ContinuousStatsTable[[#This Row],[GroupByKey]])*ContinuousStatsTable[Average]))</f>
        <v>0.59708526729729605</v>
      </c>
      <c r="T254" s="5" cm="1">
        <f t="array" ref="T254">MAX(IF((ContinuousStatsTable[GroupByKey]=ContinuousStatsTable[[#This Row],[GroupByKey]]),(ContinuousStatsTable[GroupByKey]=ContinuousStatsTable[[#This Row],[GroupByKey]])*ContinuousStatsTable[Average]))</f>
        <v>0.81511052462014799</v>
      </c>
      <c r="U254" s="5">
        <f>IF((ContinuousStatsTable[[#This Row],[RepsRequested]]&gt;1),ContinuousStatsTable[[#This Row],[HalfWidth]],ContinuousStatsTable[[#This Row],[BatchMeansHalfWidth]])</f>
        <v>5.0146379986722875E-2</v>
      </c>
    </row>
    <row r="255" spans="1:21" x14ac:dyDescent="0.4">
      <c r="A255" t="s">
        <v>66</v>
      </c>
      <c r="B255" t="s">
        <v>69</v>
      </c>
      <c r="C255">
        <v>10</v>
      </c>
      <c r="D255" t="s">
        <v>102</v>
      </c>
      <c r="E255" t="s">
        <v>98</v>
      </c>
      <c r="F255" t="s">
        <v>97</v>
      </c>
      <c r="G255">
        <v>0.59708526729729605</v>
      </c>
      <c r="H255">
        <v>2E+20</v>
      </c>
      <c r="I255">
        <v>0</v>
      </c>
      <c r="J255">
        <v>1</v>
      </c>
      <c r="K255">
        <v>0</v>
      </c>
      <c r="L255">
        <v>0</v>
      </c>
      <c r="M255" s="5" t="str">
        <f>ContinuousStatsTable[[#This Row],[ProjectName]]&amp;ContinuousStatsTable[[#This Row],[Name]]&amp;ContinuousStatsTable[[#This Row],[Type]]&amp;ContinuousStatsTable[[#This Row],[Source]]</f>
        <v>Unnamed ProjectM4Number BusyResource</v>
      </c>
      <c r="N255" s="5" cm="1">
        <f t="array" ref="N255">MAX(IF((ProjectInfoTable[ProjectName]=ContinuousStatsTable[[#This Row],[ProjectName]]),(ProjectInfoTable[ProjectName]=ContinuousStatsTable[[#This Row],[ProjectName]])*ProjectInfoTable[NumberOfReplications]))</f>
        <v>10</v>
      </c>
      <c r="O255" s="5" cm="1">
        <f t="array" ref="O255">IFERROR(AVERAGE(IF((ContinuousStatsTable[GroupByKey]=ContinuousStatsTable[[#This Row],[GroupByKey]]),(ContinuousStatsTable[GroupByKey]=ContinuousStatsTable[[#This Row],[GroupByKey]])*ContinuousStatsTable[Average])),0)</f>
        <v>0.68948907951108873</v>
      </c>
      <c r="P255" s="5" cm="1">
        <f t="array" ref="P255">IFERROR(_xlfn.STDEV.S(IF((ContinuousStatsTable[GroupByKey]=ContinuousStatsTable[[#This Row],[GroupByKey]]),(ContinuousStatsTable[GroupByKey]=ContinuousStatsTable[[#This Row],[GroupByKey]])*ContinuousStatsTable[Average])),0)</f>
        <v>7.0099805521104841E-2</v>
      </c>
      <c r="Q255" s="5" cm="1">
        <f t="array" ref="Q255">MAX(IF((ProjectInfoTable[ProjectName]=ContinuousStatsTable[[#This Row],[ProjectName]]),(ProjectInfoTable[ProjectName]=ContinuousStatsTable[[#This Row],[ProjectName]])*ProjectInfoTable[ConfidenceInterval]))</f>
        <v>0.95</v>
      </c>
      <c r="R2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5.0146379986722875E-2</v>
      </c>
      <c r="S255" s="5" cm="1">
        <f t="array" ref="S255">MIN(IF((ContinuousStatsTable[GroupByKey]=ContinuousStatsTable[[#This Row],[GroupByKey]]),(ContinuousStatsTable[GroupByKey]=ContinuousStatsTable[[#This Row],[GroupByKey]])*ContinuousStatsTable[Average]))</f>
        <v>0.59708526729729605</v>
      </c>
      <c r="T255" s="5" cm="1">
        <f t="array" ref="T255">MAX(IF((ContinuousStatsTable[GroupByKey]=ContinuousStatsTable[[#This Row],[GroupByKey]]),(ContinuousStatsTable[GroupByKey]=ContinuousStatsTable[[#This Row],[GroupByKey]])*ContinuousStatsTable[Average]))</f>
        <v>0.81511052462014799</v>
      </c>
      <c r="U255" s="5">
        <f>IF((ContinuousStatsTable[[#This Row],[RepsRequested]]&gt;1),ContinuousStatsTable[[#This Row],[HalfWidth]],ContinuousStatsTable[[#This Row],[BatchMeansHalfWidth]])</f>
        <v>5.0146379986722875E-2</v>
      </c>
    </row>
    <row r="256" spans="1:21" x14ac:dyDescent="0.4">
      <c r="A256" t="s">
        <v>66</v>
      </c>
      <c r="B256" t="s">
        <v>69</v>
      </c>
      <c r="C256">
        <v>10</v>
      </c>
      <c r="D256" t="s">
        <v>102</v>
      </c>
      <c r="E256" t="s">
        <v>99</v>
      </c>
      <c r="F256" t="s">
        <v>97</v>
      </c>
      <c r="G256">
        <v>1</v>
      </c>
      <c r="H256">
        <v>2E+20</v>
      </c>
      <c r="I256">
        <v>1</v>
      </c>
      <c r="J256">
        <v>1</v>
      </c>
      <c r="K256">
        <v>1</v>
      </c>
      <c r="L256">
        <v>0</v>
      </c>
      <c r="M256" s="5" t="str">
        <f>ContinuousStatsTable[[#This Row],[ProjectName]]&amp;ContinuousStatsTable[[#This Row],[Name]]&amp;ContinuousStatsTable[[#This Row],[Type]]&amp;ContinuousStatsTable[[#This Row],[Source]]</f>
        <v>Unnamed ProjectM4Number ScheduledResource</v>
      </c>
      <c r="N256" s="5" cm="1">
        <f t="array" ref="N256">MAX(IF((ProjectInfoTable[ProjectName]=ContinuousStatsTable[[#This Row],[ProjectName]]),(ProjectInfoTable[ProjectName]=ContinuousStatsTable[[#This Row],[ProjectName]])*ProjectInfoTable[NumberOfReplications]))</f>
        <v>10</v>
      </c>
      <c r="O256" s="5" cm="1">
        <f t="array" ref="O256">IFERROR(AVERAGE(IF((ContinuousStatsTable[GroupByKey]=ContinuousStatsTable[[#This Row],[GroupByKey]]),(ContinuousStatsTable[GroupByKey]=ContinuousStatsTable[[#This Row],[GroupByKey]])*ContinuousStatsTable[Average])),0)</f>
        <v>1</v>
      </c>
      <c r="P256" s="5" cm="1">
        <f t="array" ref="P256">IFERROR(_xlfn.STDEV.S(IF((ContinuousStatsTable[GroupByKey]=ContinuousStatsTable[[#This Row],[GroupByKey]]),(ContinuousStatsTable[GroupByKey]=ContinuousStatsTable[[#This Row],[GroupByKey]])*ContinuousStatsTable[Average])),0)</f>
        <v>0</v>
      </c>
      <c r="Q256" s="5" cm="1">
        <f t="array" ref="Q256">MAX(IF((ProjectInfoTable[ProjectName]=ContinuousStatsTable[[#This Row],[ProjectName]]),(ProjectInfoTable[ProjectName]=ContinuousStatsTable[[#This Row],[ProjectName]])*ProjectInfoTable[ConfidenceInterval]))</f>
        <v>0.95</v>
      </c>
      <c r="R2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6" s="5" cm="1">
        <f t="array" ref="S256">MIN(IF((ContinuousStatsTable[GroupByKey]=ContinuousStatsTable[[#This Row],[GroupByKey]]),(ContinuousStatsTable[GroupByKey]=ContinuousStatsTable[[#This Row],[GroupByKey]])*ContinuousStatsTable[Average]))</f>
        <v>1</v>
      </c>
      <c r="T256" s="5" cm="1">
        <f t="array" ref="T256">MAX(IF((ContinuousStatsTable[GroupByKey]=ContinuousStatsTable[[#This Row],[GroupByKey]]),(ContinuousStatsTable[GroupByKey]=ContinuousStatsTable[[#This Row],[GroupByKey]])*ContinuousStatsTable[Average]))</f>
        <v>1</v>
      </c>
      <c r="U256" s="5">
        <f>IF((ContinuousStatsTable[[#This Row],[RepsRequested]]&gt;1),ContinuousStatsTable[[#This Row],[HalfWidth]],ContinuousStatsTable[[#This Row],[BatchMeansHalfWidth]])</f>
        <v>0</v>
      </c>
    </row>
    <row r="257" spans="1:21" x14ac:dyDescent="0.4">
      <c r="A257" t="s">
        <v>66</v>
      </c>
      <c r="B257" t="s">
        <v>69</v>
      </c>
      <c r="C257">
        <v>10</v>
      </c>
      <c r="D257" t="s">
        <v>88</v>
      </c>
      <c r="E257" t="s">
        <v>94</v>
      </c>
      <c r="F257" t="s">
        <v>80</v>
      </c>
      <c r="G257">
        <v>0.61954382246291895</v>
      </c>
      <c r="H257">
        <v>2E+20</v>
      </c>
      <c r="I257">
        <v>0</v>
      </c>
      <c r="J257">
        <v>6</v>
      </c>
      <c r="K257">
        <v>0</v>
      </c>
      <c r="L257">
        <v>0</v>
      </c>
      <c r="M257" s="5" t="str">
        <f>ContinuousStatsTable[[#This Row],[ProjectName]]&amp;ContinuousStatsTable[[#This Row],[Name]]&amp;ContinuousStatsTable[[#This Row],[Type]]&amp;ContinuousStatsTable[[#This Row],[Source]]</f>
        <v>Unnamed ProjectM4.QNumber WaitingQueue</v>
      </c>
      <c r="N257" s="5" cm="1">
        <f t="array" ref="N257">MAX(IF((ProjectInfoTable[ProjectName]=ContinuousStatsTable[[#This Row],[ProjectName]]),(ProjectInfoTable[ProjectName]=ContinuousStatsTable[[#This Row],[ProjectName]])*ProjectInfoTable[NumberOfReplications]))</f>
        <v>10</v>
      </c>
      <c r="O257" s="5" cm="1">
        <f t="array" ref="O257">IFERROR(AVERAGE(IF((ContinuousStatsTable[GroupByKey]=ContinuousStatsTable[[#This Row],[GroupByKey]]),(ContinuousStatsTable[GroupByKey]=ContinuousStatsTable[[#This Row],[GroupByKey]])*ContinuousStatsTable[Average])),0)</f>
        <v>0.92596780474390472</v>
      </c>
      <c r="P257" s="5" cm="1">
        <f t="array" ref="P257">IFERROR(_xlfn.STDEV.S(IF((ContinuousStatsTable[GroupByKey]=ContinuousStatsTable[[#This Row],[GroupByKey]]),(ContinuousStatsTable[GroupByKey]=ContinuousStatsTable[[#This Row],[GroupByKey]])*ContinuousStatsTable[Average])),0)</f>
        <v>0.23565784373506599</v>
      </c>
      <c r="Q257" s="5" cm="1">
        <f t="array" ref="Q257">MAX(IF((ProjectInfoTable[ProjectName]=ContinuousStatsTable[[#This Row],[ProjectName]]),(ProjectInfoTable[ProjectName]=ContinuousStatsTable[[#This Row],[ProjectName]])*ProjectInfoTable[ConfidenceInterval]))</f>
        <v>0.95</v>
      </c>
      <c r="R2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0.16857946596203516</v>
      </c>
      <c r="S257" s="5" cm="1">
        <f t="array" ref="S257">MIN(IF((ContinuousStatsTable[GroupByKey]=ContinuousStatsTable[[#This Row],[GroupByKey]]),(ContinuousStatsTable[GroupByKey]=ContinuousStatsTable[[#This Row],[GroupByKey]])*ContinuousStatsTable[Average]))</f>
        <v>0.61954382246291895</v>
      </c>
      <c r="T257" s="5" cm="1">
        <f t="array" ref="T257">MAX(IF((ContinuousStatsTable[GroupByKey]=ContinuousStatsTable[[#This Row],[GroupByKey]]),(ContinuousStatsTable[GroupByKey]=ContinuousStatsTable[[#This Row],[GroupByKey]])*ContinuousStatsTable[Average]))</f>
        <v>1.4060201140591599</v>
      </c>
      <c r="U257" s="5">
        <f>IF((ContinuousStatsTable[[#This Row],[RepsRequested]]&gt;1),ContinuousStatsTable[[#This Row],[HalfWidth]],ContinuousStatsTable[[#This Row],[BatchMeansHalfWidth]])</f>
        <v>0.16857946596203516</v>
      </c>
    </row>
    <row r="258" spans="1:21" x14ac:dyDescent="0.4">
      <c r="A258" t="s">
        <v>66</v>
      </c>
      <c r="B258" t="s">
        <v>69</v>
      </c>
      <c r="C258">
        <v>10</v>
      </c>
      <c r="D258" t="s">
        <v>103</v>
      </c>
      <c r="E258" t="s">
        <v>96</v>
      </c>
      <c r="F258" t="s">
        <v>97</v>
      </c>
      <c r="G258">
        <v>0.319082016284436</v>
      </c>
      <c r="H258">
        <v>4.7254374898114397E-2</v>
      </c>
      <c r="I258">
        <v>0</v>
      </c>
      <c r="J258">
        <v>1</v>
      </c>
      <c r="K258">
        <v>0</v>
      </c>
      <c r="L258">
        <v>0</v>
      </c>
      <c r="M258" s="5" t="str">
        <f>ContinuousStatsTable[[#This Row],[ProjectName]]&amp;ContinuousStatsTable[[#This Row],[Name]]&amp;ContinuousStatsTable[[#This Row],[Type]]&amp;ContinuousStatsTable[[#This Row],[Source]]</f>
        <v>Unnamed ProjectM5Instantaneous UtilizationResource</v>
      </c>
      <c r="N258" s="5" cm="1">
        <f t="array" ref="N258">MAX(IF((ProjectInfoTable[ProjectName]=ContinuousStatsTable[[#This Row],[ProjectName]]),(ProjectInfoTable[ProjectName]=ContinuousStatsTable[[#This Row],[ProjectName]])*ProjectInfoTable[NumberOfReplications]))</f>
        <v>10</v>
      </c>
      <c r="O258" s="5" cm="1">
        <f t="array" ref="O258">IFERROR(AVERAGE(IF((ContinuousStatsTable[GroupByKey]=ContinuousStatsTable[[#This Row],[GroupByKey]]),(ContinuousStatsTable[GroupByKey]=ContinuousStatsTable[[#This Row],[GroupByKey]])*ContinuousStatsTable[Average])),0)</f>
        <v>0.35254112855323727</v>
      </c>
      <c r="P258" s="5" cm="1">
        <f t="array" ref="P258">IFERROR(_xlfn.STDEV.S(IF((ContinuousStatsTable[GroupByKey]=ContinuousStatsTable[[#This Row],[GroupByKey]]),(ContinuousStatsTable[GroupByKey]=ContinuousStatsTable[[#This Row],[GroupByKey]])*ContinuousStatsTable[Average])),0)</f>
        <v>2.0819740340978523E-2</v>
      </c>
      <c r="Q258" s="5" cm="1">
        <f t="array" ref="Q258">MAX(IF((ProjectInfoTable[ProjectName]=ContinuousStatsTable[[#This Row],[ProjectName]]),(ProjectInfoTable[ProjectName]=ContinuousStatsTable[[#This Row],[ProjectName]])*ProjectInfoTable[ConfidenceInterval]))</f>
        <v>0.95</v>
      </c>
      <c r="R2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1.4893545033435028E-2</v>
      </c>
      <c r="S258" s="5" cm="1">
        <f t="array" ref="S258">MIN(IF((ContinuousStatsTable[GroupByKey]=ContinuousStatsTable[[#This Row],[GroupByKey]]),(ContinuousStatsTable[GroupByKey]=ContinuousStatsTable[[#This Row],[GroupByKey]])*ContinuousStatsTable[Average]))</f>
        <v>0.319082016284436</v>
      </c>
      <c r="T258" s="5" cm="1">
        <f t="array" ref="T258">MAX(IF((ContinuousStatsTable[GroupByKey]=ContinuousStatsTable[[#This Row],[GroupByKey]]),(ContinuousStatsTable[GroupByKey]=ContinuousStatsTable[[#This Row],[GroupByKey]])*ContinuousStatsTable[Average]))</f>
        <v>0.391918845838306</v>
      </c>
      <c r="U258" s="5">
        <f>IF((ContinuousStatsTable[[#This Row],[RepsRequested]]&gt;1),ContinuousStatsTable[[#This Row],[HalfWidth]],ContinuousStatsTable[[#This Row],[BatchMeansHalfWidth]])</f>
        <v>1.4893545033435028E-2</v>
      </c>
    </row>
    <row r="259" spans="1:21" x14ac:dyDescent="0.4">
      <c r="A259" t="s">
        <v>66</v>
      </c>
      <c r="B259" t="s">
        <v>69</v>
      </c>
      <c r="C259">
        <v>10</v>
      </c>
      <c r="D259" t="s">
        <v>103</v>
      </c>
      <c r="E259" t="s">
        <v>98</v>
      </c>
      <c r="F259" t="s">
        <v>97</v>
      </c>
      <c r="G259">
        <v>0.638164032568872</v>
      </c>
      <c r="H259">
        <v>9.4508749796228794E-2</v>
      </c>
      <c r="I259">
        <v>0</v>
      </c>
      <c r="J259">
        <v>2</v>
      </c>
      <c r="K259">
        <v>0</v>
      </c>
      <c r="L259">
        <v>0</v>
      </c>
      <c r="M259" s="5" t="str">
        <f>ContinuousStatsTable[[#This Row],[ProjectName]]&amp;ContinuousStatsTable[[#This Row],[Name]]&amp;ContinuousStatsTable[[#This Row],[Type]]&amp;ContinuousStatsTable[[#This Row],[Source]]</f>
        <v>Unnamed ProjectM5Number BusyResource</v>
      </c>
      <c r="N259" s="5" cm="1">
        <f t="array" ref="N259">MAX(IF((ProjectInfoTable[ProjectName]=ContinuousStatsTable[[#This Row],[ProjectName]]),(ProjectInfoTable[ProjectName]=ContinuousStatsTable[[#This Row],[ProjectName]])*ProjectInfoTable[NumberOfReplications]))</f>
        <v>10</v>
      </c>
      <c r="O259" s="5" cm="1">
        <f t="array" ref="O259">IFERROR(AVERAGE(IF((ContinuousStatsTable[GroupByKey]=ContinuousStatsTable[[#This Row],[GroupByKey]]),(ContinuousStatsTable[GroupByKey]=ContinuousStatsTable[[#This Row],[GroupByKey]])*ContinuousStatsTable[Average])),0)</f>
        <v>0.70508225710647443</v>
      </c>
      <c r="P259" s="5" cm="1">
        <f t="array" ref="P259">IFERROR(_xlfn.STDEV.S(IF((ContinuousStatsTable[GroupByKey]=ContinuousStatsTable[[#This Row],[GroupByKey]]),(ContinuousStatsTable[GroupByKey]=ContinuousStatsTable[[#This Row],[GroupByKey]])*ContinuousStatsTable[Average])),0)</f>
        <v>4.1639480681956775E-2</v>
      </c>
      <c r="Q259" s="5" cm="1">
        <f t="array" ref="Q259">MAX(IF((ProjectInfoTable[ProjectName]=ContinuousStatsTable[[#This Row],[ProjectName]]),(ProjectInfoTable[ProjectName]=ContinuousStatsTable[[#This Row],[ProjectName]])*ProjectInfoTable[ConfidenceInterval]))</f>
        <v>0.95</v>
      </c>
      <c r="R2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2.9787090066869859E-2</v>
      </c>
      <c r="S259" s="5" cm="1">
        <f t="array" ref="S259">MIN(IF((ContinuousStatsTable[GroupByKey]=ContinuousStatsTable[[#This Row],[GroupByKey]]),(ContinuousStatsTable[GroupByKey]=ContinuousStatsTable[[#This Row],[GroupByKey]])*ContinuousStatsTable[Average]))</f>
        <v>0.638164032568872</v>
      </c>
      <c r="T259" s="5" cm="1">
        <f t="array" ref="T259">MAX(IF((ContinuousStatsTable[GroupByKey]=ContinuousStatsTable[[#This Row],[GroupByKey]]),(ContinuousStatsTable[GroupByKey]=ContinuousStatsTable[[#This Row],[GroupByKey]])*ContinuousStatsTable[Average]))</f>
        <v>0.78383769167661099</v>
      </c>
      <c r="U259" s="5">
        <f>IF((ContinuousStatsTable[[#This Row],[RepsRequested]]&gt;1),ContinuousStatsTable[[#This Row],[HalfWidth]],ContinuousStatsTable[[#This Row],[BatchMeansHalfWidth]])</f>
        <v>2.9787090066869859E-2</v>
      </c>
    </row>
    <row r="260" spans="1:21" x14ac:dyDescent="0.4">
      <c r="A260" t="s">
        <v>66</v>
      </c>
      <c r="B260" t="s">
        <v>69</v>
      </c>
      <c r="C260">
        <v>10</v>
      </c>
      <c r="D260" t="s">
        <v>103</v>
      </c>
      <c r="E260" t="s">
        <v>99</v>
      </c>
      <c r="F260" t="s">
        <v>97</v>
      </c>
      <c r="G260">
        <v>2</v>
      </c>
      <c r="H260">
        <v>2E+20</v>
      </c>
      <c r="I260">
        <v>2</v>
      </c>
      <c r="J260">
        <v>2</v>
      </c>
      <c r="K260">
        <v>2</v>
      </c>
      <c r="L260">
        <v>0</v>
      </c>
      <c r="M260" s="5" t="str">
        <f>ContinuousStatsTable[[#This Row],[ProjectName]]&amp;ContinuousStatsTable[[#This Row],[Name]]&amp;ContinuousStatsTable[[#This Row],[Type]]&amp;ContinuousStatsTable[[#This Row],[Source]]</f>
        <v>Unnamed ProjectM5Number ScheduledResource</v>
      </c>
      <c r="N260" s="5" cm="1">
        <f t="array" ref="N260">MAX(IF((ProjectInfoTable[ProjectName]=ContinuousStatsTable[[#This Row],[ProjectName]]),(ProjectInfoTable[ProjectName]=ContinuousStatsTable[[#This Row],[ProjectName]])*ProjectInfoTable[NumberOfReplications]))</f>
        <v>10</v>
      </c>
      <c r="O260" s="5" cm="1">
        <f t="array" ref="O260">IFERROR(AVERAGE(IF((ContinuousStatsTable[GroupByKey]=ContinuousStatsTable[[#This Row],[GroupByKey]]),(ContinuousStatsTable[GroupByKey]=ContinuousStatsTable[[#This Row],[GroupByKey]])*ContinuousStatsTable[Average])),0)</f>
        <v>2</v>
      </c>
      <c r="P260" s="5" cm="1">
        <f t="array" ref="P260">IFERROR(_xlfn.STDEV.S(IF((ContinuousStatsTable[GroupByKey]=ContinuousStatsTable[[#This Row],[GroupByKey]]),(ContinuousStatsTable[GroupByKey]=ContinuousStatsTable[[#This Row],[GroupByKey]])*ContinuousStatsTable[Average])),0)</f>
        <v>0</v>
      </c>
      <c r="Q260" s="5" cm="1">
        <f t="array" ref="Q260">MAX(IF((ProjectInfoTable[ProjectName]=ContinuousStatsTable[[#This Row],[ProjectName]]),(ProjectInfoTable[ProjectName]=ContinuousStatsTable[[#This Row],[ProjectName]])*ProjectInfoTable[ConfidenceInterval]))</f>
        <v>0.95</v>
      </c>
      <c r="R2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0" s="5" cm="1">
        <f t="array" ref="S260">MIN(IF((ContinuousStatsTable[GroupByKey]=ContinuousStatsTable[[#This Row],[GroupByKey]]),(ContinuousStatsTable[GroupByKey]=ContinuousStatsTable[[#This Row],[GroupByKey]])*ContinuousStatsTable[Average]))</f>
        <v>2</v>
      </c>
      <c r="T260" s="5" cm="1">
        <f t="array" ref="T260">MAX(IF((ContinuousStatsTable[GroupByKey]=ContinuousStatsTable[[#This Row],[GroupByKey]]),(ContinuousStatsTable[GroupByKey]=ContinuousStatsTable[[#This Row],[GroupByKey]])*ContinuousStatsTable[Average]))</f>
        <v>2</v>
      </c>
      <c r="U260" s="5">
        <f>IF((ContinuousStatsTable[[#This Row],[RepsRequested]]&gt;1),ContinuousStatsTable[[#This Row],[HalfWidth]],ContinuousStatsTable[[#This Row],[BatchMeansHalfWidth]])</f>
        <v>0</v>
      </c>
    </row>
    <row r="261" spans="1:21" x14ac:dyDescent="0.4">
      <c r="A261" t="s">
        <v>66</v>
      </c>
      <c r="B261" t="s">
        <v>69</v>
      </c>
      <c r="C261">
        <v>10</v>
      </c>
      <c r="D261" t="s">
        <v>89</v>
      </c>
      <c r="E261" t="s">
        <v>94</v>
      </c>
      <c r="F261" t="s">
        <v>80</v>
      </c>
      <c r="G261">
        <v>2.0051712029402799E-2</v>
      </c>
      <c r="H261">
        <v>2E+20</v>
      </c>
      <c r="I261">
        <v>0</v>
      </c>
      <c r="J261">
        <v>3</v>
      </c>
      <c r="K261">
        <v>0</v>
      </c>
      <c r="L261">
        <v>0</v>
      </c>
      <c r="M261" s="5" t="str">
        <f>ContinuousStatsTable[[#This Row],[ProjectName]]&amp;ContinuousStatsTable[[#This Row],[Name]]&amp;ContinuousStatsTable[[#This Row],[Type]]&amp;ContinuousStatsTable[[#This Row],[Source]]</f>
        <v>Unnamed ProjectM5.QNumber WaitingQueue</v>
      </c>
      <c r="N261" s="5" cm="1">
        <f t="array" ref="N261">MAX(IF((ProjectInfoTable[ProjectName]=ContinuousStatsTable[[#This Row],[ProjectName]]),(ProjectInfoTable[ProjectName]=ContinuousStatsTable[[#This Row],[ProjectName]])*ProjectInfoTable[NumberOfReplications]))</f>
        <v>10</v>
      </c>
      <c r="O261" s="5" cm="1">
        <f t="array" ref="O261">IFERROR(AVERAGE(IF((ContinuousStatsTable[GroupByKey]=ContinuousStatsTable[[#This Row],[GroupByKey]]),(ContinuousStatsTable[GroupByKey]=ContinuousStatsTable[[#This Row],[GroupByKey]])*ContinuousStatsTable[Average])),0)</f>
        <v>4.0588719153078524E-2</v>
      </c>
      <c r="P261" s="5" cm="1">
        <f t="array" ref="P261">IFERROR(_xlfn.STDEV.S(IF((ContinuousStatsTable[GroupByKey]=ContinuousStatsTable[[#This Row],[GroupByKey]]),(ContinuousStatsTable[GroupByKey]=ContinuousStatsTable[[#This Row],[GroupByKey]])*ContinuousStatsTable[Average])),0)</f>
        <v>2.3271584618520549E-2</v>
      </c>
      <c r="Q261" s="5" cm="1">
        <f t="array" ref="Q261">MAX(IF((ProjectInfoTable[ProjectName]=ContinuousStatsTable[[#This Row],[ProjectName]]),(ProjectInfoTable[ProjectName]=ContinuousStatsTable[[#This Row],[ProjectName]])*ProjectInfoTable[ConfidenceInterval]))</f>
        <v>0.95</v>
      </c>
      <c r="R2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1.6647488769739371E-2</v>
      </c>
      <c r="S261" s="5" cm="1">
        <f t="array" ref="S261">MIN(IF((ContinuousStatsTable[GroupByKey]=ContinuousStatsTable[[#This Row],[GroupByKey]]),(ContinuousStatsTable[GroupByKey]=ContinuousStatsTable[[#This Row],[GroupByKey]])*ContinuousStatsTable[Average]))</f>
        <v>1.58912341215269E-2</v>
      </c>
      <c r="T261" s="5" cm="1">
        <f t="array" ref="T261">MAX(IF((ContinuousStatsTable[GroupByKey]=ContinuousStatsTable[[#This Row],[GroupByKey]]),(ContinuousStatsTable[GroupByKey]=ContinuousStatsTable[[#This Row],[GroupByKey]])*ContinuousStatsTable[Average]))</f>
        <v>9.0065456910795705E-2</v>
      </c>
      <c r="U261" s="5">
        <f>IF((ContinuousStatsTable[[#This Row],[RepsRequested]]&gt;1),ContinuousStatsTable[[#This Row],[HalfWidth]],ContinuousStatsTable[[#This Row],[BatchMeansHalfWidth]])</f>
        <v>1.6647488769739371E-2</v>
      </c>
    </row>
  </sheetData>
  <phoneticPr fontId="2" type="noConversion"/>
  <conditionalFormatting sqref="H2:H261">
    <cfRule type="expression" dxfId="11" priority="9">
      <formula>H2=200000000000000000000</formula>
    </cfRule>
  </conditionalFormatting>
  <conditionalFormatting sqref="H2:H261">
    <cfRule type="expression" dxfId="10" priority="7">
      <formula>H2=300000000000000000000</formula>
    </cfRule>
  </conditionalFormatting>
  <conditionalFormatting sqref="M2:U261">
    <cfRule type="expression" dxfId="9" priority="5">
      <formula>MOD(ROW(),2)=0</formula>
    </cfRule>
  </conditionalFormatting>
  <conditionalFormatting sqref="U2:U261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261 U2:U261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21"/>
  <sheetViews>
    <sheetView workbookViewId="0">
      <selection activeCell="G2" sqref="G2"/>
    </sheetView>
  </sheetViews>
  <sheetFormatPr defaultRowHeight="13.9" x14ac:dyDescent="0.4"/>
  <cols>
    <col min="1" max="1" width="15.796875" bestFit="1" customWidth="1"/>
    <col min="2" max="2" width="22.3984375" bestFit="1" customWidth="1"/>
    <col min="3" max="3" width="13.1328125" bestFit="1" customWidth="1"/>
    <col min="4" max="4" width="9.33203125" bestFit="1" customWidth="1"/>
    <col min="5" max="5" width="7.46484375" bestFit="1" customWidth="1"/>
    <col min="6" max="6" width="13.06640625" bestFit="1" customWidth="1"/>
    <col min="7" max="7" width="16.73046875" bestFit="1" customWidth="1"/>
    <col min="8" max="8" width="42.3984375" bestFit="1" customWidth="1"/>
    <col min="9" max="9" width="16.86328125" bestFit="1" customWidth="1"/>
    <col min="10" max="10" width="10.3984375" bestFit="1" customWidth="1"/>
    <col min="11" max="11" width="20" bestFit="1" customWidth="1"/>
    <col min="12" max="12" width="20.19921875" bestFit="1" customWidth="1"/>
    <col min="13" max="13" width="12.19921875" bestFit="1" customWidth="1"/>
    <col min="14" max="14" width="11.86328125" bestFit="1" customWidth="1"/>
    <col min="15" max="15" width="12.19921875" bestFit="1" customWidth="1"/>
  </cols>
  <sheetData>
    <row r="1" spans="1:15" x14ac:dyDescent="0.4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  <row r="2" spans="1:15" x14ac:dyDescent="0.4">
      <c r="A2" t="s">
        <v>66</v>
      </c>
      <c r="B2" t="s">
        <v>69</v>
      </c>
      <c r="C2">
        <v>1</v>
      </c>
      <c r="D2" t="s">
        <v>104</v>
      </c>
      <c r="E2" t="s">
        <v>105</v>
      </c>
      <c r="F2" t="s">
        <v>92</v>
      </c>
      <c r="G2">
        <v>1755</v>
      </c>
      <c r="H2" t="str">
        <f>CountersTable[[#This Row],[ProjectName]]&amp;CountersTable[[#This Row],[Name]]&amp;CountersTable[[#This Row],[Type]]&amp;CountersTable[[#This Row],[Source]]</f>
        <v>Unnamed ProjectCounter 1CountUser Specified</v>
      </c>
      <c r="I2" cm="1">
        <f t="array" ref="I2">MAX(IF((ProjectInfoTable[ProjectName]=CountersTable[[#This Row],[ProjectName]]),(ProjectInfoTable[ProjectName]=CountersTable[[#This Row],[ProjectName]])*ProjectInfoTable[NumberOfReplications]))</f>
        <v>10</v>
      </c>
      <c r="J2" cm="1">
        <f t="array" ref="J2">IFERROR(AVERAGE(IF((CountersTable[GroupByKey]=CountersTable[[#This Row],[GroupByKey]]),(CountersTable[GroupByKey]=CountersTable[[#This Row],[GroupByKey]])*CountersTable[RecordedValue])),0)</f>
        <v>1955.1</v>
      </c>
      <c r="K2" cm="1">
        <f t="array" ref="K2">IFERROR(_xlfn.STDEV.S(IF((CountersTable[GroupByKey]=CountersTable[[#This Row],[GroupByKey]]),(CountersTable[GroupByKey]=CountersTable[[#This Row],[GroupByKey]])*CountersTable[RecordedValue])),0)</f>
        <v>149.44523337255617</v>
      </c>
      <c r="L2" cm="1">
        <f t="array" ref="L2">MAX(IF((ProjectInfoTable[ProjectName]=CountersTable[[#This Row],[ProjectName]]),(ProjectInfoTable[ProjectName]=CountersTable[[#This Row],[ProjectName]])*ProjectInfoTable[ConfidenceInterval]))</f>
        <v>0.95</v>
      </c>
      <c r="M2">
        <f>IFERROR(_xlfn.T.INV.2T(1 - CountersTable[[#This Row],[ConfidenceInterval]],(CountersTable[[#This Row],[RepsRequested]]-1))*CountersTable[[#This Row],[StandardDeviation]]/SQRT(CountersTable[[#This Row],[RepsRequested]]),400000000000000000000)</f>
        <v>106.90667975745569</v>
      </c>
      <c r="N2" cm="1">
        <f t="array" ref="N2">MIN(IF((CountersTable[GroupByKey]=CountersTable[[#This Row],[GroupByKey]]),(CountersTable[GroupByKey]=CountersTable[[#This Row],[GroupByKey]])*CountersTable[RecordedValue]))</f>
        <v>1729</v>
      </c>
      <c r="O2" cm="1">
        <f t="array" ref="O2">MAX(IF((CountersTable[GroupByKey]=CountersTable[[#This Row],[GroupByKey]]),(CountersTable[GroupByKey]=CountersTable[[#This Row],[GroupByKey]])*CountersTable[RecordedValue]))</f>
        <v>2126</v>
      </c>
    </row>
    <row r="3" spans="1:15" x14ac:dyDescent="0.4">
      <c r="A3" t="s">
        <v>66</v>
      </c>
      <c r="B3" t="s">
        <v>69</v>
      </c>
      <c r="C3">
        <v>1</v>
      </c>
      <c r="D3" t="s">
        <v>106</v>
      </c>
      <c r="E3" t="s">
        <v>105</v>
      </c>
      <c r="F3" t="s">
        <v>92</v>
      </c>
      <c r="G3">
        <v>416430</v>
      </c>
      <c r="H3" t="str">
        <f>CountersTable[[#This Row],[ProjectName]]&amp;CountersTable[[#This Row],[Name]]&amp;CountersTable[[#This Row],[Type]]&amp;CountersTable[[#This Row],[Source]]</f>
        <v>Unnamed ProjectCounter 2CountUser Specified</v>
      </c>
      <c r="I3" cm="1">
        <f t="array" ref="I3">MAX(IF((ProjectInfoTable[ProjectName]=CountersTable[[#This Row],[ProjectName]]),(ProjectInfoTable[ProjectName]=CountersTable[[#This Row],[ProjectName]])*ProjectInfoTable[NumberOfReplications]))</f>
        <v>10</v>
      </c>
      <c r="J3" cm="1">
        <f t="array" ref="J3">IFERROR(AVERAGE(IF((CountersTable[GroupByKey]=CountersTable[[#This Row],[GroupByKey]]),(CountersTable[GroupByKey]=CountersTable[[#This Row],[GroupByKey]])*CountersTable[RecordedValue])),0)</f>
        <v>466919</v>
      </c>
      <c r="K3" cm="1">
        <f t="array" ref="K3">IFERROR(_xlfn.STDEV.S(IF((CountersTable[GroupByKey]=CountersTable[[#This Row],[GroupByKey]]),(CountersTable[GroupByKey]=CountersTable[[#This Row],[GroupByKey]])*CountersTable[RecordedValue])),0)</f>
        <v>36821.167960834704</v>
      </c>
      <c r="L3" cm="1">
        <f t="array" ref="L3">MAX(IF((ProjectInfoTable[ProjectName]=CountersTable[[#This Row],[ProjectName]]),(ProjectInfoTable[ProjectName]=CountersTable[[#This Row],[ProjectName]])*ProjectInfoTable[ConfidenceInterval]))</f>
        <v>0.95</v>
      </c>
      <c r="M3">
        <f>IFERROR(_xlfn.T.INV.2T(1 - CountersTable[[#This Row],[ConfidenceInterval]],(CountersTable[[#This Row],[RepsRequested]]-1))*CountersTable[[#This Row],[StandardDeviation]]/SQRT(CountersTable[[#This Row],[RepsRequested]]),400000000000000000000)</f>
        <v>26340.276786688879</v>
      </c>
      <c r="N3" cm="1">
        <f t="array" ref="N3">MIN(IF((CountersTable[GroupByKey]=CountersTable[[#This Row],[GroupByKey]]),(CountersTable[GroupByKey]=CountersTable[[#This Row],[GroupByKey]])*CountersTable[RecordedValue]))</f>
        <v>414420</v>
      </c>
      <c r="O3" cm="1">
        <f t="array" ref="O3">MAX(IF((CountersTable[GroupByKey]=CountersTable[[#This Row],[GroupByKey]]),(CountersTable[GroupByKey]=CountersTable[[#This Row],[GroupByKey]])*CountersTable[RecordedValue]))</f>
        <v>511260</v>
      </c>
    </row>
    <row r="4" spans="1:15" x14ac:dyDescent="0.4">
      <c r="A4" t="s">
        <v>66</v>
      </c>
      <c r="B4" t="s">
        <v>69</v>
      </c>
      <c r="C4">
        <v>2</v>
      </c>
      <c r="D4" t="s">
        <v>104</v>
      </c>
      <c r="E4" t="s">
        <v>105</v>
      </c>
      <c r="F4" t="s">
        <v>92</v>
      </c>
      <c r="G4">
        <v>1972</v>
      </c>
      <c r="H4" t="str">
        <f>CountersTable[[#This Row],[ProjectName]]&amp;CountersTable[[#This Row],[Name]]&amp;CountersTable[[#This Row],[Type]]&amp;CountersTable[[#This Row],[Source]]</f>
        <v>Unnamed ProjectCounter 1CountUser Specified</v>
      </c>
      <c r="I4" cm="1">
        <f t="array" ref="I4">MAX(IF((ProjectInfoTable[ProjectName]=CountersTable[[#This Row],[ProjectName]]),(ProjectInfoTable[ProjectName]=CountersTable[[#This Row],[ProjectName]])*ProjectInfoTable[NumberOfReplications]))</f>
        <v>10</v>
      </c>
      <c r="J4" cm="1">
        <f t="array" ref="J4">IFERROR(AVERAGE(IF((CountersTable[GroupByKey]=CountersTable[[#This Row],[GroupByKey]]),(CountersTable[GroupByKey]=CountersTable[[#This Row],[GroupByKey]])*CountersTable[RecordedValue])),0)</f>
        <v>1955.1</v>
      </c>
      <c r="K4" cm="1">
        <f t="array" ref="K4">IFERROR(_xlfn.STDEV.S(IF((CountersTable[GroupByKey]=CountersTable[[#This Row],[GroupByKey]]),(CountersTable[GroupByKey]=CountersTable[[#This Row],[GroupByKey]])*CountersTable[RecordedValue])),0)</f>
        <v>149.44523337255617</v>
      </c>
      <c r="L4" cm="1">
        <f t="array" ref="L4">MAX(IF((ProjectInfoTable[ProjectName]=CountersTable[[#This Row],[ProjectName]]),(ProjectInfoTable[ProjectName]=CountersTable[[#This Row],[ProjectName]])*ProjectInfoTable[ConfidenceInterval]))</f>
        <v>0.95</v>
      </c>
      <c r="M4">
        <f>IFERROR(_xlfn.T.INV.2T(1 - CountersTable[[#This Row],[ConfidenceInterval]],(CountersTable[[#This Row],[RepsRequested]]-1))*CountersTable[[#This Row],[StandardDeviation]]/SQRT(CountersTable[[#This Row],[RepsRequested]]),400000000000000000000)</f>
        <v>106.90667975745569</v>
      </c>
      <c r="N4" cm="1">
        <f t="array" ref="N4">MIN(IF((CountersTable[GroupByKey]=CountersTable[[#This Row],[GroupByKey]]),(CountersTable[GroupByKey]=CountersTable[[#This Row],[GroupByKey]])*CountersTable[RecordedValue]))</f>
        <v>1729</v>
      </c>
      <c r="O4" cm="1">
        <f t="array" ref="O4">MAX(IF((CountersTable[GroupByKey]=CountersTable[[#This Row],[GroupByKey]]),(CountersTable[GroupByKey]=CountersTable[[#This Row],[GroupByKey]])*CountersTable[RecordedValue]))</f>
        <v>2126</v>
      </c>
    </row>
    <row r="5" spans="1:15" x14ac:dyDescent="0.4">
      <c r="A5" t="s">
        <v>66</v>
      </c>
      <c r="B5" t="s">
        <v>69</v>
      </c>
      <c r="C5">
        <v>2</v>
      </c>
      <c r="D5" t="s">
        <v>106</v>
      </c>
      <c r="E5" t="s">
        <v>105</v>
      </c>
      <c r="F5" t="s">
        <v>92</v>
      </c>
      <c r="G5">
        <v>473670</v>
      </c>
      <c r="H5" t="str">
        <f>CountersTable[[#This Row],[ProjectName]]&amp;CountersTable[[#This Row],[Name]]&amp;CountersTable[[#This Row],[Type]]&amp;CountersTable[[#This Row],[Source]]</f>
        <v>Unnamed ProjectCounter 2CountUser Specified</v>
      </c>
      <c r="I5" cm="1">
        <f t="array" ref="I5">MAX(IF((ProjectInfoTable[ProjectName]=CountersTable[[#This Row],[ProjectName]]),(ProjectInfoTable[ProjectName]=CountersTable[[#This Row],[ProjectName]])*ProjectInfoTable[NumberOfReplications]))</f>
        <v>10</v>
      </c>
      <c r="J5" cm="1">
        <f t="array" ref="J5">IFERROR(AVERAGE(IF((CountersTable[GroupByKey]=CountersTable[[#This Row],[GroupByKey]]),(CountersTable[GroupByKey]=CountersTable[[#This Row],[GroupByKey]])*CountersTable[RecordedValue])),0)</f>
        <v>466919</v>
      </c>
      <c r="K5" cm="1">
        <f t="array" ref="K5">IFERROR(_xlfn.STDEV.S(IF((CountersTable[GroupByKey]=CountersTable[[#This Row],[GroupByKey]]),(CountersTable[GroupByKey]=CountersTable[[#This Row],[GroupByKey]])*CountersTable[RecordedValue])),0)</f>
        <v>36821.167960834704</v>
      </c>
      <c r="L5" cm="1">
        <f t="array" ref="L5">MAX(IF((ProjectInfoTable[ProjectName]=CountersTable[[#This Row],[ProjectName]]),(ProjectInfoTable[ProjectName]=CountersTable[[#This Row],[ProjectName]])*ProjectInfoTable[ConfidenceInterval]))</f>
        <v>0.95</v>
      </c>
      <c r="M5">
        <f>IFERROR(_xlfn.T.INV.2T(1 - CountersTable[[#This Row],[ConfidenceInterval]],(CountersTable[[#This Row],[RepsRequested]]-1))*CountersTable[[#This Row],[StandardDeviation]]/SQRT(CountersTable[[#This Row],[RepsRequested]]),400000000000000000000)</f>
        <v>26340.276786688879</v>
      </c>
      <c r="N5" cm="1">
        <f t="array" ref="N5">MIN(IF((CountersTable[GroupByKey]=CountersTable[[#This Row],[GroupByKey]]),(CountersTable[GroupByKey]=CountersTable[[#This Row],[GroupByKey]])*CountersTable[RecordedValue]))</f>
        <v>414420</v>
      </c>
      <c r="O5" cm="1">
        <f t="array" ref="O5">MAX(IF((CountersTable[GroupByKey]=CountersTable[[#This Row],[GroupByKey]]),(CountersTable[GroupByKey]=CountersTable[[#This Row],[GroupByKey]])*CountersTable[RecordedValue]))</f>
        <v>511260</v>
      </c>
    </row>
    <row r="6" spans="1:15" x14ac:dyDescent="0.4">
      <c r="A6" t="s">
        <v>66</v>
      </c>
      <c r="B6" t="s">
        <v>69</v>
      </c>
      <c r="C6">
        <v>3</v>
      </c>
      <c r="D6" t="s">
        <v>104</v>
      </c>
      <c r="E6" t="s">
        <v>105</v>
      </c>
      <c r="F6" t="s">
        <v>92</v>
      </c>
      <c r="G6">
        <v>2125</v>
      </c>
      <c r="H6" t="str">
        <f>CountersTable[[#This Row],[ProjectName]]&amp;CountersTable[[#This Row],[Name]]&amp;CountersTable[[#This Row],[Type]]&amp;CountersTable[[#This Row],[Source]]</f>
        <v>Unnamed ProjectCounter 1CountUser Specified</v>
      </c>
      <c r="I6" cm="1">
        <f t="array" ref="I6">MAX(IF((ProjectInfoTable[ProjectName]=CountersTable[[#This Row],[ProjectName]]),(ProjectInfoTable[ProjectName]=CountersTable[[#This Row],[ProjectName]])*ProjectInfoTable[NumberOfReplications]))</f>
        <v>10</v>
      </c>
      <c r="J6" cm="1">
        <f t="array" ref="J6">IFERROR(AVERAGE(IF((CountersTable[GroupByKey]=CountersTable[[#This Row],[GroupByKey]]),(CountersTable[GroupByKey]=CountersTable[[#This Row],[GroupByKey]])*CountersTable[RecordedValue])),0)</f>
        <v>1955.1</v>
      </c>
      <c r="K6" cm="1">
        <f t="array" ref="K6">IFERROR(_xlfn.STDEV.S(IF((CountersTable[GroupByKey]=CountersTable[[#This Row],[GroupByKey]]),(CountersTable[GroupByKey]=CountersTable[[#This Row],[GroupByKey]])*CountersTable[RecordedValue])),0)</f>
        <v>149.44523337255617</v>
      </c>
      <c r="L6" cm="1">
        <f t="array" ref="L6">MAX(IF((ProjectInfoTable[ProjectName]=CountersTable[[#This Row],[ProjectName]]),(ProjectInfoTable[ProjectName]=CountersTable[[#This Row],[ProjectName]])*ProjectInfoTable[ConfidenceInterval]))</f>
        <v>0.95</v>
      </c>
      <c r="M6">
        <f>IFERROR(_xlfn.T.INV.2T(1 - CountersTable[[#This Row],[ConfidenceInterval]],(CountersTable[[#This Row],[RepsRequested]]-1))*CountersTable[[#This Row],[StandardDeviation]]/SQRT(CountersTable[[#This Row],[RepsRequested]]),400000000000000000000)</f>
        <v>106.90667975745569</v>
      </c>
      <c r="N6" cm="1">
        <f t="array" ref="N6">MIN(IF((CountersTable[GroupByKey]=CountersTable[[#This Row],[GroupByKey]]),(CountersTable[GroupByKey]=CountersTable[[#This Row],[GroupByKey]])*CountersTable[RecordedValue]))</f>
        <v>1729</v>
      </c>
      <c r="O6" cm="1">
        <f t="array" ref="O6">MAX(IF((CountersTable[GroupByKey]=CountersTable[[#This Row],[GroupByKey]]),(CountersTable[GroupByKey]=CountersTable[[#This Row],[GroupByKey]])*CountersTable[RecordedValue]))</f>
        <v>2126</v>
      </c>
    </row>
    <row r="7" spans="1:15" x14ac:dyDescent="0.4">
      <c r="A7" t="s">
        <v>66</v>
      </c>
      <c r="B7" t="s">
        <v>69</v>
      </c>
      <c r="C7">
        <v>3</v>
      </c>
      <c r="D7" t="s">
        <v>106</v>
      </c>
      <c r="E7" t="s">
        <v>105</v>
      </c>
      <c r="F7" t="s">
        <v>92</v>
      </c>
      <c r="G7">
        <v>506830</v>
      </c>
      <c r="H7" t="str">
        <f>CountersTable[[#This Row],[ProjectName]]&amp;CountersTable[[#This Row],[Name]]&amp;CountersTable[[#This Row],[Type]]&amp;CountersTable[[#This Row],[Source]]</f>
        <v>Unnamed ProjectCounter 2CountUser Specified</v>
      </c>
      <c r="I7" cm="1">
        <f t="array" ref="I7">MAX(IF((ProjectInfoTable[ProjectName]=CountersTable[[#This Row],[ProjectName]]),(ProjectInfoTable[ProjectName]=CountersTable[[#This Row],[ProjectName]])*ProjectInfoTable[NumberOfReplications]))</f>
        <v>10</v>
      </c>
      <c r="J7" cm="1">
        <f t="array" ref="J7">IFERROR(AVERAGE(IF((CountersTable[GroupByKey]=CountersTable[[#This Row],[GroupByKey]]),(CountersTable[GroupByKey]=CountersTable[[#This Row],[GroupByKey]])*CountersTable[RecordedValue])),0)</f>
        <v>466919</v>
      </c>
      <c r="K7" cm="1">
        <f t="array" ref="K7">IFERROR(_xlfn.STDEV.S(IF((CountersTable[GroupByKey]=CountersTable[[#This Row],[GroupByKey]]),(CountersTable[GroupByKey]=CountersTable[[#This Row],[GroupByKey]])*CountersTable[RecordedValue])),0)</f>
        <v>36821.167960834704</v>
      </c>
      <c r="L7" cm="1">
        <f t="array" ref="L7">MAX(IF((ProjectInfoTable[ProjectName]=CountersTable[[#This Row],[ProjectName]]),(ProjectInfoTable[ProjectName]=CountersTable[[#This Row],[ProjectName]])*ProjectInfoTable[ConfidenceInterval]))</f>
        <v>0.95</v>
      </c>
      <c r="M7">
        <f>IFERROR(_xlfn.T.INV.2T(1 - CountersTable[[#This Row],[ConfidenceInterval]],(CountersTable[[#This Row],[RepsRequested]]-1))*CountersTable[[#This Row],[StandardDeviation]]/SQRT(CountersTable[[#This Row],[RepsRequested]]),400000000000000000000)</f>
        <v>26340.276786688879</v>
      </c>
      <c r="N7" cm="1">
        <f t="array" ref="N7">MIN(IF((CountersTable[GroupByKey]=CountersTable[[#This Row],[GroupByKey]]),(CountersTable[GroupByKey]=CountersTable[[#This Row],[GroupByKey]])*CountersTable[RecordedValue]))</f>
        <v>414420</v>
      </c>
      <c r="O7" cm="1">
        <f t="array" ref="O7">MAX(IF((CountersTable[GroupByKey]=CountersTable[[#This Row],[GroupByKey]]),(CountersTable[GroupByKey]=CountersTable[[#This Row],[GroupByKey]])*CountersTable[RecordedValue]))</f>
        <v>511260</v>
      </c>
    </row>
    <row r="8" spans="1:15" x14ac:dyDescent="0.4">
      <c r="A8" t="s">
        <v>66</v>
      </c>
      <c r="B8" t="s">
        <v>69</v>
      </c>
      <c r="C8">
        <v>4</v>
      </c>
      <c r="D8" t="s">
        <v>104</v>
      </c>
      <c r="E8" t="s">
        <v>105</v>
      </c>
      <c r="F8" t="s">
        <v>92</v>
      </c>
      <c r="G8">
        <v>2089</v>
      </c>
      <c r="H8" t="str">
        <f>CountersTable[[#This Row],[ProjectName]]&amp;CountersTable[[#This Row],[Name]]&amp;CountersTable[[#This Row],[Type]]&amp;CountersTable[[#This Row],[Source]]</f>
        <v>Unnamed ProjectCounter 1CountUser Specified</v>
      </c>
      <c r="I8" cm="1">
        <f t="array" ref="I8">MAX(IF((ProjectInfoTable[ProjectName]=CountersTable[[#This Row],[ProjectName]]),(ProjectInfoTable[ProjectName]=CountersTable[[#This Row],[ProjectName]])*ProjectInfoTable[NumberOfReplications]))</f>
        <v>10</v>
      </c>
      <c r="J8" cm="1">
        <f t="array" ref="J8">IFERROR(AVERAGE(IF((CountersTable[GroupByKey]=CountersTable[[#This Row],[GroupByKey]]),(CountersTable[GroupByKey]=CountersTable[[#This Row],[GroupByKey]])*CountersTable[RecordedValue])),0)</f>
        <v>1955.1</v>
      </c>
      <c r="K8" cm="1">
        <f t="array" ref="K8">IFERROR(_xlfn.STDEV.S(IF((CountersTable[GroupByKey]=CountersTable[[#This Row],[GroupByKey]]),(CountersTable[GroupByKey]=CountersTable[[#This Row],[GroupByKey]])*CountersTable[RecordedValue])),0)</f>
        <v>149.44523337255617</v>
      </c>
      <c r="L8" cm="1">
        <f t="array" ref="L8">MAX(IF((ProjectInfoTable[ProjectName]=CountersTable[[#This Row],[ProjectName]]),(ProjectInfoTable[ProjectName]=CountersTable[[#This Row],[ProjectName]])*ProjectInfoTable[ConfidenceInterval]))</f>
        <v>0.95</v>
      </c>
      <c r="M8">
        <f>IFERROR(_xlfn.T.INV.2T(1 - CountersTable[[#This Row],[ConfidenceInterval]],(CountersTable[[#This Row],[RepsRequested]]-1))*CountersTable[[#This Row],[StandardDeviation]]/SQRT(CountersTable[[#This Row],[RepsRequested]]),400000000000000000000)</f>
        <v>106.90667975745569</v>
      </c>
      <c r="N8" cm="1">
        <f t="array" ref="N8">MIN(IF((CountersTable[GroupByKey]=CountersTable[[#This Row],[GroupByKey]]),(CountersTable[GroupByKey]=CountersTable[[#This Row],[GroupByKey]])*CountersTable[RecordedValue]))</f>
        <v>1729</v>
      </c>
      <c r="O8" cm="1">
        <f t="array" ref="O8">MAX(IF((CountersTable[GroupByKey]=CountersTable[[#This Row],[GroupByKey]]),(CountersTable[GroupByKey]=CountersTable[[#This Row],[GroupByKey]])*CountersTable[RecordedValue]))</f>
        <v>2126</v>
      </c>
    </row>
    <row r="9" spans="1:15" x14ac:dyDescent="0.4">
      <c r="A9" t="s">
        <v>66</v>
      </c>
      <c r="B9" t="s">
        <v>69</v>
      </c>
      <c r="C9">
        <v>4</v>
      </c>
      <c r="D9" t="s">
        <v>106</v>
      </c>
      <c r="E9" t="s">
        <v>105</v>
      </c>
      <c r="F9" t="s">
        <v>92</v>
      </c>
      <c r="G9">
        <v>503080</v>
      </c>
      <c r="H9" t="str">
        <f>CountersTable[[#This Row],[ProjectName]]&amp;CountersTable[[#This Row],[Name]]&amp;CountersTable[[#This Row],[Type]]&amp;CountersTable[[#This Row],[Source]]</f>
        <v>Unnamed ProjectCounter 2CountUser Specified</v>
      </c>
      <c r="I9" cm="1">
        <f t="array" ref="I9">MAX(IF((ProjectInfoTable[ProjectName]=CountersTable[[#This Row],[ProjectName]]),(ProjectInfoTable[ProjectName]=CountersTable[[#This Row],[ProjectName]])*ProjectInfoTable[NumberOfReplications]))</f>
        <v>10</v>
      </c>
      <c r="J9" cm="1">
        <f t="array" ref="J9">IFERROR(AVERAGE(IF((CountersTable[GroupByKey]=CountersTable[[#This Row],[GroupByKey]]),(CountersTable[GroupByKey]=CountersTable[[#This Row],[GroupByKey]])*CountersTable[RecordedValue])),0)</f>
        <v>466919</v>
      </c>
      <c r="K9" cm="1">
        <f t="array" ref="K9">IFERROR(_xlfn.STDEV.S(IF((CountersTable[GroupByKey]=CountersTable[[#This Row],[GroupByKey]]),(CountersTable[GroupByKey]=CountersTable[[#This Row],[GroupByKey]])*CountersTable[RecordedValue])),0)</f>
        <v>36821.167960834704</v>
      </c>
      <c r="L9" cm="1">
        <f t="array" ref="L9">MAX(IF((ProjectInfoTable[ProjectName]=CountersTable[[#This Row],[ProjectName]]),(ProjectInfoTable[ProjectName]=CountersTable[[#This Row],[ProjectName]])*ProjectInfoTable[ConfidenceInterval]))</f>
        <v>0.95</v>
      </c>
      <c r="M9">
        <f>IFERROR(_xlfn.T.INV.2T(1 - CountersTable[[#This Row],[ConfidenceInterval]],(CountersTable[[#This Row],[RepsRequested]]-1))*CountersTable[[#This Row],[StandardDeviation]]/SQRT(CountersTable[[#This Row],[RepsRequested]]),400000000000000000000)</f>
        <v>26340.276786688879</v>
      </c>
      <c r="N9" cm="1">
        <f t="array" ref="N9">MIN(IF((CountersTable[GroupByKey]=CountersTable[[#This Row],[GroupByKey]]),(CountersTable[GroupByKey]=CountersTable[[#This Row],[GroupByKey]])*CountersTable[RecordedValue]))</f>
        <v>414420</v>
      </c>
      <c r="O9" cm="1">
        <f t="array" ref="O9">MAX(IF((CountersTable[GroupByKey]=CountersTable[[#This Row],[GroupByKey]]),(CountersTable[GroupByKey]=CountersTable[[#This Row],[GroupByKey]])*CountersTable[RecordedValue]))</f>
        <v>511260</v>
      </c>
    </row>
    <row r="10" spans="1:15" x14ac:dyDescent="0.4">
      <c r="A10" t="s">
        <v>66</v>
      </c>
      <c r="B10" t="s">
        <v>69</v>
      </c>
      <c r="C10">
        <v>5</v>
      </c>
      <c r="D10" t="s">
        <v>104</v>
      </c>
      <c r="E10" t="s">
        <v>105</v>
      </c>
      <c r="F10" t="s">
        <v>92</v>
      </c>
      <c r="G10">
        <v>1729</v>
      </c>
      <c r="H10" t="str">
        <f>CountersTable[[#This Row],[ProjectName]]&amp;CountersTable[[#This Row],[Name]]&amp;CountersTable[[#This Row],[Type]]&amp;CountersTable[[#This Row],[Source]]</f>
        <v>Unnamed ProjectCounter 1CountUser Specified</v>
      </c>
      <c r="I10" cm="1">
        <f t="array" ref="I10">MAX(IF((ProjectInfoTable[ProjectName]=CountersTable[[#This Row],[ProjectName]]),(ProjectInfoTable[ProjectName]=CountersTable[[#This Row],[ProjectName]])*ProjectInfoTable[NumberOfReplications]))</f>
        <v>10</v>
      </c>
      <c r="J10" cm="1">
        <f t="array" ref="J10">IFERROR(AVERAGE(IF((CountersTable[GroupByKey]=CountersTable[[#This Row],[GroupByKey]]),(CountersTable[GroupByKey]=CountersTable[[#This Row],[GroupByKey]])*CountersTable[RecordedValue])),0)</f>
        <v>1955.1</v>
      </c>
      <c r="K10" cm="1">
        <f t="array" ref="K10">IFERROR(_xlfn.STDEV.S(IF((CountersTable[GroupByKey]=CountersTable[[#This Row],[GroupByKey]]),(CountersTable[GroupByKey]=CountersTable[[#This Row],[GroupByKey]])*CountersTable[RecordedValue])),0)</f>
        <v>149.44523337255617</v>
      </c>
      <c r="L10" cm="1">
        <f t="array" ref="L10">MAX(IF((ProjectInfoTable[ProjectName]=CountersTable[[#This Row],[ProjectName]]),(ProjectInfoTable[ProjectName]=CountersTable[[#This Row],[ProjectName]])*ProjectInfoTable[ConfidenceInterval]))</f>
        <v>0.95</v>
      </c>
      <c r="M10">
        <f>IFERROR(_xlfn.T.INV.2T(1 - CountersTable[[#This Row],[ConfidenceInterval]],(CountersTable[[#This Row],[RepsRequested]]-1))*CountersTable[[#This Row],[StandardDeviation]]/SQRT(CountersTable[[#This Row],[RepsRequested]]),400000000000000000000)</f>
        <v>106.90667975745569</v>
      </c>
      <c r="N10" cm="1">
        <f t="array" ref="N10">MIN(IF((CountersTable[GroupByKey]=CountersTable[[#This Row],[GroupByKey]]),(CountersTable[GroupByKey]=CountersTable[[#This Row],[GroupByKey]])*CountersTable[RecordedValue]))</f>
        <v>1729</v>
      </c>
      <c r="O10" cm="1">
        <f t="array" ref="O10">MAX(IF((CountersTable[GroupByKey]=CountersTable[[#This Row],[GroupByKey]]),(CountersTable[GroupByKey]=CountersTable[[#This Row],[GroupByKey]])*CountersTable[RecordedValue]))</f>
        <v>2126</v>
      </c>
    </row>
    <row r="11" spans="1:15" x14ac:dyDescent="0.4">
      <c r="A11" t="s">
        <v>66</v>
      </c>
      <c r="B11" t="s">
        <v>69</v>
      </c>
      <c r="C11">
        <v>5</v>
      </c>
      <c r="D11" t="s">
        <v>106</v>
      </c>
      <c r="E11" t="s">
        <v>105</v>
      </c>
      <c r="F11" t="s">
        <v>92</v>
      </c>
      <c r="G11">
        <v>414420</v>
      </c>
      <c r="H11" t="str">
        <f>CountersTable[[#This Row],[ProjectName]]&amp;CountersTable[[#This Row],[Name]]&amp;CountersTable[[#This Row],[Type]]&amp;CountersTable[[#This Row],[Source]]</f>
        <v>Unnamed ProjectCounter 2CountUser Specified</v>
      </c>
      <c r="I11" cm="1">
        <f t="array" ref="I11">MAX(IF((ProjectInfoTable[ProjectName]=CountersTable[[#This Row],[ProjectName]]),(ProjectInfoTable[ProjectName]=CountersTable[[#This Row],[ProjectName]])*ProjectInfoTable[NumberOfReplications]))</f>
        <v>10</v>
      </c>
      <c r="J11" cm="1">
        <f t="array" ref="J11">IFERROR(AVERAGE(IF((CountersTable[GroupByKey]=CountersTable[[#This Row],[GroupByKey]]),(CountersTable[GroupByKey]=CountersTable[[#This Row],[GroupByKey]])*CountersTable[RecordedValue])),0)</f>
        <v>466919</v>
      </c>
      <c r="K11" cm="1">
        <f t="array" ref="K11">IFERROR(_xlfn.STDEV.S(IF((CountersTable[GroupByKey]=CountersTable[[#This Row],[GroupByKey]]),(CountersTable[GroupByKey]=CountersTable[[#This Row],[GroupByKey]])*CountersTable[RecordedValue])),0)</f>
        <v>36821.167960834704</v>
      </c>
      <c r="L11" cm="1">
        <f t="array" ref="L11">MAX(IF((ProjectInfoTable[ProjectName]=CountersTable[[#This Row],[ProjectName]]),(ProjectInfoTable[ProjectName]=CountersTable[[#This Row],[ProjectName]])*ProjectInfoTable[ConfidenceInterval]))</f>
        <v>0.95</v>
      </c>
      <c r="M11">
        <f>IFERROR(_xlfn.T.INV.2T(1 - CountersTable[[#This Row],[ConfidenceInterval]],(CountersTable[[#This Row],[RepsRequested]]-1))*CountersTable[[#This Row],[StandardDeviation]]/SQRT(CountersTable[[#This Row],[RepsRequested]]),400000000000000000000)</f>
        <v>26340.276786688879</v>
      </c>
      <c r="N11" cm="1">
        <f t="array" ref="N11">MIN(IF((CountersTable[GroupByKey]=CountersTable[[#This Row],[GroupByKey]]),(CountersTable[GroupByKey]=CountersTable[[#This Row],[GroupByKey]])*CountersTable[RecordedValue]))</f>
        <v>414420</v>
      </c>
      <c r="O11" cm="1">
        <f t="array" ref="O11">MAX(IF((CountersTable[GroupByKey]=CountersTable[[#This Row],[GroupByKey]]),(CountersTable[GroupByKey]=CountersTable[[#This Row],[GroupByKey]])*CountersTable[RecordedValue]))</f>
        <v>511260</v>
      </c>
    </row>
    <row r="12" spans="1:15" x14ac:dyDescent="0.4">
      <c r="A12" t="s">
        <v>66</v>
      </c>
      <c r="B12" t="s">
        <v>69</v>
      </c>
      <c r="C12">
        <v>6</v>
      </c>
      <c r="D12" t="s">
        <v>104</v>
      </c>
      <c r="E12" t="s">
        <v>105</v>
      </c>
      <c r="F12" t="s">
        <v>92</v>
      </c>
      <c r="G12">
        <v>2073</v>
      </c>
      <c r="H12" t="str">
        <f>CountersTable[[#This Row],[ProjectName]]&amp;CountersTable[[#This Row],[Name]]&amp;CountersTable[[#This Row],[Type]]&amp;CountersTable[[#This Row],[Source]]</f>
        <v>Unnamed ProjectCounter 1CountUser Specified</v>
      </c>
      <c r="I12" cm="1">
        <f t="array" ref="I12">MAX(IF((ProjectInfoTable[ProjectName]=CountersTable[[#This Row],[ProjectName]]),(ProjectInfoTable[ProjectName]=CountersTable[[#This Row],[ProjectName]])*ProjectInfoTable[NumberOfReplications]))</f>
        <v>10</v>
      </c>
      <c r="J12" cm="1">
        <f t="array" ref="J12">IFERROR(AVERAGE(IF((CountersTable[GroupByKey]=CountersTable[[#This Row],[GroupByKey]]),(CountersTable[GroupByKey]=CountersTable[[#This Row],[GroupByKey]])*CountersTable[RecordedValue])),0)</f>
        <v>1955.1</v>
      </c>
      <c r="K12" cm="1">
        <f t="array" ref="K12">IFERROR(_xlfn.STDEV.S(IF((CountersTable[GroupByKey]=CountersTable[[#This Row],[GroupByKey]]),(CountersTable[GroupByKey]=CountersTable[[#This Row],[GroupByKey]])*CountersTable[RecordedValue])),0)</f>
        <v>149.44523337255617</v>
      </c>
      <c r="L12" cm="1">
        <f t="array" ref="L12">MAX(IF((ProjectInfoTable[ProjectName]=CountersTable[[#This Row],[ProjectName]]),(ProjectInfoTable[ProjectName]=CountersTable[[#This Row],[ProjectName]])*ProjectInfoTable[ConfidenceInterval]))</f>
        <v>0.95</v>
      </c>
      <c r="M12">
        <f>IFERROR(_xlfn.T.INV.2T(1 - CountersTable[[#This Row],[ConfidenceInterval]],(CountersTable[[#This Row],[RepsRequested]]-1))*CountersTable[[#This Row],[StandardDeviation]]/SQRT(CountersTable[[#This Row],[RepsRequested]]),400000000000000000000)</f>
        <v>106.90667975745569</v>
      </c>
      <c r="N12" cm="1">
        <f t="array" ref="N12">MIN(IF((CountersTable[GroupByKey]=CountersTable[[#This Row],[GroupByKey]]),(CountersTable[GroupByKey]=CountersTable[[#This Row],[GroupByKey]])*CountersTable[RecordedValue]))</f>
        <v>1729</v>
      </c>
      <c r="O12" cm="1">
        <f t="array" ref="O12">MAX(IF((CountersTable[GroupByKey]=CountersTable[[#This Row],[GroupByKey]]),(CountersTable[GroupByKey]=CountersTable[[#This Row],[GroupByKey]])*CountersTable[RecordedValue]))</f>
        <v>2126</v>
      </c>
    </row>
    <row r="13" spans="1:15" x14ac:dyDescent="0.4">
      <c r="A13" t="s">
        <v>66</v>
      </c>
      <c r="B13" t="s">
        <v>69</v>
      </c>
      <c r="C13">
        <v>6</v>
      </c>
      <c r="D13" t="s">
        <v>106</v>
      </c>
      <c r="E13" t="s">
        <v>105</v>
      </c>
      <c r="F13" t="s">
        <v>92</v>
      </c>
      <c r="G13">
        <v>492600</v>
      </c>
      <c r="H13" t="str">
        <f>CountersTable[[#This Row],[ProjectName]]&amp;CountersTable[[#This Row],[Name]]&amp;CountersTable[[#This Row],[Type]]&amp;CountersTable[[#This Row],[Source]]</f>
        <v>Unnamed ProjectCounter 2CountUser Specified</v>
      </c>
      <c r="I13" cm="1">
        <f t="array" ref="I13">MAX(IF((ProjectInfoTable[ProjectName]=CountersTable[[#This Row],[ProjectName]]),(ProjectInfoTable[ProjectName]=CountersTable[[#This Row],[ProjectName]])*ProjectInfoTable[NumberOfReplications]))</f>
        <v>10</v>
      </c>
      <c r="J13" cm="1">
        <f t="array" ref="J13">IFERROR(AVERAGE(IF((CountersTable[GroupByKey]=CountersTable[[#This Row],[GroupByKey]]),(CountersTable[GroupByKey]=CountersTable[[#This Row],[GroupByKey]])*CountersTable[RecordedValue])),0)</f>
        <v>466919</v>
      </c>
      <c r="K13" cm="1">
        <f t="array" ref="K13">IFERROR(_xlfn.STDEV.S(IF((CountersTable[GroupByKey]=CountersTable[[#This Row],[GroupByKey]]),(CountersTable[GroupByKey]=CountersTable[[#This Row],[GroupByKey]])*CountersTable[RecordedValue])),0)</f>
        <v>36821.167960834704</v>
      </c>
      <c r="L13" cm="1">
        <f t="array" ref="L13">MAX(IF((ProjectInfoTable[ProjectName]=CountersTable[[#This Row],[ProjectName]]),(ProjectInfoTable[ProjectName]=CountersTable[[#This Row],[ProjectName]])*ProjectInfoTable[ConfidenceInterval]))</f>
        <v>0.95</v>
      </c>
      <c r="M13">
        <f>IFERROR(_xlfn.T.INV.2T(1 - CountersTable[[#This Row],[ConfidenceInterval]],(CountersTable[[#This Row],[RepsRequested]]-1))*CountersTable[[#This Row],[StandardDeviation]]/SQRT(CountersTable[[#This Row],[RepsRequested]]),400000000000000000000)</f>
        <v>26340.276786688879</v>
      </c>
      <c r="N13" cm="1">
        <f t="array" ref="N13">MIN(IF((CountersTable[GroupByKey]=CountersTable[[#This Row],[GroupByKey]]),(CountersTable[GroupByKey]=CountersTable[[#This Row],[GroupByKey]])*CountersTable[RecordedValue]))</f>
        <v>414420</v>
      </c>
      <c r="O13" cm="1">
        <f t="array" ref="O13">MAX(IF((CountersTable[GroupByKey]=CountersTable[[#This Row],[GroupByKey]]),(CountersTable[GroupByKey]=CountersTable[[#This Row],[GroupByKey]])*CountersTable[RecordedValue]))</f>
        <v>511260</v>
      </c>
    </row>
    <row r="14" spans="1:15" x14ac:dyDescent="0.4">
      <c r="A14" t="s">
        <v>66</v>
      </c>
      <c r="B14" t="s">
        <v>69</v>
      </c>
      <c r="C14">
        <v>7</v>
      </c>
      <c r="D14" t="s">
        <v>104</v>
      </c>
      <c r="E14" t="s">
        <v>105</v>
      </c>
      <c r="F14" t="s">
        <v>92</v>
      </c>
      <c r="G14">
        <v>1920</v>
      </c>
      <c r="H14" t="str">
        <f>CountersTable[[#This Row],[ProjectName]]&amp;CountersTable[[#This Row],[Name]]&amp;CountersTable[[#This Row],[Type]]&amp;CountersTable[[#This Row],[Source]]</f>
        <v>Unnamed ProjectCounter 1CountUser Specified</v>
      </c>
      <c r="I14" cm="1">
        <f t="array" ref="I14">MAX(IF((ProjectInfoTable[ProjectName]=CountersTable[[#This Row],[ProjectName]]),(ProjectInfoTable[ProjectName]=CountersTable[[#This Row],[ProjectName]])*ProjectInfoTable[NumberOfReplications]))</f>
        <v>10</v>
      </c>
      <c r="J14" cm="1">
        <f t="array" ref="J14">IFERROR(AVERAGE(IF((CountersTable[GroupByKey]=CountersTable[[#This Row],[GroupByKey]]),(CountersTable[GroupByKey]=CountersTable[[#This Row],[GroupByKey]])*CountersTable[RecordedValue])),0)</f>
        <v>1955.1</v>
      </c>
      <c r="K14" cm="1">
        <f t="array" ref="K14">IFERROR(_xlfn.STDEV.S(IF((CountersTable[GroupByKey]=CountersTable[[#This Row],[GroupByKey]]),(CountersTable[GroupByKey]=CountersTable[[#This Row],[GroupByKey]])*CountersTable[RecordedValue])),0)</f>
        <v>149.44523337255617</v>
      </c>
      <c r="L14" cm="1">
        <f t="array" ref="L14">MAX(IF((ProjectInfoTable[ProjectName]=CountersTable[[#This Row],[ProjectName]]),(ProjectInfoTable[ProjectName]=CountersTable[[#This Row],[ProjectName]])*ProjectInfoTable[ConfidenceInterval]))</f>
        <v>0.95</v>
      </c>
      <c r="M14">
        <f>IFERROR(_xlfn.T.INV.2T(1 - CountersTable[[#This Row],[ConfidenceInterval]],(CountersTable[[#This Row],[RepsRequested]]-1))*CountersTable[[#This Row],[StandardDeviation]]/SQRT(CountersTable[[#This Row],[RepsRequested]]),400000000000000000000)</f>
        <v>106.90667975745569</v>
      </c>
      <c r="N14" cm="1">
        <f t="array" ref="N14">MIN(IF((CountersTable[GroupByKey]=CountersTable[[#This Row],[GroupByKey]]),(CountersTable[GroupByKey]=CountersTable[[#This Row],[GroupByKey]])*CountersTable[RecordedValue]))</f>
        <v>1729</v>
      </c>
      <c r="O14" cm="1">
        <f t="array" ref="O14">MAX(IF((CountersTable[GroupByKey]=CountersTable[[#This Row],[GroupByKey]]),(CountersTable[GroupByKey]=CountersTable[[#This Row],[GroupByKey]])*CountersTable[RecordedValue]))</f>
        <v>2126</v>
      </c>
    </row>
    <row r="15" spans="1:15" x14ac:dyDescent="0.4">
      <c r="A15" t="s">
        <v>66</v>
      </c>
      <c r="B15" t="s">
        <v>69</v>
      </c>
      <c r="C15">
        <v>7</v>
      </c>
      <c r="D15" t="s">
        <v>106</v>
      </c>
      <c r="E15" t="s">
        <v>105</v>
      </c>
      <c r="F15" t="s">
        <v>92</v>
      </c>
      <c r="G15">
        <v>454700</v>
      </c>
      <c r="H15" t="str">
        <f>CountersTable[[#This Row],[ProjectName]]&amp;CountersTable[[#This Row],[Name]]&amp;CountersTable[[#This Row],[Type]]&amp;CountersTable[[#This Row],[Source]]</f>
        <v>Unnamed ProjectCounter 2CountUser Specified</v>
      </c>
      <c r="I15" cm="1">
        <f t="array" ref="I15">MAX(IF((ProjectInfoTable[ProjectName]=CountersTable[[#This Row],[ProjectName]]),(ProjectInfoTable[ProjectName]=CountersTable[[#This Row],[ProjectName]])*ProjectInfoTable[NumberOfReplications]))</f>
        <v>10</v>
      </c>
      <c r="J15" cm="1">
        <f t="array" ref="J15">IFERROR(AVERAGE(IF((CountersTable[GroupByKey]=CountersTable[[#This Row],[GroupByKey]]),(CountersTable[GroupByKey]=CountersTable[[#This Row],[GroupByKey]])*CountersTable[RecordedValue])),0)</f>
        <v>466919</v>
      </c>
      <c r="K15" cm="1">
        <f t="array" ref="K15">IFERROR(_xlfn.STDEV.S(IF((CountersTable[GroupByKey]=CountersTable[[#This Row],[GroupByKey]]),(CountersTable[GroupByKey]=CountersTable[[#This Row],[GroupByKey]])*CountersTable[RecordedValue])),0)</f>
        <v>36821.167960834704</v>
      </c>
      <c r="L15" cm="1">
        <f t="array" ref="L15">MAX(IF((ProjectInfoTable[ProjectName]=CountersTable[[#This Row],[ProjectName]]),(ProjectInfoTable[ProjectName]=CountersTable[[#This Row],[ProjectName]])*ProjectInfoTable[ConfidenceInterval]))</f>
        <v>0.95</v>
      </c>
      <c r="M15">
        <f>IFERROR(_xlfn.T.INV.2T(1 - CountersTable[[#This Row],[ConfidenceInterval]],(CountersTable[[#This Row],[RepsRequested]]-1))*CountersTable[[#This Row],[StandardDeviation]]/SQRT(CountersTable[[#This Row],[RepsRequested]]),400000000000000000000)</f>
        <v>26340.276786688879</v>
      </c>
      <c r="N15" cm="1">
        <f t="array" ref="N15">MIN(IF((CountersTable[GroupByKey]=CountersTable[[#This Row],[GroupByKey]]),(CountersTable[GroupByKey]=CountersTable[[#This Row],[GroupByKey]])*CountersTable[RecordedValue]))</f>
        <v>414420</v>
      </c>
      <c r="O15" cm="1">
        <f t="array" ref="O15">MAX(IF((CountersTable[GroupByKey]=CountersTable[[#This Row],[GroupByKey]]),(CountersTable[GroupByKey]=CountersTable[[#This Row],[GroupByKey]])*CountersTable[RecordedValue]))</f>
        <v>511260</v>
      </c>
    </row>
    <row r="16" spans="1:15" x14ac:dyDescent="0.4">
      <c r="A16" t="s">
        <v>66</v>
      </c>
      <c r="B16" t="s">
        <v>69</v>
      </c>
      <c r="C16">
        <v>8</v>
      </c>
      <c r="D16" t="s">
        <v>104</v>
      </c>
      <c r="E16" t="s">
        <v>105</v>
      </c>
      <c r="F16" t="s">
        <v>92</v>
      </c>
      <c r="G16">
        <v>2126</v>
      </c>
      <c r="H16" t="str">
        <f>CountersTable[[#This Row],[ProjectName]]&amp;CountersTable[[#This Row],[Name]]&amp;CountersTable[[#This Row],[Type]]&amp;CountersTable[[#This Row],[Source]]</f>
        <v>Unnamed ProjectCounter 1CountUser Specified</v>
      </c>
      <c r="I16" cm="1">
        <f t="array" ref="I16">MAX(IF((ProjectInfoTable[ProjectName]=CountersTable[[#This Row],[ProjectName]]),(ProjectInfoTable[ProjectName]=CountersTable[[#This Row],[ProjectName]])*ProjectInfoTable[NumberOfReplications]))</f>
        <v>10</v>
      </c>
      <c r="J16" cm="1">
        <f t="array" ref="J16">IFERROR(AVERAGE(IF((CountersTable[GroupByKey]=CountersTable[[#This Row],[GroupByKey]]),(CountersTable[GroupByKey]=CountersTable[[#This Row],[GroupByKey]])*CountersTable[RecordedValue])),0)</f>
        <v>1955.1</v>
      </c>
      <c r="K16" cm="1">
        <f t="array" ref="K16">IFERROR(_xlfn.STDEV.S(IF((CountersTable[GroupByKey]=CountersTable[[#This Row],[GroupByKey]]),(CountersTable[GroupByKey]=CountersTable[[#This Row],[GroupByKey]])*CountersTable[RecordedValue])),0)</f>
        <v>149.44523337255617</v>
      </c>
      <c r="L16" cm="1">
        <f t="array" ref="L16">MAX(IF((ProjectInfoTable[ProjectName]=CountersTable[[#This Row],[ProjectName]]),(ProjectInfoTable[ProjectName]=CountersTable[[#This Row],[ProjectName]])*ProjectInfoTable[ConfidenceInterval]))</f>
        <v>0.95</v>
      </c>
      <c r="M16">
        <f>IFERROR(_xlfn.T.INV.2T(1 - CountersTable[[#This Row],[ConfidenceInterval]],(CountersTable[[#This Row],[RepsRequested]]-1))*CountersTable[[#This Row],[StandardDeviation]]/SQRT(CountersTable[[#This Row],[RepsRequested]]),400000000000000000000)</f>
        <v>106.90667975745569</v>
      </c>
      <c r="N16" cm="1">
        <f t="array" ref="N16">MIN(IF((CountersTable[GroupByKey]=CountersTable[[#This Row],[GroupByKey]]),(CountersTable[GroupByKey]=CountersTable[[#This Row],[GroupByKey]])*CountersTable[RecordedValue]))</f>
        <v>1729</v>
      </c>
      <c r="O16" cm="1">
        <f t="array" ref="O16">MAX(IF((CountersTable[GroupByKey]=CountersTable[[#This Row],[GroupByKey]]),(CountersTable[GroupByKey]=CountersTable[[#This Row],[GroupByKey]])*CountersTable[RecordedValue]))</f>
        <v>2126</v>
      </c>
    </row>
    <row r="17" spans="1:15" x14ac:dyDescent="0.4">
      <c r="A17" t="s">
        <v>66</v>
      </c>
      <c r="B17" t="s">
        <v>69</v>
      </c>
      <c r="C17">
        <v>8</v>
      </c>
      <c r="D17" t="s">
        <v>106</v>
      </c>
      <c r="E17" t="s">
        <v>105</v>
      </c>
      <c r="F17" t="s">
        <v>92</v>
      </c>
      <c r="G17">
        <v>511260</v>
      </c>
      <c r="H17" t="str">
        <f>CountersTable[[#This Row],[ProjectName]]&amp;CountersTable[[#This Row],[Name]]&amp;CountersTable[[#This Row],[Type]]&amp;CountersTable[[#This Row],[Source]]</f>
        <v>Unnamed ProjectCounter 2CountUser Specified</v>
      </c>
      <c r="I17" cm="1">
        <f t="array" ref="I17">MAX(IF((ProjectInfoTable[ProjectName]=CountersTable[[#This Row],[ProjectName]]),(ProjectInfoTable[ProjectName]=CountersTable[[#This Row],[ProjectName]])*ProjectInfoTable[NumberOfReplications]))</f>
        <v>10</v>
      </c>
      <c r="J17" cm="1">
        <f t="array" ref="J17">IFERROR(AVERAGE(IF((CountersTable[GroupByKey]=CountersTable[[#This Row],[GroupByKey]]),(CountersTable[GroupByKey]=CountersTable[[#This Row],[GroupByKey]])*CountersTable[RecordedValue])),0)</f>
        <v>466919</v>
      </c>
      <c r="K17" cm="1">
        <f t="array" ref="K17">IFERROR(_xlfn.STDEV.S(IF((CountersTable[GroupByKey]=CountersTable[[#This Row],[GroupByKey]]),(CountersTable[GroupByKey]=CountersTable[[#This Row],[GroupByKey]])*CountersTable[RecordedValue])),0)</f>
        <v>36821.167960834704</v>
      </c>
      <c r="L17" cm="1">
        <f t="array" ref="L17">MAX(IF((ProjectInfoTable[ProjectName]=CountersTable[[#This Row],[ProjectName]]),(ProjectInfoTable[ProjectName]=CountersTable[[#This Row],[ProjectName]])*ProjectInfoTable[ConfidenceInterval]))</f>
        <v>0.95</v>
      </c>
      <c r="M17">
        <f>IFERROR(_xlfn.T.INV.2T(1 - CountersTable[[#This Row],[ConfidenceInterval]],(CountersTable[[#This Row],[RepsRequested]]-1))*CountersTable[[#This Row],[StandardDeviation]]/SQRT(CountersTable[[#This Row],[RepsRequested]]),400000000000000000000)</f>
        <v>26340.276786688879</v>
      </c>
      <c r="N17" cm="1">
        <f t="array" ref="N17">MIN(IF((CountersTable[GroupByKey]=CountersTable[[#This Row],[GroupByKey]]),(CountersTable[GroupByKey]=CountersTable[[#This Row],[GroupByKey]])*CountersTable[RecordedValue]))</f>
        <v>414420</v>
      </c>
      <c r="O17" cm="1">
        <f t="array" ref="O17">MAX(IF((CountersTable[GroupByKey]=CountersTable[[#This Row],[GroupByKey]]),(CountersTable[GroupByKey]=CountersTable[[#This Row],[GroupByKey]])*CountersTable[RecordedValue]))</f>
        <v>511260</v>
      </c>
    </row>
    <row r="18" spans="1:15" x14ac:dyDescent="0.4">
      <c r="A18" t="s">
        <v>66</v>
      </c>
      <c r="B18" t="s">
        <v>69</v>
      </c>
      <c r="C18">
        <v>9</v>
      </c>
      <c r="D18" t="s">
        <v>104</v>
      </c>
      <c r="E18" t="s">
        <v>105</v>
      </c>
      <c r="F18" t="s">
        <v>92</v>
      </c>
      <c r="G18">
        <v>1942</v>
      </c>
      <c r="H18" t="str">
        <f>CountersTable[[#This Row],[ProjectName]]&amp;CountersTable[[#This Row],[Name]]&amp;CountersTable[[#This Row],[Type]]&amp;CountersTable[[#This Row],[Source]]</f>
        <v>Unnamed ProjectCounter 1CountUser Specified</v>
      </c>
      <c r="I18" cm="1">
        <f t="array" ref="I18">MAX(IF((ProjectInfoTable[ProjectName]=CountersTable[[#This Row],[ProjectName]]),(ProjectInfoTable[ProjectName]=CountersTable[[#This Row],[ProjectName]])*ProjectInfoTable[NumberOfReplications]))</f>
        <v>10</v>
      </c>
      <c r="J18" cm="1">
        <f t="array" ref="J18">IFERROR(AVERAGE(IF((CountersTable[GroupByKey]=CountersTable[[#This Row],[GroupByKey]]),(CountersTable[GroupByKey]=CountersTable[[#This Row],[GroupByKey]])*CountersTable[RecordedValue])),0)</f>
        <v>1955.1</v>
      </c>
      <c r="K18" cm="1">
        <f t="array" ref="K18">IFERROR(_xlfn.STDEV.S(IF((CountersTable[GroupByKey]=CountersTable[[#This Row],[GroupByKey]]),(CountersTable[GroupByKey]=CountersTable[[#This Row],[GroupByKey]])*CountersTable[RecordedValue])),0)</f>
        <v>149.44523337255617</v>
      </c>
      <c r="L18" cm="1">
        <f t="array" ref="L18">MAX(IF((ProjectInfoTable[ProjectName]=CountersTable[[#This Row],[ProjectName]]),(ProjectInfoTable[ProjectName]=CountersTable[[#This Row],[ProjectName]])*ProjectInfoTable[ConfidenceInterval]))</f>
        <v>0.95</v>
      </c>
      <c r="M18">
        <f>IFERROR(_xlfn.T.INV.2T(1 - CountersTable[[#This Row],[ConfidenceInterval]],(CountersTable[[#This Row],[RepsRequested]]-1))*CountersTable[[#This Row],[StandardDeviation]]/SQRT(CountersTable[[#This Row],[RepsRequested]]),400000000000000000000)</f>
        <v>106.90667975745569</v>
      </c>
      <c r="N18" cm="1">
        <f t="array" ref="N18">MIN(IF((CountersTable[GroupByKey]=CountersTable[[#This Row],[GroupByKey]]),(CountersTable[GroupByKey]=CountersTable[[#This Row],[GroupByKey]])*CountersTable[RecordedValue]))</f>
        <v>1729</v>
      </c>
      <c r="O18" cm="1">
        <f t="array" ref="O18">MAX(IF((CountersTable[GroupByKey]=CountersTable[[#This Row],[GroupByKey]]),(CountersTable[GroupByKey]=CountersTable[[#This Row],[GroupByKey]])*CountersTable[RecordedValue]))</f>
        <v>2126</v>
      </c>
    </row>
    <row r="19" spans="1:15" x14ac:dyDescent="0.4">
      <c r="A19" t="s">
        <v>66</v>
      </c>
      <c r="B19" t="s">
        <v>69</v>
      </c>
      <c r="C19">
        <v>9</v>
      </c>
      <c r="D19" t="s">
        <v>106</v>
      </c>
      <c r="E19" t="s">
        <v>105</v>
      </c>
      <c r="F19" t="s">
        <v>92</v>
      </c>
      <c r="G19">
        <v>463390</v>
      </c>
      <c r="H19" t="str">
        <f>CountersTable[[#This Row],[ProjectName]]&amp;CountersTable[[#This Row],[Name]]&amp;CountersTable[[#This Row],[Type]]&amp;CountersTable[[#This Row],[Source]]</f>
        <v>Unnamed ProjectCounter 2CountUser Specified</v>
      </c>
      <c r="I19" cm="1">
        <f t="array" ref="I19">MAX(IF((ProjectInfoTable[ProjectName]=CountersTable[[#This Row],[ProjectName]]),(ProjectInfoTable[ProjectName]=CountersTable[[#This Row],[ProjectName]])*ProjectInfoTable[NumberOfReplications]))</f>
        <v>10</v>
      </c>
      <c r="J19" cm="1">
        <f t="array" ref="J19">IFERROR(AVERAGE(IF((CountersTable[GroupByKey]=CountersTable[[#This Row],[GroupByKey]]),(CountersTable[GroupByKey]=CountersTable[[#This Row],[GroupByKey]])*CountersTable[RecordedValue])),0)</f>
        <v>466919</v>
      </c>
      <c r="K19" cm="1">
        <f t="array" ref="K19">IFERROR(_xlfn.STDEV.S(IF((CountersTable[GroupByKey]=CountersTable[[#This Row],[GroupByKey]]),(CountersTable[GroupByKey]=CountersTable[[#This Row],[GroupByKey]])*CountersTable[RecordedValue])),0)</f>
        <v>36821.167960834704</v>
      </c>
      <c r="L19" cm="1">
        <f t="array" ref="L19">MAX(IF((ProjectInfoTable[ProjectName]=CountersTable[[#This Row],[ProjectName]]),(ProjectInfoTable[ProjectName]=CountersTable[[#This Row],[ProjectName]])*ProjectInfoTable[ConfidenceInterval]))</f>
        <v>0.95</v>
      </c>
      <c r="M19">
        <f>IFERROR(_xlfn.T.INV.2T(1 - CountersTable[[#This Row],[ConfidenceInterval]],(CountersTable[[#This Row],[RepsRequested]]-1))*CountersTable[[#This Row],[StandardDeviation]]/SQRT(CountersTable[[#This Row],[RepsRequested]]),400000000000000000000)</f>
        <v>26340.276786688879</v>
      </c>
      <c r="N19" cm="1">
        <f t="array" ref="N19">MIN(IF((CountersTable[GroupByKey]=CountersTable[[#This Row],[GroupByKey]]),(CountersTable[GroupByKey]=CountersTable[[#This Row],[GroupByKey]])*CountersTable[RecordedValue]))</f>
        <v>414420</v>
      </c>
      <c r="O19" cm="1">
        <f t="array" ref="O19">MAX(IF((CountersTable[GroupByKey]=CountersTable[[#This Row],[GroupByKey]]),(CountersTable[GroupByKey]=CountersTable[[#This Row],[GroupByKey]])*CountersTable[RecordedValue]))</f>
        <v>511260</v>
      </c>
    </row>
    <row r="20" spans="1:15" x14ac:dyDescent="0.4">
      <c r="A20" t="s">
        <v>66</v>
      </c>
      <c r="B20" t="s">
        <v>69</v>
      </c>
      <c r="C20">
        <v>10</v>
      </c>
      <c r="D20" t="s">
        <v>104</v>
      </c>
      <c r="E20" t="s">
        <v>105</v>
      </c>
      <c r="F20" t="s">
        <v>92</v>
      </c>
      <c r="G20">
        <v>1820</v>
      </c>
      <c r="H20" t="str">
        <f>CountersTable[[#This Row],[ProjectName]]&amp;CountersTable[[#This Row],[Name]]&amp;CountersTable[[#This Row],[Type]]&amp;CountersTable[[#This Row],[Source]]</f>
        <v>Unnamed ProjectCounter 1CountUser Specified</v>
      </c>
      <c r="I20" cm="1">
        <f t="array" ref="I20">MAX(IF((ProjectInfoTable[ProjectName]=CountersTable[[#This Row],[ProjectName]]),(ProjectInfoTable[ProjectName]=CountersTable[[#This Row],[ProjectName]])*ProjectInfoTable[NumberOfReplications]))</f>
        <v>10</v>
      </c>
      <c r="J20" cm="1">
        <f t="array" ref="J20">IFERROR(AVERAGE(IF((CountersTable[GroupByKey]=CountersTable[[#This Row],[GroupByKey]]),(CountersTable[GroupByKey]=CountersTable[[#This Row],[GroupByKey]])*CountersTable[RecordedValue])),0)</f>
        <v>1955.1</v>
      </c>
      <c r="K20" cm="1">
        <f t="array" ref="K20">IFERROR(_xlfn.STDEV.S(IF((CountersTable[GroupByKey]=CountersTable[[#This Row],[GroupByKey]]),(CountersTable[GroupByKey]=CountersTable[[#This Row],[GroupByKey]])*CountersTable[RecordedValue])),0)</f>
        <v>149.44523337255617</v>
      </c>
      <c r="L20" cm="1">
        <f t="array" ref="L20">MAX(IF((ProjectInfoTable[ProjectName]=CountersTable[[#This Row],[ProjectName]]),(ProjectInfoTable[ProjectName]=CountersTable[[#This Row],[ProjectName]])*ProjectInfoTable[ConfidenceInterval]))</f>
        <v>0.95</v>
      </c>
      <c r="M20">
        <f>IFERROR(_xlfn.T.INV.2T(1 - CountersTable[[#This Row],[ConfidenceInterval]],(CountersTable[[#This Row],[RepsRequested]]-1))*CountersTable[[#This Row],[StandardDeviation]]/SQRT(CountersTable[[#This Row],[RepsRequested]]),400000000000000000000)</f>
        <v>106.90667975745569</v>
      </c>
      <c r="N20" cm="1">
        <f t="array" ref="N20">MIN(IF((CountersTable[GroupByKey]=CountersTable[[#This Row],[GroupByKey]]),(CountersTable[GroupByKey]=CountersTable[[#This Row],[GroupByKey]])*CountersTable[RecordedValue]))</f>
        <v>1729</v>
      </c>
      <c r="O20" cm="1">
        <f t="array" ref="O20">MAX(IF((CountersTable[GroupByKey]=CountersTable[[#This Row],[GroupByKey]]),(CountersTable[GroupByKey]=CountersTable[[#This Row],[GroupByKey]])*CountersTable[RecordedValue]))</f>
        <v>2126</v>
      </c>
    </row>
    <row r="21" spans="1:15" x14ac:dyDescent="0.4">
      <c r="A21" t="s">
        <v>66</v>
      </c>
      <c r="B21" t="s">
        <v>69</v>
      </c>
      <c r="C21">
        <v>10</v>
      </c>
      <c r="D21" t="s">
        <v>106</v>
      </c>
      <c r="E21" t="s">
        <v>105</v>
      </c>
      <c r="F21" t="s">
        <v>92</v>
      </c>
      <c r="G21">
        <v>432810</v>
      </c>
      <c r="H21" t="str">
        <f>CountersTable[[#This Row],[ProjectName]]&amp;CountersTable[[#This Row],[Name]]&amp;CountersTable[[#This Row],[Type]]&amp;CountersTable[[#This Row],[Source]]</f>
        <v>Unnamed ProjectCounter 2CountUser Specified</v>
      </c>
      <c r="I21" cm="1">
        <f t="array" ref="I21">MAX(IF((ProjectInfoTable[ProjectName]=CountersTable[[#This Row],[ProjectName]]),(ProjectInfoTable[ProjectName]=CountersTable[[#This Row],[ProjectName]])*ProjectInfoTable[NumberOfReplications]))</f>
        <v>10</v>
      </c>
      <c r="J21" cm="1">
        <f t="array" ref="J21">IFERROR(AVERAGE(IF((CountersTable[GroupByKey]=CountersTable[[#This Row],[GroupByKey]]),(CountersTable[GroupByKey]=CountersTable[[#This Row],[GroupByKey]])*CountersTable[RecordedValue])),0)</f>
        <v>466919</v>
      </c>
      <c r="K21" cm="1">
        <f t="array" ref="K21">IFERROR(_xlfn.STDEV.S(IF((CountersTable[GroupByKey]=CountersTable[[#This Row],[GroupByKey]]),(CountersTable[GroupByKey]=CountersTable[[#This Row],[GroupByKey]])*CountersTable[RecordedValue])),0)</f>
        <v>36821.167960834704</v>
      </c>
      <c r="L21" cm="1">
        <f t="array" ref="L21">MAX(IF((ProjectInfoTable[ProjectName]=CountersTable[[#This Row],[ProjectName]]),(ProjectInfoTable[ProjectName]=CountersTable[[#This Row],[ProjectName]])*ProjectInfoTable[ConfidenceInterval]))</f>
        <v>0.95</v>
      </c>
      <c r="M21">
        <f>IFERROR(_xlfn.T.INV.2T(1 - CountersTable[[#This Row],[ConfidenceInterval]],(CountersTable[[#This Row],[RepsRequested]]-1))*CountersTable[[#This Row],[StandardDeviation]]/SQRT(CountersTable[[#This Row],[RepsRequested]]),400000000000000000000)</f>
        <v>26340.276786688879</v>
      </c>
      <c r="N21" cm="1">
        <f t="array" ref="N21">MIN(IF((CountersTable[GroupByKey]=CountersTable[[#This Row],[GroupByKey]]),(CountersTable[GroupByKey]=CountersTable[[#This Row],[GroupByKey]])*CountersTable[RecordedValue]))</f>
        <v>414420</v>
      </c>
      <c r="O21" cm="1">
        <f t="array" ref="O21">MAX(IF((CountersTable[GroupByKey]=CountersTable[[#This Row],[GroupByKey]]),(CountersTable[GroupByKey]=CountersTable[[#This Row],[GroupByKey]])*CountersTable[RecordedValue]))</f>
        <v>511260</v>
      </c>
    </row>
  </sheetData>
  <phoneticPr fontId="2" type="noConversion"/>
  <conditionalFormatting sqref="H2:O21">
    <cfRule type="expression" dxfId="5" priority="2">
      <formula>MOD(ROW(),2)=0</formula>
    </cfRule>
  </conditionalFormatting>
  <conditionalFormatting sqref="M2:M21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131"/>
  <sheetViews>
    <sheetView workbookViewId="0">
      <selection activeCell="A2" sqref="A2:H31"/>
    </sheetView>
  </sheetViews>
  <sheetFormatPr defaultRowHeight="13.9" x14ac:dyDescent="0.4"/>
  <cols>
    <col min="1" max="1" width="15.796875" bestFit="1" customWidth="1"/>
    <col min="2" max="2" width="22.3984375" bestFit="1" customWidth="1"/>
    <col min="3" max="3" width="13.1328125" bestFit="1" customWidth="1"/>
    <col min="4" max="4" width="21.59765625" bestFit="1" customWidth="1"/>
    <col min="5" max="5" width="19.06640625" bestFit="1" customWidth="1"/>
    <col min="6" max="6" width="9.265625" bestFit="1" customWidth="1"/>
    <col min="7" max="7" width="16.73046875" bestFit="1" customWidth="1"/>
    <col min="8" max="8" width="11.796875" bestFit="1" customWidth="1"/>
    <col min="9" max="9" width="63.265625" bestFit="1" customWidth="1"/>
    <col min="10" max="10" width="16.86328125" bestFit="1" customWidth="1"/>
    <col min="11" max="11" width="12.19921875" bestFit="1" customWidth="1"/>
    <col min="12" max="12" width="20" bestFit="1" customWidth="1"/>
    <col min="13" max="13" width="20.19921875" bestFit="1" customWidth="1"/>
    <col min="14" max="16" width="12.19921875" bestFit="1" customWidth="1"/>
  </cols>
  <sheetData>
    <row r="1" spans="1:16" x14ac:dyDescent="0.4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4">
      <c r="A2" t="s">
        <v>66</v>
      </c>
      <c r="B2" t="s">
        <v>69</v>
      </c>
      <c r="C2">
        <v>1</v>
      </c>
      <c r="D2" t="s">
        <v>107</v>
      </c>
      <c r="E2" t="s">
        <v>108</v>
      </c>
      <c r="F2" t="s">
        <v>72</v>
      </c>
      <c r="G2">
        <v>207</v>
      </c>
      <c r="H2">
        <v>0</v>
      </c>
      <c r="I2" t="str">
        <f>OutputTable[[#This Row],[ProjectName]]&amp;OutputTable[[#This Row],[Name]]&amp;OutputTable[[#This Row],[Type]]&amp;OutputTable[[#This Row],[Source]]</f>
        <v>Unnamed ProjectEntity 1.NumberInNumber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10</v>
      </c>
      <c r="K2" cm="1">
        <f t="array" ref="K2">IFERROR(AVERAGE(IF((OutputTable[GroupByKey]=OutputTable[[#This Row],[GroupByKey]]),(OutputTable[GroupByKey]=OutputTable[[#This Row],[GroupByKey]])*OutputTable[RecordedValue])),0)</f>
        <v>221.9</v>
      </c>
      <c r="L2" cm="1">
        <f t="array" ref="L2">IFERROR(_xlfn.STDEV.S(IF((OutputTable[GroupByKey]=OutputTable[[#This Row],[GroupByKey]]),(OutputTable[GroupByKey]=OutputTable[[#This Row],[GroupByKey]])*OutputTable[RecordedValue])),0)</f>
        <v>15.029230777979883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10.751264028454774</v>
      </c>
      <c r="O2" cm="1">
        <f t="array" ref="O2">MIN(IF((OutputTable[GroupByKey]=OutputTable[[#This Row],[GroupByKey]]),(OutputTable[GroupByKey]=OutputTable[[#This Row],[GroupByKey]])*OutputTable[RecordedValue]))</f>
        <v>196</v>
      </c>
      <c r="P2" cm="1">
        <f t="array" ref="P2">MAX(IF((OutputTable[GroupByKey]=OutputTable[[#This Row],[GroupByKey]]),(OutputTable[GroupByKey]=OutputTable[[#This Row],[GroupByKey]])*OutputTable[RecordedValue]))</f>
        <v>237</v>
      </c>
    </row>
    <row r="3" spans="1:16" x14ac:dyDescent="0.4">
      <c r="A3" t="s">
        <v>66</v>
      </c>
      <c r="B3" t="s">
        <v>69</v>
      </c>
      <c r="C3">
        <v>1</v>
      </c>
      <c r="D3" t="s">
        <v>109</v>
      </c>
      <c r="E3" t="s">
        <v>110</v>
      </c>
      <c r="F3" t="s">
        <v>72</v>
      </c>
      <c r="G3">
        <v>214</v>
      </c>
      <c r="H3">
        <v>0</v>
      </c>
      <c r="I3" t="str">
        <f>OutputTable[[#This Row],[ProjectName]]&amp;OutputTable[[#This Row],[Name]]&amp;OutputTable[[#This Row],[Type]]&amp;OutputTable[[#This Row],[Source]]</f>
        <v>Unnamed ProjectEntity 1.NumberOutNumber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10</v>
      </c>
      <c r="K3" cm="1">
        <f t="array" ref="K3">IFERROR(AVERAGE(IF((OutputTable[GroupByKey]=OutputTable[[#This Row],[GroupByKey]]),(OutputTable[GroupByKey]=OutputTable[[#This Row],[GroupByKey]])*OutputTable[RecordedValue])),0)</f>
        <v>220.7</v>
      </c>
      <c r="L3" cm="1">
        <f t="array" ref="L3">IFERROR(_xlfn.STDEV.S(IF((OutputTable[GroupByKey]=OutputTable[[#This Row],[GroupByKey]]),(OutputTable[GroupByKey]=OutputTable[[#This Row],[GroupByKey]])*OutputTable[RecordedValue])),0)</f>
        <v>15.606622525923623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11.164305202796802</v>
      </c>
      <c r="O3" cm="1">
        <f t="array" ref="O3">MIN(IF((OutputTable[GroupByKey]=OutputTable[[#This Row],[GroupByKey]]),(OutputTable[GroupByKey]=OutputTable[[#This Row],[GroupByKey]])*OutputTable[RecordedValue]))</f>
        <v>190</v>
      </c>
      <c r="P3" cm="1">
        <f t="array" ref="P3">MAX(IF((OutputTable[GroupByKey]=OutputTable[[#This Row],[GroupByKey]]),(OutputTable[GroupByKey]=OutputTable[[#This Row],[GroupByKey]])*OutputTable[RecordedValue]))</f>
        <v>237</v>
      </c>
    </row>
    <row r="4" spans="1:16" x14ac:dyDescent="0.4">
      <c r="A4" t="s">
        <v>66</v>
      </c>
      <c r="B4" t="s">
        <v>69</v>
      </c>
      <c r="C4">
        <v>1</v>
      </c>
      <c r="D4" t="s">
        <v>111</v>
      </c>
      <c r="E4" t="s">
        <v>112</v>
      </c>
      <c r="F4" t="s">
        <v>97</v>
      </c>
      <c r="G4">
        <v>157</v>
      </c>
      <c r="H4">
        <v>0</v>
      </c>
      <c r="I4" t="str">
        <f>OutputTable[[#This Row],[ProjectName]]&amp;OutputTable[[#This Row],[Name]]&amp;OutputTable[[#This Row],[Type]]&amp;OutputTable[[#This Row],[Source]]</f>
        <v>Unnamed ProjectM1.NumberSeizedTotal Number SeizedResource</v>
      </c>
      <c r="J4" cm="1">
        <f t="array" ref="J4">MAX(IF((ProjectInfoTable[ProjectName]=OutputTable[[#This Row],[ProjectName]]),(ProjectInfoTable[ProjectName]=OutputTable[[#This Row],[ProjectName]])*ProjectInfoTable[NumberOfReplications]))</f>
        <v>10</v>
      </c>
      <c r="K4" cm="1">
        <f t="array" ref="K4">IFERROR(AVERAGE(IF((OutputTable[GroupByKey]=OutputTable[[#This Row],[GroupByKey]]),(OutputTable[GroupByKey]=OutputTable[[#This Row],[GroupByKey]])*OutputTable[RecordedValue])),0)</f>
        <v>166.8</v>
      </c>
      <c r="L4" cm="1">
        <f t="array" ref="L4">IFERROR(_xlfn.STDEV.S(IF((OutputTable[GroupByKey]=OutputTable[[#This Row],[GroupByKey]]),(OutputTable[GroupByKey]=OutputTable[[#This Row],[GroupByKey]])*OutputTable[RecordedValue])),0)</f>
        <v>13.612086132877977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9.7374998198217781</v>
      </c>
      <c r="O4" cm="1">
        <f t="array" ref="O4">MIN(IF((OutputTable[GroupByKey]=OutputTable[[#This Row],[GroupByKey]]),(OutputTable[GroupByKey]=OutputTable[[#This Row],[GroupByKey]])*OutputTable[RecordedValue]))</f>
        <v>142</v>
      </c>
      <c r="P4" cm="1">
        <f t="array" ref="P4">MAX(IF((OutputTable[GroupByKey]=OutputTable[[#This Row],[GroupByKey]]),(OutputTable[GroupByKey]=OutputTable[[#This Row],[GroupByKey]])*OutputTable[RecordedValue]))</f>
        <v>181</v>
      </c>
    </row>
    <row r="5" spans="1:16" x14ac:dyDescent="0.4">
      <c r="A5" t="s">
        <v>66</v>
      </c>
      <c r="B5" t="s">
        <v>69</v>
      </c>
      <c r="C5">
        <v>1</v>
      </c>
      <c r="D5" t="s">
        <v>113</v>
      </c>
      <c r="E5" t="s">
        <v>114</v>
      </c>
      <c r="F5" t="s">
        <v>97</v>
      </c>
      <c r="G5">
        <v>0.374267024592987</v>
      </c>
      <c r="H5">
        <v>0</v>
      </c>
      <c r="I5" t="str">
        <f>OutputTable[[#This Row],[ProjectName]]&amp;OutputTable[[#This Row],[Name]]&amp;OutputTable[[#This Row],[Type]]&amp;OutputTable[[#This Row],[Source]]</f>
        <v>Unnamed ProjectM1.ScheduledUtilizationScheduled UtilizationResource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10</v>
      </c>
      <c r="K5" cm="1">
        <f t="array" ref="K5">IFERROR(AVERAGE(IF((OutputTable[GroupByKey]=OutputTable[[#This Row],[GroupByKey]]),(OutputTable[GroupByKey]=OutputTable[[#This Row],[GroupByKey]])*OutputTable[RecordedValue])),0)</f>
        <v>0.35418637725041224</v>
      </c>
      <c r="L5" cm="1">
        <f t="array" ref="L5">IFERROR(_xlfn.STDEV.S(IF((OutputTable[GroupByKey]=OutputTable[[#This Row],[GroupByKey]]),(OutputTable[GroupByKey]=OutputTable[[#This Row],[GroupByKey]])*OutputTable[RecordedValue])),0)</f>
        <v>3.3453936231241439E-2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2.3931504314920794E-2</v>
      </c>
      <c r="O5" cm="1">
        <f t="array" ref="O5">MIN(IF((OutputTable[GroupByKey]=OutputTable[[#This Row],[GroupByKey]]),(OutputTable[GroupByKey]=OutputTable[[#This Row],[GroupByKey]])*OutputTable[RecordedValue]))</f>
        <v>0.29539806709730798</v>
      </c>
      <c r="P5" cm="1">
        <f t="array" ref="P5">MAX(IF((OutputTable[GroupByKey]=OutputTable[[#This Row],[GroupByKey]]),(OutputTable[GroupByKey]=OutputTable[[#This Row],[GroupByKey]])*OutputTable[RecordedValue]))</f>
        <v>0.39865120046345498</v>
      </c>
    </row>
    <row r="6" spans="1:16" x14ac:dyDescent="0.4">
      <c r="A6" t="s">
        <v>66</v>
      </c>
      <c r="B6" t="s">
        <v>69</v>
      </c>
      <c r="C6">
        <v>1</v>
      </c>
      <c r="D6" t="s">
        <v>115</v>
      </c>
      <c r="E6" t="s">
        <v>112</v>
      </c>
      <c r="F6" t="s">
        <v>97</v>
      </c>
      <c r="G6">
        <v>122</v>
      </c>
      <c r="H6">
        <v>0</v>
      </c>
      <c r="I6" t="str">
        <f>OutputTable[[#This Row],[ProjectName]]&amp;OutputTable[[#This Row],[Name]]&amp;OutputTable[[#This Row],[Type]]&amp;OutputTable[[#This Row],[Source]]</f>
        <v>Unnamed ProjectM2.NumberSeizedTotal Number SeizedResource</v>
      </c>
      <c r="J6" cm="1">
        <f t="array" ref="J6">MAX(IF((ProjectInfoTable[ProjectName]=OutputTable[[#This Row],[ProjectName]]),(ProjectInfoTable[ProjectName]=OutputTable[[#This Row],[ProjectName]])*ProjectInfoTable[NumberOfReplications]))</f>
        <v>10</v>
      </c>
      <c r="K6" cm="1">
        <f t="array" ref="K6">IFERROR(AVERAGE(IF((OutputTable[GroupByKey]=OutputTable[[#This Row],[GroupByKey]]),(OutputTable[GroupByKey]=OutputTable[[#This Row],[GroupByKey]])*OutputTable[RecordedValue])),0)</f>
        <v>118.9</v>
      </c>
      <c r="L6" cm="1">
        <f t="array" ref="L6">IFERROR(_xlfn.STDEV.S(IF((OutputTable[GroupByKey]=OutputTable[[#This Row],[GroupByKey]]),(OutputTable[GroupByKey]=OutputTable[[#This Row],[GroupByKey]])*OutputTable[RecordedValue])),0)</f>
        <v>10.482260146446366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7.4985571859414781</v>
      </c>
      <c r="O6" cm="1">
        <f t="array" ref="O6">MIN(IF((OutputTable[GroupByKey]=OutputTable[[#This Row],[GroupByKey]]),(OutputTable[GroupByKey]=OutputTable[[#This Row],[GroupByKey]])*OutputTable[RecordedValue]))</f>
        <v>101</v>
      </c>
      <c r="P6" cm="1">
        <f t="array" ref="P6">MAX(IF((OutputTable[GroupByKey]=OutputTable[[#This Row],[GroupByKey]]),(OutputTable[GroupByKey]=OutputTable[[#This Row],[GroupByKey]])*OutputTable[RecordedValue]))</f>
        <v>134</v>
      </c>
    </row>
    <row r="7" spans="1:16" x14ac:dyDescent="0.4">
      <c r="A7" t="s">
        <v>66</v>
      </c>
      <c r="B7" t="s">
        <v>69</v>
      </c>
      <c r="C7">
        <v>1</v>
      </c>
      <c r="D7" t="s">
        <v>116</v>
      </c>
      <c r="E7" t="s">
        <v>114</v>
      </c>
      <c r="F7" t="s">
        <v>97</v>
      </c>
      <c r="G7">
        <v>0.80516328442467799</v>
      </c>
      <c r="H7">
        <v>0</v>
      </c>
      <c r="I7" t="str">
        <f>OutputTable[[#This Row],[ProjectName]]&amp;OutputTable[[#This Row],[Name]]&amp;OutputTable[[#This Row],[Type]]&amp;OutputTable[[#This Row],[Source]]</f>
        <v>Unnamed ProjectM2.ScheduledUtilizationScheduled UtilizationResource</v>
      </c>
      <c r="J7" cm="1">
        <f t="array" ref="J7">MAX(IF((ProjectInfoTable[ProjectName]=OutputTable[[#This Row],[ProjectName]]),(ProjectInfoTable[ProjectName]=OutputTable[[#This Row],[ProjectName]])*ProjectInfoTable[NumberOfReplications]))</f>
        <v>10</v>
      </c>
      <c r="K7" cm="1">
        <f t="array" ref="K7">IFERROR(AVERAGE(IF((OutputTable[GroupByKey]=OutputTable[[#This Row],[GroupByKey]]),(OutputTable[GroupByKey]=OutputTable[[#This Row],[GroupByKey]])*OutputTable[RecordedValue])),0)</f>
        <v>0.79069410142096264</v>
      </c>
      <c r="L7" cm="1">
        <f t="array" ref="L7">IFERROR(_xlfn.STDEV.S(IF((OutputTable[GroupByKey]=OutputTable[[#This Row],[GroupByKey]]),(OutputTable[GroupByKey]=OutputTable[[#This Row],[GroupByKey]])*OutputTable[RecordedValue])),0)</f>
        <v>8.4677985904895448E-2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6.0574982000753563E-2</v>
      </c>
      <c r="O7" cm="1">
        <f t="array" ref="O7">MIN(IF((OutputTable[GroupByKey]=OutputTable[[#This Row],[GroupByKey]]),(OutputTable[GroupByKey]=OutputTable[[#This Row],[GroupByKey]])*OutputTable[RecordedValue]))</f>
        <v>0.62412916158771403</v>
      </c>
      <c r="P7" cm="1">
        <f t="array" ref="P7">MAX(IF((OutputTable[GroupByKey]=OutputTable[[#This Row],[GroupByKey]]),(OutputTable[GroupByKey]=OutputTable[[#This Row],[GroupByKey]])*OutputTable[RecordedValue]))</f>
        <v>0.92247891730008102</v>
      </c>
    </row>
    <row r="8" spans="1:16" x14ac:dyDescent="0.4">
      <c r="A8" t="s">
        <v>66</v>
      </c>
      <c r="B8" t="s">
        <v>69</v>
      </c>
      <c r="C8">
        <v>1</v>
      </c>
      <c r="D8" t="s">
        <v>117</v>
      </c>
      <c r="E8" t="s">
        <v>112</v>
      </c>
      <c r="F8" t="s">
        <v>97</v>
      </c>
      <c r="G8">
        <v>174</v>
      </c>
      <c r="H8">
        <v>0</v>
      </c>
      <c r="I8" t="str">
        <f>OutputTable[[#This Row],[ProjectName]]&amp;OutputTable[[#This Row],[Name]]&amp;OutputTable[[#This Row],[Type]]&amp;OutputTable[[#This Row],[Source]]</f>
        <v>Unnamed ProjectM3.NumberSeizedTotal Number SeizedResource</v>
      </c>
      <c r="J8" cm="1">
        <f t="array" ref="J8">MAX(IF((ProjectInfoTable[ProjectName]=OutputTable[[#This Row],[ProjectName]]),(ProjectInfoTable[ProjectName]=OutputTable[[#This Row],[ProjectName]])*ProjectInfoTable[NumberOfReplications]))</f>
        <v>10</v>
      </c>
      <c r="K8" cm="1">
        <f t="array" ref="K8">IFERROR(AVERAGE(IF((OutputTable[GroupByKey]=OutputTable[[#This Row],[GroupByKey]]),(OutputTable[GroupByKey]=OutputTable[[#This Row],[GroupByKey]])*OutputTable[RecordedValue])),0)</f>
        <v>176.2</v>
      </c>
      <c r="L8" cm="1">
        <f t="array" ref="L8">IFERROR(_xlfn.STDEV.S(IF((OutputTable[GroupByKey]=OutputTable[[#This Row],[GroupByKey]]),(OutputTable[GroupByKey]=OutputTable[[#This Row],[GroupByKey]])*OutputTable[RecordedValue])),0)</f>
        <v>14.778362561528933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10.571803717328045</v>
      </c>
      <c r="O8" cm="1">
        <f t="array" ref="O8">MIN(IF((OutputTable[GroupByKey]=OutputTable[[#This Row],[GroupByKey]]),(OutputTable[GroupByKey]=OutputTable[[#This Row],[GroupByKey]])*OutputTable[RecordedValue]))</f>
        <v>149</v>
      </c>
      <c r="P8" cm="1">
        <f t="array" ref="P8">MAX(IF((OutputTable[GroupByKey]=OutputTable[[#This Row],[GroupByKey]]),(OutputTable[GroupByKey]=OutputTable[[#This Row],[GroupByKey]])*OutputTable[RecordedValue]))</f>
        <v>198</v>
      </c>
    </row>
    <row r="9" spans="1:16" x14ac:dyDescent="0.4">
      <c r="A9" t="s">
        <v>66</v>
      </c>
      <c r="B9" t="s">
        <v>69</v>
      </c>
      <c r="C9">
        <v>1</v>
      </c>
      <c r="D9" t="s">
        <v>118</v>
      </c>
      <c r="E9" t="s">
        <v>114</v>
      </c>
      <c r="F9" t="s">
        <v>97</v>
      </c>
      <c r="G9">
        <v>0.365889664505329</v>
      </c>
      <c r="H9">
        <v>0</v>
      </c>
      <c r="I9" t="str">
        <f>OutputTable[[#This Row],[ProjectName]]&amp;OutputTable[[#This Row],[Name]]&amp;OutputTable[[#This Row],[Type]]&amp;OutputTable[[#This Row],[Source]]</f>
        <v>Unnamed ProjectM3.ScheduledUtilizationScheduled UtilizationResource</v>
      </c>
      <c r="J9" cm="1">
        <f t="array" ref="J9">MAX(IF((ProjectInfoTable[ProjectName]=OutputTable[[#This Row],[ProjectName]]),(ProjectInfoTable[ProjectName]=OutputTable[[#This Row],[ProjectName]])*ProjectInfoTable[NumberOfReplications]))</f>
        <v>10</v>
      </c>
      <c r="K9" cm="1">
        <f t="array" ref="K9">IFERROR(AVERAGE(IF((OutputTable[GroupByKey]=OutputTable[[#This Row],[GroupByKey]]),(OutputTable[GroupByKey]=OutputTable[[#This Row],[GroupByKey]])*OutputTable[RecordedValue])),0)</f>
        <v>0.38204498745219106</v>
      </c>
      <c r="L9" cm="1">
        <f t="array" ref="L9">IFERROR(_xlfn.STDEV.S(IF((OutputTable[GroupByKey]=OutputTable[[#This Row],[GroupByKey]]),(OutputTable[GroupByKey]=OutputTable[[#This Row],[GroupByKey]])*OutputTable[RecordedValue])),0)</f>
        <v>2.9603647703352595E-2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2.1177173826515884E-2</v>
      </c>
      <c r="O9" cm="1">
        <f t="array" ref="O9">MIN(IF((OutputTable[GroupByKey]=OutputTable[[#This Row],[GroupByKey]]),(OutputTable[GroupByKey]=OutputTable[[#This Row],[GroupByKey]])*OutputTable[RecordedValue]))</f>
        <v>0.32566726436532201</v>
      </c>
      <c r="P9" cm="1">
        <f t="array" ref="P9">MAX(IF((OutputTable[GroupByKey]=OutputTable[[#This Row],[GroupByKey]]),(OutputTable[GroupByKey]=OutputTable[[#This Row],[GroupByKey]])*OutputTable[RecordedValue]))</f>
        <v>0.42511230467838501</v>
      </c>
    </row>
    <row r="10" spans="1:16" x14ac:dyDescent="0.4">
      <c r="A10" t="s">
        <v>66</v>
      </c>
      <c r="B10" t="s">
        <v>69</v>
      </c>
      <c r="C10">
        <v>1</v>
      </c>
      <c r="D10" t="s">
        <v>119</v>
      </c>
      <c r="E10" t="s">
        <v>112</v>
      </c>
      <c r="F10" t="s">
        <v>97</v>
      </c>
      <c r="G10">
        <v>162</v>
      </c>
      <c r="H10">
        <v>0</v>
      </c>
      <c r="I10" t="str">
        <f>OutputTable[[#This Row],[ProjectName]]&amp;OutputTable[[#This Row],[Name]]&amp;OutputTable[[#This Row],[Type]]&amp;OutputTable[[#This Row],[Source]]</f>
        <v>Unnamed ProjectM4.NumberSeizedTotal Number SeizedResource</v>
      </c>
      <c r="J10" cm="1">
        <f t="array" ref="J10">MAX(IF((ProjectInfoTable[ProjectName]=OutputTable[[#This Row],[ProjectName]]),(ProjectInfoTable[ProjectName]=OutputTable[[#This Row],[ProjectName]])*ProjectInfoTable[NumberOfReplications]))</f>
        <v>10</v>
      </c>
      <c r="K10" cm="1">
        <f t="array" ref="K10">IFERROR(AVERAGE(IF((OutputTable[GroupByKey]=OutputTable[[#This Row],[GroupByKey]]),(OutputTable[GroupByKey]=OutputTable[[#This Row],[GroupByKey]])*OutputTable[RecordedValue])),0)</f>
        <v>165.9</v>
      </c>
      <c r="L10" cm="1">
        <f t="array" ref="L10">IFERROR(_xlfn.STDEV.S(IF((OutputTable[GroupByKey]=OutputTable[[#This Row],[GroupByKey]]),(OutputTable[GroupByKey]=OutputTable[[#This Row],[GroupByKey]])*OutputTable[RecordedValue])),0)</f>
        <v>13.795732029226366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9.8688721800277719</v>
      </c>
      <c r="O10" cm="1">
        <f t="array" ref="O10">MIN(IF((OutputTable[GroupByKey]=OutputTable[[#This Row],[GroupByKey]]),(OutputTable[GroupByKey]=OutputTable[[#This Row],[GroupByKey]])*OutputTable[RecordedValue]))</f>
        <v>139</v>
      </c>
      <c r="P10" cm="1">
        <f t="array" ref="P10">MAX(IF((OutputTable[GroupByKey]=OutputTable[[#This Row],[GroupByKey]]),(OutputTable[GroupByKey]=OutputTable[[#This Row],[GroupByKey]])*OutputTable[RecordedValue]))</f>
        <v>182</v>
      </c>
    </row>
    <row r="11" spans="1:16" x14ac:dyDescent="0.4">
      <c r="A11" t="s">
        <v>66</v>
      </c>
      <c r="B11" t="s">
        <v>69</v>
      </c>
      <c r="C11">
        <v>1</v>
      </c>
      <c r="D11" t="s">
        <v>120</v>
      </c>
      <c r="E11" t="s">
        <v>114</v>
      </c>
      <c r="F11" t="s">
        <v>97</v>
      </c>
      <c r="G11">
        <v>0.65457885237446001</v>
      </c>
      <c r="H11">
        <v>0</v>
      </c>
      <c r="I11" t="str">
        <f>OutputTable[[#This Row],[ProjectName]]&amp;OutputTable[[#This Row],[Name]]&amp;OutputTable[[#This Row],[Type]]&amp;OutputTable[[#This Row],[Source]]</f>
        <v>Unnamed ProjectM4.ScheduledUtilizationScheduled UtilizationResource</v>
      </c>
      <c r="J11" cm="1">
        <f t="array" ref="J11">MAX(IF((ProjectInfoTable[ProjectName]=OutputTable[[#This Row],[ProjectName]]),(ProjectInfoTable[ProjectName]=OutputTable[[#This Row],[ProjectName]])*ProjectInfoTable[NumberOfReplications]))</f>
        <v>10</v>
      </c>
      <c r="K11" cm="1">
        <f t="array" ref="K11">IFERROR(AVERAGE(IF((OutputTable[GroupByKey]=OutputTable[[#This Row],[GroupByKey]]),(OutputTable[GroupByKey]=OutputTable[[#This Row],[GroupByKey]])*OutputTable[RecordedValue])),0)</f>
        <v>0.68948907951108873</v>
      </c>
      <c r="L11" cm="1">
        <f t="array" ref="L11">IFERROR(_xlfn.STDEV.S(IF((OutputTable[GroupByKey]=OutputTable[[#This Row],[GroupByKey]]),(OutputTable[GroupByKey]=OutputTable[[#This Row],[GroupByKey]])*OutputTable[RecordedValue])),0)</f>
        <v>7.0099805521104841E-2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5.0146379986722875E-2</v>
      </c>
      <c r="O11" cm="1">
        <f t="array" ref="O11">MIN(IF((OutputTable[GroupByKey]=OutputTable[[#This Row],[GroupByKey]]),(OutputTable[GroupByKey]=OutputTable[[#This Row],[GroupByKey]])*OutputTable[RecordedValue]))</f>
        <v>0.59708526729729605</v>
      </c>
      <c r="P11" cm="1">
        <f t="array" ref="P11">MAX(IF((OutputTable[GroupByKey]=OutputTable[[#This Row],[GroupByKey]]),(OutputTable[GroupByKey]=OutputTable[[#This Row],[GroupByKey]])*OutputTable[RecordedValue]))</f>
        <v>0.81511052462014799</v>
      </c>
    </row>
    <row r="12" spans="1:16" x14ac:dyDescent="0.4">
      <c r="A12" t="s">
        <v>66</v>
      </c>
      <c r="B12" t="s">
        <v>69</v>
      </c>
      <c r="C12">
        <v>1</v>
      </c>
      <c r="D12" t="s">
        <v>121</v>
      </c>
      <c r="E12" t="s">
        <v>112</v>
      </c>
      <c r="F12" t="s">
        <v>97</v>
      </c>
      <c r="G12">
        <v>214</v>
      </c>
      <c r="H12">
        <v>0</v>
      </c>
      <c r="I12" t="str">
        <f>OutputTable[[#This Row],[ProjectName]]&amp;OutputTable[[#This Row],[Name]]&amp;OutputTable[[#This Row],[Type]]&amp;OutputTable[[#This Row],[Source]]</f>
        <v>Unnamed ProjectM5.NumberSeizedTotal Number SeizedResource</v>
      </c>
      <c r="J12" cm="1">
        <f t="array" ref="J12">MAX(IF((ProjectInfoTable[ProjectName]=OutputTable[[#This Row],[ProjectName]]),(ProjectInfoTable[ProjectName]=OutputTable[[#This Row],[ProjectName]])*ProjectInfoTable[NumberOfReplications]))</f>
        <v>10</v>
      </c>
      <c r="K12" cm="1">
        <f t="array" ref="K12">IFERROR(AVERAGE(IF((OutputTable[GroupByKey]=OutputTable[[#This Row],[GroupByKey]]),(OutputTable[GroupByKey]=OutputTable[[#This Row],[GroupByKey]])*OutputTable[RecordedValue])),0)</f>
        <v>220.6</v>
      </c>
      <c r="L12" cm="1">
        <f t="array" ref="L12">IFERROR(_xlfn.STDEV.S(IF((OutputTable[GroupByKey]=OutputTable[[#This Row],[GroupByKey]]),(OutputTable[GroupByKey]=OutputTable[[#This Row],[GroupByKey]])*OutputTable[RecordedValue])),0)</f>
        <v>15.763530343450636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11.276550293665537</v>
      </c>
      <c r="O12" cm="1">
        <f t="array" ref="O12">MIN(IF((OutputTable[GroupByKey]=OutputTable[[#This Row],[GroupByKey]]),(OutputTable[GroupByKey]=OutputTable[[#This Row],[GroupByKey]])*OutputTable[RecordedValue]))</f>
        <v>191</v>
      </c>
      <c r="P12" cm="1">
        <f t="array" ref="P12">MAX(IF((OutputTable[GroupByKey]=OutputTable[[#This Row],[GroupByKey]]),(OutputTable[GroupByKey]=OutputTable[[#This Row],[GroupByKey]])*OutputTable[RecordedValue]))</f>
        <v>238</v>
      </c>
    </row>
    <row r="13" spans="1:16" x14ac:dyDescent="0.4">
      <c r="A13" t="s">
        <v>66</v>
      </c>
      <c r="B13" t="s">
        <v>69</v>
      </c>
      <c r="C13">
        <v>1</v>
      </c>
      <c r="D13" t="s">
        <v>122</v>
      </c>
      <c r="E13" t="s">
        <v>114</v>
      </c>
      <c r="F13" t="s">
        <v>97</v>
      </c>
      <c r="G13">
        <v>0.35101185739494301</v>
      </c>
      <c r="H13">
        <v>0</v>
      </c>
      <c r="I13" t="str">
        <f>OutputTable[[#This Row],[ProjectName]]&amp;OutputTable[[#This Row],[Name]]&amp;OutputTable[[#This Row],[Type]]&amp;OutputTable[[#This Row],[Source]]</f>
        <v>Unnamed ProjectM5.ScheduledUtilizationScheduled UtilizationResource</v>
      </c>
      <c r="J13" cm="1">
        <f t="array" ref="J13">MAX(IF((ProjectInfoTable[ProjectName]=OutputTable[[#This Row],[ProjectName]]),(ProjectInfoTable[ProjectName]=OutputTable[[#This Row],[ProjectName]])*ProjectInfoTable[NumberOfReplications]))</f>
        <v>10</v>
      </c>
      <c r="K13" cm="1">
        <f t="array" ref="K13">IFERROR(AVERAGE(IF((OutputTable[GroupByKey]=OutputTable[[#This Row],[GroupByKey]]),(OutputTable[GroupByKey]=OutputTable[[#This Row],[GroupByKey]])*OutputTable[RecordedValue])),0)</f>
        <v>0.35254112855323727</v>
      </c>
      <c r="L13" cm="1">
        <f t="array" ref="L13">IFERROR(_xlfn.STDEV.S(IF((OutputTable[GroupByKey]=OutputTable[[#This Row],[GroupByKey]]),(OutputTable[GroupByKey]=OutputTable[[#This Row],[GroupByKey]])*OutputTable[RecordedValue])),0)</f>
        <v>2.0819740340978523E-2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1.4893545033435028E-2</v>
      </c>
      <c r="O13" cm="1">
        <f t="array" ref="O13">MIN(IF((OutputTable[GroupByKey]=OutputTable[[#This Row],[GroupByKey]]),(OutputTable[GroupByKey]=OutputTable[[#This Row],[GroupByKey]])*OutputTable[RecordedValue]))</f>
        <v>0.319082016284436</v>
      </c>
      <c r="P13" cm="1">
        <f t="array" ref="P13">MAX(IF((OutputTable[GroupByKey]=OutputTable[[#This Row],[GroupByKey]]),(OutputTable[GroupByKey]=OutputTable[[#This Row],[GroupByKey]])*OutputTable[RecordedValue]))</f>
        <v>0.391918845838306</v>
      </c>
    </row>
    <row r="14" spans="1:16" x14ac:dyDescent="0.4">
      <c r="A14" t="s">
        <v>66</v>
      </c>
      <c r="B14" t="s">
        <v>69</v>
      </c>
      <c r="C14">
        <v>1</v>
      </c>
      <c r="D14" t="s">
        <v>123</v>
      </c>
      <c r="E14" t="s">
        <v>110</v>
      </c>
      <c r="F14" t="s">
        <v>124</v>
      </c>
      <c r="G14">
        <v>214</v>
      </c>
      <c r="H14">
        <v>0</v>
      </c>
      <c r="I14" t="str">
        <f>OutputTable[[#This Row],[ProjectName]]&amp;OutputTable[[#This Row],[Name]]&amp;OutputTable[[#This Row],[Type]]&amp;OutputTable[[#This Row],[Source]]</f>
        <v>Unnamed ProjectSystem.NumberOutNumber OutSystem</v>
      </c>
      <c r="J14" cm="1">
        <f t="array" ref="J14">MAX(IF((ProjectInfoTable[ProjectName]=OutputTable[[#This Row],[ProjectName]]),(ProjectInfoTable[ProjectName]=OutputTable[[#This Row],[ProjectName]])*ProjectInfoTable[NumberOfReplications]))</f>
        <v>10</v>
      </c>
      <c r="K14" cm="1">
        <f t="array" ref="K14">IFERROR(AVERAGE(IF((OutputTable[GroupByKey]=OutputTable[[#This Row],[GroupByKey]]),(OutputTable[GroupByKey]=OutputTable[[#This Row],[GroupByKey]])*OutputTable[RecordedValue])),0)</f>
        <v>220.7</v>
      </c>
      <c r="L14" cm="1">
        <f t="array" ref="L14">IFERROR(_xlfn.STDEV.S(IF((OutputTable[GroupByKey]=OutputTable[[#This Row],[GroupByKey]]),(OutputTable[GroupByKey]=OutputTable[[#This Row],[GroupByKey]])*OutputTable[RecordedValue])),0)</f>
        <v>15.606622525923623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11.164305202796802</v>
      </c>
      <c r="O14" cm="1">
        <f t="array" ref="O14">MIN(IF((OutputTable[GroupByKey]=OutputTable[[#This Row],[GroupByKey]]),(OutputTable[GroupByKey]=OutputTable[[#This Row],[GroupByKey]])*OutputTable[RecordedValue]))</f>
        <v>190</v>
      </c>
      <c r="P14" cm="1">
        <f t="array" ref="P14">MAX(IF((OutputTable[GroupByKey]=OutputTable[[#This Row],[GroupByKey]]),(OutputTable[GroupByKey]=OutputTable[[#This Row],[GroupByKey]])*OutputTable[RecordedValue]))</f>
        <v>237</v>
      </c>
    </row>
    <row r="15" spans="1:16" x14ac:dyDescent="0.4">
      <c r="A15" t="s">
        <v>66</v>
      </c>
      <c r="B15" t="s">
        <v>69</v>
      </c>
      <c r="C15">
        <v>2</v>
      </c>
      <c r="D15" t="s">
        <v>107</v>
      </c>
      <c r="E15" t="s">
        <v>108</v>
      </c>
      <c r="F15" t="s">
        <v>72</v>
      </c>
      <c r="G15">
        <v>223</v>
      </c>
      <c r="H15">
        <v>0</v>
      </c>
      <c r="I15" t="str">
        <f>OutputTable[[#This Row],[ProjectName]]&amp;OutputTable[[#This Row],[Name]]&amp;OutputTable[[#This Row],[Type]]&amp;OutputTable[[#This Row],[Source]]</f>
        <v>Unnamed ProjectEntity 1.NumberInNumber InEntity</v>
      </c>
      <c r="J15" cm="1">
        <f t="array" ref="J15">MAX(IF((ProjectInfoTable[ProjectName]=OutputTable[[#This Row],[ProjectName]]),(ProjectInfoTable[ProjectName]=OutputTable[[#This Row],[ProjectName]])*ProjectInfoTable[NumberOfReplications]))</f>
        <v>10</v>
      </c>
      <c r="K15" cm="1">
        <f t="array" ref="K15">IFERROR(AVERAGE(IF((OutputTable[GroupByKey]=OutputTable[[#This Row],[GroupByKey]]),(OutputTable[GroupByKey]=OutputTable[[#This Row],[GroupByKey]])*OutputTable[RecordedValue])),0)</f>
        <v>221.9</v>
      </c>
      <c r="L15" cm="1">
        <f t="array" ref="L15">IFERROR(_xlfn.STDEV.S(IF((OutputTable[GroupByKey]=OutputTable[[#This Row],[GroupByKey]]),(OutputTable[GroupByKey]=OutputTable[[#This Row],[GroupByKey]])*OutputTable[RecordedValue])),0)</f>
        <v>15.029230777979883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10.751264028454774</v>
      </c>
      <c r="O15" cm="1">
        <f t="array" ref="O15">MIN(IF((OutputTable[GroupByKey]=OutputTable[[#This Row],[GroupByKey]]),(OutputTable[GroupByKey]=OutputTable[[#This Row],[GroupByKey]])*OutputTable[RecordedValue]))</f>
        <v>196</v>
      </c>
      <c r="P15" cm="1">
        <f t="array" ref="P15">MAX(IF((OutputTable[GroupByKey]=OutputTable[[#This Row],[GroupByKey]]),(OutputTable[GroupByKey]=OutputTable[[#This Row],[GroupByKey]])*OutputTable[RecordedValue]))</f>
        <v>237</v>
      </c>
    </row>
    <row r="16" spans="1:16" x14ac:dyDescent="0.4">
      <c r="A16" t="s">
        <v>66</v>
      </c>
      <c r="B16" t="s">
        <v>69</v>
      </c>
      <c r="C16">
        <v>2</v>
      </c>
      <c r="D16" t="s">
        <v>109</v>
      </c>
      <c r="E16" t="s">
        <v>110</v>
      </c>
      <c r="F16" t="s">
        <v>72</v>
      </c>
      <c r="G16">
        <v>225</v>
      </c>
      <c r="H16">
        <v>0</v>
      </c>
      <c r="I16" t="str">
        <f>OutputTable[[#This Row],[ProjectName]]&amp;OutputTable[[#This Row],[Name]]&amp;OutputTable[[#This Row],[Type]]&amp;OutputTable[[#This Row],[Source]]</f>
        <v>Unnamed ProjectEntity 1.NumberOutNumber OutEntity</v>
      </c>
      <c r="J16" cm="1">
        <f t="array" ref="J16">MAX(IF((ProjectInfoTable[ProjectName]=OutputTable[[#This Row],[ProjectName]]),(ProjectInfoTable[ProjectName]=OutputTable[[#This Row],[ProjectName]])*ProjectInfoTable[NumberOfReplications]))</f>
        <v>10</v>
      </c>
      <c r="K16" cm="1">
        <f t="array" ref="K16">IFERROR(AVERAGE(IF((OutputTable[GroupByKey]=OutputTable[[#This Row],[GroupByKey]]),(OutputTable[GroupByKey]=OutputTable[[#This Row],[GroupByKey]])*OutputTable[RecordedValue])),0)</f>
        <v>220.7</v>
      </c>
      <c r="L16" cm="1">
        <f t="array" ref="L16">IFERROR(_xlfn.STDEV.S(IF((OutputTable[GroupByKey]=OutputTable[[#This Row],[GroupByKey]]),(OutputTable[GroupByKey]=OutputTable[[#This Row],[GroupByKey]])*OutputTable[RecordedValue])),0)</f>
        <v>15.606622525923623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11.164305202796802</v>
      </c>
      <c r="O16" cm="1">
        <f t="array" ref="O16">MIN(IF((OutputTable[GroupByKey]=OutputTable[[#This Row],[GroupByKey]]),(OutputTable[GroupByKey]=OutputTable[[#This Row],[GroupByKey]])*OutputTable[RecordedValue]))</f>
        <v>190</v>
      </c>
      <c r="P16" cm="1">
        <f t="array" ref="P16">MAX(IF((OutputTable[GroupByKey]=OutputTable[[#This Row],[GroupByKey]]),(OutputTable[GroupByKey]=OutputTable[[#This Row],[GroupByKey]])*OutputTable[RecordedValue]))</f>
        <v>237</v>
      </c>
    </row>
    <row r="17" spans="1:16" x14ac:dyDescent="0.4">
      <c r="A17" t="s">
        <v>66</v>
      </c>
      <c r="B17" t="s">
        <v>69</v>
      </c>
      <c r="C17">
        <v>2</v>
      </c>
      <c r="D17" t="s">
        <v>111</v>
      </c>
      <c r="E17" t="s">
        <v>112</v>
      </c>
      <c r="F17" t="s">
        <v>97</v>
      </c>
      <c r="G17">
        <v>181</v>
      </c>
      <c r="H17">
        <v>0</v>
      </c>
      <c r="I17" t="str">
        <f>OutputTable[[#This Row],[ProjectName]]&amp;OutputTable[[#This Row],[Name]]&amp;OutputTable[[#This Row],[Type]]&amp;OutputTable[[#This Row],[Source]]</f>
        <v>Unnamed ProjectM1.NumberSeizedTotal Number SeizedResource</v>
      </c>
      <c r="J17" cm="1">
        <f t="array" ref="J17">MAX(IF((ProjectInfoTable[ProjectName]=OutputTable[[#This Row],[ProjectName]]),(ProjectInfoTable[ProjectName]=OutputTable[[#This Row],[ProjectName]])*ProjectInfoTable[NumberOfReplications]))</f>
        <v>10</v>
      </c>
      <c r="K17" cm="1">
        <f t="array" ref="K17">IFERROR(AVERAGE(IF((OutputTable[GroupByKey]=OutputTable[[#This Row],[GroupByKey]]),(OutputTable[GroupByKey]=OutputTable[[#This Row],[GroupByKey]])*OutputTable[RecordedValue])),0)</f>
        <v>166.8</v>
      </c>
      <c r="L17" cm="1">
        <f t="array" ref="L17">IFERROR(_xlfn.STDEV.S(IF((OutputTable[GroupByKey]=OutputTable[[#This Row],[GroupByKey]]),(OutputTable[GroupByKey]=OutputTable[[#This Row],[GroupByKey]])*OutputTable[RecordedValue])),0)</f>
        <v>13.612086132877977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9.7374998198217781</v>
      </c>
      <c r="O17" cm="1">
        <f t="array" ref="O17">MIN(IF((OutputTable[GroupByKey]=OutputTable[[#This Row],[GroupByKey]]),(OutputTable[GroupByKey]=OutputTable[[#This Row],[GroupByKey]])*OutputTable[RecordedValue]))</f>
        <v>142</v>
      </c>
      <c r="P17" cm="1">
        <f t="array" ref="P17">MAX(IF((OutputTable[GroupByKey]=OutputTable[[#This Row],[GroupByKey]]),(OutputTable[GroupByKey]=OutputTable[[#This Row],[GroupByKey]])*OutputTable[RecordedValue]))</f>
        <v>181</v>
      </c>
    </row>
    <row r="18" spans="1:16" x14ac:dyDescent="0.4">
      <c r="A18" t="s">
        <v>66</v>
      </c>
      <c r="B18" t="s">
        <v>69</v>
      </c>
      <c r="C18">
        <v>2</v>
      </c>
      <c r="D18" t="s">
        <v>113</v>
      </c>
      <c r="E18" t="s">
        <v>114</v>
      </c>
      <c r="F18" t="s">
        <v>97</v>
      </c>
      <c r="G18">
        <v>0.39865120046345498</v>
      </c>
      <c r="H18">
        <v>0</v>
      </c>
      <c r="I18" t="str">
        <f>OutputTable[[#This Row],[ProjectName]]&amp;OutputTable[[#This Row],[Name]]&amp;OutputTable[[#This Row],[Type]]&amp;OutputTable[[#This Row],[Source]]</f>
        <v>Unnamed ProjectM1.ScheduledUtilizationScheduled UtilizationResource</v>
      </c>
      <c r="J18" cm="1">
        <f t="array" ref="J18">MAX(IF((ProjectInfoTable[ProjectName]=OutputTable[[#This Row],[ProjectName]]),(ProjectInfoTable[ProjectName]=OutputTable[[#This Row],[ProjectName]])*ProjectInfoTable[NumberOfReplications]))</f>
        <v>10</v>
      </c>
      <c r="K18" cm="1">
        <f t="array" ref="K18">IFERROR(AVERAGE(IF((OutputTable[GroupByKey]=OutputTable[[#This Row],[GroupByKey]]),(OutputTable[GroupByKey]=OutputTable[[#This Row],[GroupByKey]])*OutputTable[RecordedValue])),0)</f>
        <v>0.35418637725041224</v>
      </c>
      <c r="L18" cm="1">
        <f t="array" ref="L18">IFERROR(_xlfn.STDEV.S(IF((OutputTable[GroupByKey]=OutputTable[[#This Row],[GroupByKey]]),(OutputTable[GroupByKey]=OutputTable[[#This Row],[GroupByKey]])*OutputTable[RecordedValue])),0)</f>
        <v>3.3453936231241439E-2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2.3931504314920794E-2</v>
      </c>
      <c r="O18" cm="1">
        <f t="array" ref="O18">MIN(IF((OutputTable[GroupByKey]=OutputTable[[#This Row],[GroupByKey]]),(OutputTable[GroupByKey]=OutputTable[[#This Row],[GroupByKey]])*OutputTable[RecordedValue]))</f>
        <v>0.29539806709730798</v>
      </c>
      <c r="P18" cm="1">
        <f t="array" ref="P18">MAX(IF((OutputTable[GroupByKey]=OutputTable[[#This Row],[GroupByKey]]),(OutputTable[GroupByKey]=OutputTable[[#This Row],[GroupByKey]])*OutputTable[RecordedValue]))</f>
        <v>0.39865120046345498</v>
      </c>
    </row>
    <row r="19" spans="1:16" x14ac:dyDescent="0.4">
      <c r="A19" t="s">
        <v>66</v>
      </c>
      <c r="B19" t="s">
        <v>69</v>
      </c>
      <c r="C19">
        <v>2</v>
      </c>
      <c r="D19" t="s">
        <v>115</v>
      </c>
      <c r="E19" t="s">
        <v>112</v>
      </c>
      <c r="F19" t="s">
        <v>97</v>
      </c>
      <c r="G19">
        <v>110</v>
      </c>
      <c r="H19">
        <v>0</v>
      </c>
      <c r="I19" t="str">
        <f>OutputTable[[#This Row],[ProjectName]]&amp;OutputTable[[#This Row],[Name]]&amp;OutputTable[[#This Row],[Type]]&amp;OutputTable[[#This Row],[Source]]</f>
        <v>Unnamed ProjectM2.NumberSeizedTotal Number SeizedResource</v>
      </c>
      <c r="J19" cm="1">
        <f t="array" ref="J19">MAX(IF((ProjectInfoTable[ProjectName]=OutputTable[[#This Row],[ProjectName]]),(ProjectInfoTable[ProjectName]=OutputTable[[#This Row],[ProjectName]])*ProjectInfoTable[NumberOfReplications]))</f>
        <v>10</v>
      </c>
      <c r="K19" cm="1">
        <f t="array" ref="K19">IFERROR(AVERAGE(IF((OutputTable[GroupByKey]=OutputTable[[#This Row],[GroupByKey]]),(OutputTable[GroupByKey]=OutputTable[[#This Row],[GroupByKey]])*OutputTable[RecordedValue])),0)</f>
        <v>118.9</v>
      </c>
      <c r="L19" cm="1">
        <f t="array" ref="L19">IFERROR(_xlfn.STDEV.S(IF((OutputTable[GroupByKey]=OutputTable[[#This Row],[GroupByKey]]),(OutputTable[GroupByKey]=OutputTable[[#This Row],[GroupByKey]])*OutputTable[RecordedValue])),0)</f>
        <v>10.482260146446366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7.4985571859414781</v>
      </c>
      <c r="O19" cm="1">
        <f t="array" ref="O19">MIN(IF((OutputTable[GroupByKey]=OutputTable[[#This Row],[GroupByKey]]),(OutputTable[GroupByKey]=OutputTable[[#This Row],[GroupByKey]])*OutputTable[RecordedValue]))</f>
        <v>101</v>
      </c>
      <c r="P19" cm="1">
        <f t="array" ref="P19">MAX(IF((OutputTable[GroupByKey]=OutputTable[[#This Row],[GroupByKey]]),(OutputTable[GroupByKey]=OutputTable[[#This Row],[GroupByKey]])*OutputTable[RecordedValue]))</f>
        <v>134</v>
      </c>
    </row>
    <row r="20" spans="1:16" x14ac:dyDescent="0.4">
      <c r="A20" t="s">
        <v>66</v>
      </c>
      <c r="B20" t="s">
        <v>69</v>
      </c>
      <c r="C20">
        <v>2</v>
      </c>
      <c r="D20" t="s">
        <v>116</v>
      </c>
      <c r="E20" t="s">
        <v>114</v>
      </c>
      <c r="F20" t="s">
        <v>97</v>
      </c>
      <c r="G20">
        <v>0.82897598860260902</v>
      </c>
      <c r="H20">
        <v>0</v>
      </c>
      <c r="I20" t="str">
        <f>OutputTable[[#This Row],[ProjectName]]&amp;OutputTable[[#This Row],[Name]]&amp;OutputTable[[#This Row],[Type]]&amp;OutputTable[[#This Row],[Source]]</f>
        <v>Unnamed ProjectM2.ScheduledUtilizationScheduled UtilizationResource</v>
      </c>
      <c r="J20" cm="1">
        <f t="array" ref="J20">MAX(IF((ProjectInfoTable[ProjectName]=OutputTable[[#This Row],[ProjectName]]),(ProjectInfoTable[ProjectName]=OutputTable[[#This Row],[ProjectName]])*ProjectInfoTable[NumberOfReplications]))</f>
        <v>10</v>
      </c>
      <c r="K20" cm="1">
        <f t="array" ref="K20">IFERROR(AVERAGE(IF((OutputTable[GroupByKey]=OutputTable[[#This Row],[GroupByKey]]),(OutputTable[GroupByKey]=OutputTable[[#This Row],[GroupByKey]])*OutputTable[RecordedValue])),0)</f>
        <v>0.79069410142096264</v>
      </c>
      <c r="L20" cm="1">
        <f t="array" ref="L20">IFERROR(_xlfn.STDEV.S(IF((OutputTable[GroupByKey]=OutputTable[[#This Row],[GroupByKey]]),(OutputTable[GroupByKey]=OutputTable[[#This Row],[GroupByKey]])*OutputTable[RecordedValue])),0)</f>
        <v>8.4677985904895448E-2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6.0574982000753563E-2</v>
      </c>
      <c r="O20" cm="1">
        <f t="array" ref="O20">MIN(IF((OutputTable[GroupByKey]=OutputTable[[#This Row],[GroupByKey]]),(OutputTable[GroupByKey]=OutputTable[[#This Row],[GroupByKey]])*OutputTable[RecordedValue]))</f>
        <v>0.62412916158771403</v>
      </c>
      <c r="P20" cm="1">
        <f t="array" ref="P20">MAX(IF((OutputTable[GroupByKey]=OutputTable[[#This Row],[GroupByKey]]),(OutputTable[GroupByKey]=OutputTable[[#This Row],[GroupByKey]])*OutputTable[RecordedValue]))</f>
        <v>0.92247891730008102</v>
      </c>
    </row>
    <row r="21" spans="1:16" x14ac:dyDescent="0.4">
      <c r="A21" t="s">
        <v>66</v>
      </c>
      <c r="B21" t="s">
        <v>69</v>
      </c>
      <c r="C21">
        <v>2</v>
      </c>
      <c r="D21" t="s">
        <v>117</v>
      </c>
      <c r="E21" t="s">
        <v>112</v>
      </c>
      <c r="F21" t="s">
        <v>97</v>
      </c>
      <c r="G21">
        <v>172</v>
      </c>
      <c r="H21">
        <v>0</v>
      </c>
      <c r="I21" t="str">
        <f>OutputTable[[#This Row],[ProjectName]]&amp;OutputTable[[#This Row],[Name]]&amp;OutputTable[[#This Row],[Type]]&amp;OutputTable[[#This Row],[Source]]</f>
        <v>Unnamed ProjectM3.NumberSeizedTotal Number SeizedResource</v>
      </c>
      <c r="J21" cm="1">
        <f t="array" ref="J21">MAX(IF((ProjectInfoTable[ProjectName]=OutputTable[[#This Row],[ProjectName]]),(ProjectInfoTable[ProjectName]=OutputTable[[#This Row],[ProjectName]])*ProjectInfoTable[NumberOfReplications]))</f>
        <v>10</v>
      </c>
      <c r="K21" cm="1">
        <f t="array" ref="K21">IFERROR(AVERAGE(IF((OutputTable[GroupByKey]=OutputTable[[#This Row],[GroupByKey]]),(OutputTable[GroupByKey]=OutputTable[[#This Row],[GroupByKey]])*OutputTable[RecordedValue])),0)</f>
        <v>176.2</v>
      </c>
      <c r="L21" cm="1">
        <f t="array" ref="L21">IFERROR(_xlfn.STDEV.S(IF((OutputTable[GroupByKey]=OutputTable[[#This Row],[GroupByKey]]),(OutputTable[GroupByKey]=OutputTable[[#This Row],[GroupByKey]])*OutputTable[RecordedValue])),0)</f>
        <v>14.778362561528933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10.571803717328045</v>
      </c>
      <c r="O21" cm="1">
        <f t="array" ref="O21">MIN(IF((OutputTable[GroupByKey]=OutputTable[[#This Row],[GroupByKey]]),(OutputTable[GroupByKey]=OutputTable[[#This Row],[GroupByKey]])*OutputTable[RecordedValue]))</f>
        <v>149</v>
      </c>
      <c r="P21" cm="1">
        <f t="array" ref="P21">MAX(IF((OutputTable[GroupByKey]=OutputTable[[#This Row],[GroupByKey]]),(OutputTable[GroupByKey]=OutputTable[[#This Row],[GroupByKey]])*OutputTable[RecordedValue]))</f>
        <v>198</v>
      </c>
    </row>
    <row r="22" spans="1:16" x14ac:dyDescent="0.4">
      <c r="A22" t="s">
        <v>66</v>
      </c>
      <c r="B22" t="s">
        <v>69</v>
      </c>
      <c r="C22">
        <v>2</v>
      </c>
      <c r="D22" t="s">
        <v>118</v>
      </c>
      <c r="E22" t="s">
        <v>114</v>
      </c>
      <c r="F22" t="s">
        <v>97</v>
      </c>
      <c r="G22">
        <v>0.38473638633557899</v>
      </c>
      <c r="H22">
        <v>0</v>
      </c>
      <c r="I22" t="str">
        <f>OutputTable[[#This Row],[ProjectName]]&amp;OutputTable[[#This Row],[Name]]&amp;OutputTable[[#This Row],[Type]]&amp;OutputTable[[#This Row],[Source]]</f>
        <v>Unnamed ProjectM3.ScheduledUtilizationScheduled UtilizationResource</v>
      </c>
      <c r="J22" cm="1">
        <f t="array" ref="J22">MAX(IF((ProjectInfoTable[ProjectName]=OutputTable[[#This Row],[ProjectName]]),(ProjectInfoTable[ProjectName]=OutputTable[[#This Row],[ProjectName]])*ProjectInfoTable[NumberOfReplications]))</f>
        <v>10</v>
      </c>
      <c r="K22" cm="1">
        <f t="array" ref="K22">IFERROR(AVERAGE(IF((OutputTable[GroupByKey]=OutputTable[[#This Row],[GroupByKey]]),(OutputTable[GroupByKey]=OutputTable[[#This Row],[GroupByKey]])*OutputTable[RecordedValue])),0)</f>
        <v>0.38204498745219106</v>
      </c>
      <c r="L22" cm="1">
        <f t="array" ref="L22">IFERROR(_xlfn.STDEV.S(IF((OutputTable[GroupByKey]=OutputTable[[#This Row],[GroupByKey]]),(OutputTable[GroupByKey]=OutputTable[[#This Row],[GroupByKey]])*OutputTable[RecordedValue])),0)</f>
        <v>2.9603647703352595E-2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2.1177173826515884E-2</v>
      </c>
      <c r="O22" cm="1">
        <f t="array" ref="O22">MIN(IF((OutputTable[GroupByKey]=OutputTable[[#This Row],[GroupByKey]]),(OutputTable[GroupByKey]=OutputTable[[#This Row],[GroupByKey]])*OutputTable[RecordedValue]))</f>
        <v>0.32566726436532201</v>
      </c>
      <c r="P22" cm="1">
        <f t="array" ref="P22">MAX(IF((OutputTable[GroupByKey]=OutputTable[[#This Row],[GroupByKey]]),(OutputTable[GroupByKey]=OutputTable[[#This Row],[GroupByKey]])*OutputTable[RecordedValue]))</f>
        <v>0.42511230467838501</v>
      </c>
    </row>
    <row r="23" spans="1:16" x14ac:dyDescent="0.4">
      <c r="A23" t="s">
        <v>66</v>
      </c>
      <c r="B23" t="s">
        <v>69</v>
      </c>
      <c r="C23">
        <v>2</v>
      </c>
      <c r="D23" t="s">
        <v>119</v>
      </c>
      <c r="E23" t="s">
        <v>112</v>
      </c>
      <c r="F23" t="s">
        <v>97</v>
      </c>
      <c r="G23">
        <v>182</v>
      </c>
      <c r="H23">
        <v>0</v>
      </c>
      <c r="I23" t="str">
        <f>OutputTable[[#This Row],[ProjectName]]&amp;OutputTable[[#This Row],[Name]]&amp;OutputTable[[#This Row],[Type]]&amp;OutputTable[[#This Row],[Source]]</f>
        <v>Unnamed ProjectM4.NumberSeizedTotal Number SeizedResource</v>
      </c>
      <c r="J23" cm="1">
        <f t="array" ref="J23">MAX(IF((ProjectInfoTable[ProjectName]=OutputTable[[#This Row],[ProjectName]]),(ProjectInfoTable[ProjectName]=OutputTable[[#This Row],[ProjectName]])*ProjectInfoTable[NumberOfReplications]))</f>
        <v>10</v>
      </c>
      <c r="K23" cm="1">
        <f t="array" ref="K23">IFERROR(AVERAGE(IF((OutputTable[GroupByKey]=OutputTable[[#This Row],[GroupByKey]]),(OutputTable[GroupByKey]=OutputTable[[#This Row],[GroupByKey]])*OutputTable[RecordedValue])),0)</f>
        <v>165.9</v>
      </c>
      <c r="L23" cm="1">
        <f t="array" ref="L23">IFERROR(_xlfn.STDEV.S(IF((OutputTable[GroupByKey]=OutputTable[[#This Row],[GroupByKey]]),(OutputTable[GroupByKey]=OutputTable[[#This Row],[GroupByKey]])*OutputTable[RecordedValue])),0)</f>
        <v>13.795732029226366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9.8688721800277719</v>
      </c>
      <c r="O23" cm="1">
        <f t="array" ref="O23">MIN(IF((OutputTable[GroupByKey]=OutputTable[[#This Row],[GroupByKey]]),(OutputTable[GroupByKey]=OutputTable[[#This Row],[GroupByKey]])*OutputTable[RecordedValue]))</f>
        <v>139</v>
      </c>
      <c r="P23" cm="1">
        <f t="array" ref="P23">MAX(IF((OutputTable[GroupByKey]=OutputTable[[#This Row],[GroupByKey]]),(OutputTable[GroupByKey]=OutputTable[[#This Row],[GroupByKey]])*OutputTable[RecordedValue]))</f>
        <v>182</v>
      </c>
    </row>
    <row r="24" spans="1:16" x14ac:dyDescent="0.4">
      <c r="A24" t="s">
        <v>66</v>
      </c>
      <c r="B24" t="s">
        <v>69</v>
      </c>
      <c r="C24">
        <v>2</v>
      </c>
      <c r="D24" t="s">
        <v>120</v>
      </c>
      <c r="E24" t="s">
        <v>114</v>
      </c>
      <c r="F24" t="s">
        <v>97</v>
      </c>
      <c r="G24">
        <v>0.73360482887559197</v>
      </c>
      <c r="H24">
        <v>0</v>
      </c>
      <c r="I24" t="str">
        <f>OutputTable[[#This Row],[ProjectName]]&amp;OutputTable[[#This Row],[Name]]&amp;OutputTable[[#This Row],[Type]]&amp;OutputTable[[#This Row],[Source]]</f>
        <v>Unnamed ProjectM4.ScheduledUtilizationScheduled UtilizationResource</v>
      </c>
      <c r="J24" cm="1">
        <f t="array" ref="J24">MAX(IF((ProjectInfoTable[ProjectName]=OutputTable[[#This Row],[ProjectName]]),(ProjectInfoTable[ProjectName]=OutputTable[[#This Row],[ProjectName]])*ProjectInfoTable[NumberOfReplications]))</f>
        <v>10</v>
      </c>
      <c r="K24" cm="1">
        <f t="array" ref="K24">IFERROR(AVERAGE(IF((OutputTable[GroupByKey]=OutputTable[[#This Row],[GroupByKey]]),(OutputTable[GroupByKey]=OutputTable[[#This Row],[GroupByKey]])*OutputTable[RecordedValue])),0)</f>
        <v>0.68948907951108873</v>
      </c>
      <c r="L24" cm="1">
        <f t="array" ref="L24">IFERROR(_xlfn.STDEV.S(IF((OutputTable[GroupByKey]=OutputTable[[#This Row],[GroupByKey]]),(OutputTable[GroupByKey]=OutputTable[[#This Row],[GroupByKey]])*OutputTable[RecordedValue])),0)</f>
        <v>7.0099805521104841E-2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5.0146379986722875E-2</v>
      </c>
      <c r="O24" cm="1">
        <f t="array" ref="O24">MIN(IF((OutputTable[GroupByKey]=OutputTable[[#This Row],[GroupByKey]]),(OutputTable[GroupByKey]=OutputTable[[#This Row],[GroupByKey]])*OutputTable[RecordedValue]))</f>
        <v>0.59708526729729605</v>
      </c>
      <c r="P24" cm="1">
        <f t="array" ref="P24">MAX(IF((OutputTable[GroupByKey]=OutputTable[[#This Row],[GroupByKey]]),(OutputTable[GroupByKey]=OutputTable[[#This Row],[GroupByKey]])*OutputTable[RecordedValue]))</f>
        <v>0.81511052462014799</v>
      </c>
    </row>
    <row r="25" spans="1:16" x14ac:dyDescent="0.4">
      <c r="A25" t="s">
        <v>66</v>
      </c>
      <c r="B25" t="s">
        <v>69</v>
      </c>
      <c r="C25">
        <v>2</v>
      </c>
      <c r="D25" t="s">
        <v>121</v>
      </c>
      <c r="E25" t="s">
        <v>112</v>
      </c>
      <c r="F25" t="s">
        <v>97</v>
      </c>
      <c r="G25">
        <v>224</v>
      </c>
      <c r="H25">
        <v>0</v>
      </c>
      <c r="I25" t="str">
        <f>OutputTable[[#This Row],[ProjectName]]&amp;OutputTable[[#This Row],[Name]]&amp;OutputTable[[#This Row],[Type]]&amp;OutputTable[[#This Row],[Source]]</f>
        <v>Unnamed ProjectM5.NumberSeizedTotal Number SeizedResource</v>
      </c>
      <c r="J25" cm="1">
        <f t="array" ref="J25">MAX(IF((ProjectInfoTable[ProjectName]=OutputTable[[#This Row],[ProjectName]]),(ProjectInfoTable[ProjectName]=OutputTable[[#This Row],[ProjectName]])*ProjectInfoTable[NumberOfReplications]))</f>
        <v>10</v>
      </c>
      <c r="K25" cm="1">
        <f t="array" ref="K25">IFERROR(AVERAGE(IF((OutputTable[GroupByKey]=OutputTable[[#This Row],[GroupByKey]]),(OutputTable[GroupByKey]=OutputTable[[#This Row],[GroupByKey]])*OutputTable[RecordedValue])),0)</f>
        <v>220.6</v>
      </c>
      <c r="L25" cm="1">
        <f t="array" ref="L25">IFERROR(_xlfn.STDEV.S(IF((OutputTable[GroupByKey]=OutputTable[[#This Row],[GroupByKey]]),(OutputTable[GroupByKey]=OutputTable[[#This Row],[GroupByKey]])*OutputTable[RecordedValue])),0)</f>
        <v>15.763530343450636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11.276550293665537</v>
      </c>
      <c r="O25" cm="1">
        <f t="array" ref="O25">MIN(IF((OutputTable[GroupByKey]=OutputTable[[#This Row],[GroupByKey]]),(OutputTable[GroupByKey]=OutputTable[[#This Row],[GroupByKey]])*OutputTable[RecordedValue]))</f>
        <v>191</v>
      </c>
      <c r="P25" cm="1">
        <f t="array" ref="P25">MAX(IF((OutputTable[GroupByKey]=OutputTable[[#This Row],[GroupByKey]]),(OutputTable[GroupByKey]=OutputTable[[#This Row],[GroupByKey]])*OutputTable[RecordedValue]))</f>
        <v>238</v>
      </c>
    </row>
    <row r="26" spans="1:16" x14ac:dyDescent="0.4">
      <c r="A26" t="s">
        <v>66</v>
      </c>
      <c r="B26" t="s">
        <v>69</v>
      </c>
      <c r="C26">
        <v>2</v>
      </c>
      <c r="D26" t="s">
        <v>122</v>
      </c>
      <c r="E26" t="s">
        <v>114</v>
      </c>
      <c r="F26" t="s">
        <v>97</v>
      </c>
      <c r="G26">
        <v>0.34124280661036899</v>
      </c>
      <c r="H26">
        <v>0</v>
      </c>
      <c r="I26" t="str">
        <f>OutputTable[[#This Row],[ProjectName]]&amp;OutputTable[[#This Row],[Name]]&amp;OutputTable[[#This Row],[Type]]&amp;OutputTable[[#This Row],[Source]]</f>
        <v>Unnamed ProjectM5.ScheduledUtilizationScheduled UtilizationResource</v>
      </c>
      <c r="J26" cm="1">
        <f t="array" ref="J26">MAX(IF((ProjectInfoTable[ProjectName]=OutputTable[[#This Row],[ProjectName]]),(ProjectInfoTable[ProjectName]=OutputTable[[#This Row],[ProjectName]])*ProjectInfoTable[NumberOfReplications]))</f>
        <v>10</v>
      </c>
      <c r="K26" cm="1">
        <f t="array" ref="K26">IFERROR(AVERAGE(IF((OutputTable[GroupByKey]=OutputTable[[#This Row],[GroupByKey]]),(OutputTable[GroupByKey]=OutputTable[[#This Row],[GroupByKey]])*OutputTable[RecordedValue])),0)</f>
        <v>0.35254112855323727</v>
      </c>
      <c r="L26" cm="1">
        <f t="array" ref="L26">IFERROR(_xlfn.STDEV.S(IF((OutputTable[GroupByKey]=OutputTable[[#This Row],[GroupByKey]]),(OutputTable[GroupByKey]=OutputTable[[#This Row],[GroupByKey]])*OutputTable[RecordedValue])),0)</f>
        <v>2.0819740340978523E-2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1.4893545033435028E-2</v>
      </c>
      <c r="O26" cm="1">
        <f t="array" ref="O26">MIN(IF((OutputTable[GroupByKey]=OutputTable[[#This Row],[GroupByKey]]),(OutputTable[GroupByKey]=OutputTable[[#This Row],[GroupByKey]])*OutputTable[RecordedValue]))</f>
        <v>0.319082016284436</v>
      </c>
      <c r="P26" cm="1">
        <f t="array" ref="P26">MAX(IF((OutputTable[GroupByKey]=OutputTable[[#This Row],[GroupByKey]]),(OutputTable[GroupByKey]=OutputTable[[#This Row],[GroupByKey]])*OutputTable[RecordedValue]))</f>
        <v>0.391918845838306</v>
      </c>
    </row>
    <row r="27" spans="1:16" x14ac:dyDescent="0.4">
      <c r="A27" t="s">
        <v>66</v>
      </c>
      <c r="B27" t="s">
        <v>69</v>
      </c>
      <c r="C27">
        <v>2</v>
      </c>
      <c r="D27" t="s">
        <v>123</v>
      </c>
      <c r="E27" t="s">
        <v>110</v>
      </c>
      <c r="F27" t="s">
        <v>124</v>
      </c>
      <c r="G27">
        <v>225</v>
      </c>
      <c r="H27">
        <v>0</v>
      </c>
      <c r="I27" t="str">
        <f>OutputTable[[#This Row],[ProjectName]]&amp;OutputTable[[#This Row],[Name]]&amp;OutputTable[[#This Row],[Type]]&amp;OutputTable[[#This Row],[Source]]</f>
        <v>Unnamed ProjectSystem.NumberOutNumber OutSystem</v>
      </c>
      <c r="J27" cm="1">
        <f t="array" ref="J27">MAX(IF((ProjectInfoTable[ProjectName]=OutputTable[[#This Row],[ProjectName]]),(ProjectInfoTable[ProjectName]=OutputTable[[#This Row],[ProjectName]])*ProjectInfoTable[NumberOfReplications]))</f>
        <v>10</v>
      </c>
      <c r="K27" cm="1">
        <f t="array" ref="K27">IFERROR(AVERAGE(IF((OutputTable[GroupByKey]=OutputTable[[#This Row],[GroupByKey]]),(OutputTable[GroupByKey]=OutputTable[[#This Row],[GroupByKey]])*OutputTable[RecordedValue])),0)</f>
        <v>220.7</v>
      </c>
      <c r="L27" cm="1">
        <f t="array" ref="L27">IFERROR(_xlfn.STDEV.S(IF((OutputTable[GroupByKey]=OutputTable[[#This Row],[GroupByKey]]),(OutputTable[GroupByKey]=OutputTable[[#This Row],[GroupByKey]])*OutputTable[RecordedValue])),0)</f>
        <v>15.606622525923623</v>
      </c>
      <c r="M27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11.164305202796802</v>
      </c>
      <c r="O27" cm="1">
        <f t="array" ref="O27">MIN(IF((OutputTable[GroupByKey]=OutputTable[[#This Row],[GroupByKey]]),(OutputTable[GroupByKey]=OutputTable[[#This Row],[GroupByKey]])*OutputTable[RecordedValue]))</f>
        <v>190</v>
      </c>
      <c r="P27" cm="1">
        <f t="array" ref="P27">MAX(IF((OutputTable[GroupByKey]=OutputTable[[#This Row],[GroupByKey]]),(OutputTable[GroupByKey]=OutputTable[[#This Row],[GroupByKey]])*OutputTable[RecordedValue]))</f>
        <v>237</v>
      </c>
    </row>
    <row r="28" spans="1:16" x14ac:dyDescent="0.4">
      <c r="A28" t="s">
        <v>66</v>
      </c>
      <c r="B28" t="s">
        <v>69</v>
      </c>
      <c r="C28">
        <v>3</v>
      </c>
      <c r="D28" t="s">
        <v>107</v>
      </c>
      <c r="E28" t="s">
        <v>108</v>
      </c>
      <c r="F28" t="s">
        <v>72</v>
      </c>
      <c r="G28">
        <v>232</v>
      </c>
      <c r="H28">
        <v>0</v>
      </c>
      <c r="I28" t="str">
        <f>OutputTable[[#This Row],[ProjectName]]&amp;OutputTable[[#This Row],[Name]]&amp;OutputTable[[#This Row],[Type]]&amp;OutputTable[[#This Row],[Source]]</f>
        <v>Unnamed ProjectEntity 1.NumberInNumber InEntity</v>
      </c>
      <c r="J28" cm="1">
        <f t="array" ref="J28">MAX(IF((ProjectInfoTable[ProjectName]=OutputTable[[#This Row],[ProjectName]]),(ProjectInfoTable[ProjectName]=OutputTable[[#This Row],[ProjectName]])*ProjectInfoTable[NumberOfReplications]))</f>
        <v>10</v>
      </c>
      <c r="K28" cm="1">
        <f t="array" ref="K28">IFERROR(AVERAGE(IF((OutputTable[GroupByKey]=OutputTable[[#This Row],[GroupByKey]]),(OutputTable[GroupByKey]=OutputTable[[#This Row],[GroupByKey]])*OutputTable[RecordedValue])),0)</f>
        <v>221.9</v>
      </c>
      <c r="L28" cm="1">
        <f t="array" ref="L28">IFERROR(_xlfn.STDEV.S(IF((OutputTable[GroupByKey]=OutputTable[[#This Row],[GroupByKey]]),(OutputTable[GroupByKey]=OutputTable[[#This Row],[GroupByKey]])*OutputTable[RecordedValue])),0)</f>
        <v>15.029230777979883</v>
      </c>
      <c r="M28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10.751264028454774</v>
      </c>
      <c r="O28" cm="1">
        <f t="array" ref="O28">MIN(IF((OutputTable[GroupByKey]=OutputTable[[#This Row],[GroupByKey]]),(OutputTable[GroupByKey]=OutputTable[[#This Row],[GroupByKey]])*OutputTable[RecordedValue]))</f>
        <v>196</v>
      </c>
      <c r="P28" cm="1">
        <f t="array" ref="P28">MAX(IF((OutputTable[GroupByKey]=OutputTable[[#This Row],[GroupByKey]]),(OutputTable[GroupByKey]=OutputTable[[#This Row],[GroupByKey]])*OutputTable[RecordedValue]))</f>
        <v>237</v>
      </c>
    </row>
    <row r="29" spans="1:16" x14ac:dyDescent="0.4">
      <c r="A29" t="s">
        <v>66</v>
      </c>
      <c r="B29" t="s">
        <v>69</v>
      </c>
      <c r="C29">
        <v>3</v>
      </c>
      <c r="D29" t="s">
        <v>109</v>
      </c>
      <c r="E29" t="s">
        <v>110</v>
      </c>
      <c r="F29" t="s">
        <v>72</v>
      </c>
      <c r="G29">
        <v>237</v>
      </c>
      <c r="H29">
        <v>0</v>
      </c>
      <c r="I29" t="str">
        <f>OutputTable[[#This Row],[ProjectName]]&amp;OutputTable[[#This Row],[Name]]&amp;OutputTable[[#This Row],[Type]]&amp;OutputTable[[#This Row],[Source]]</f>
        <v>Unnamed ProjectEntity 1.NumberOutNumber OutEntity</v>
      </c>
      <c r="J29" cm="1">
        <f t="array" ref="J29">MAX(IF((ProjectInfoTable[ProjectName]=OutputTable[[#This Row],[ProjectName]]),(ProjectInfoTable[ProjectName]=OutputTable[[#This Row],[ProjectName]])*ProjectInfoTable[NumberOfReplications]))</f>
        <v>10</v>
      </c>
      <c r="K29" cm="1">
        <f t="array" ref="K29">IFERROR(AVERAGE(IF((OutputTable[GroupByKey]=OutputTable[[#This Row],[GroupByKey]]),(OutputTable[GroupByKey]=OutputTable[[#This Row],[GroupByKey]])*OutputTable[RecordedValue])),0)</f>
        <v>220.7</v>
      </c>
      <c r="L29" cm="1">
        <f t="array" ref="L29">IFERROR(_xlfn.STDEV.S(IF((OutputTable[GroupByKey]=OutputTable[[#This Row],[GroupByKey]]),(OutputTable[GroupByKey]=OutputTable[[#This Row],[GroupByKey]])*OutputTable[RecordedValue])),0)</f>
        <v>15.606622525923623</v>
      </c>
      <c r="M29" cm="1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11.164305202796802</v>
      </c>
      <c r="O29" cm="1">
        <f t="array" ref="O29">MIN(IF((OutputTable[GroupByKey]=OutputTable[[#This Row],[GroupByKey]]),(OutputTable[GroupByKey]=OutputTable[[#This Row],[GroupByKey]])*OutputTable[RecordedValue]))</f>
        <v>190</v>
      </c>
      <c r="P29" cm="1">
        <f t="array" ref="P29">MAX(IF((OutputTable[GroupByKey]=OutputTable[[#This Row],[GroupByKey]]),(OutputTable[GroupByKey]=OutputTable[[#This Row],[GroupByKey]])*OutputTable[RecordedValue]))</f>
        <v>237</v>
      </c>
    </row>
    <row r="30" spans="1:16" x14ac:dyDescent="0.4">
      <c r="A30" t="s">
        <v>66</v>
      </c>
      <c r="B30" t="s">
        <v>69</v>
      </c>
      <c r="C30">
        <v>3</v>
      </c>
      <c r="D30" t="s">
        <v>111</v>
      </c>
      <c r="E30" t="s">
        <v>112</v>
      </c>
      <c r="F30" t="s">
        <v>97</v>
      </c>
      <c r="G30">
        <v>175</v>
      </c>
      <c r="H30">
        <v>0</v>
      </c>
      <c r="I30" t="str">
        <f>OutputTable[[#This Row],[ProjectName]]&amp;OutputTable[[#This Row],[Name]]&amp;OutputTable[[#This Row],[Type]]&amp;OutputTable[[#This Row],[Source]]</f>
        <v>Unnamed ProjectM1.NumberSeizedTotal Number SeizedResource</v>
      </c>
      <c r="J30" cm="1">
        <f t="array" ref="J30">MAX(IF((ProjectInfoTable[ProjectName]=OutputTable[[#This Row],[ProjectName]]),(ProjectInfoTable[ProjectName]=OutputTable[[#This Row],[ProjectName]])*ProjectInfoTable[NumberOfReplications]))</f>
        <v>10</v>
      </c>
      <c r="K30" cm="1">
        <f t="array" ref="K30">IFERROR(AVERAGE(IF((OutputTable[GroupByKey]=OutputTable[[#This Row],[GroupByKey]]),(OutputTable[GroupByKey]=OutputTable[[#This Row],[GroupByKey]])*OutputTable[RecordedValue])),0)</f>
        <v>166.8</v>
      </c>
      <c r="L30" cm="1">
        <f t="array" ref="L30">IFERROR(_xlfn.STDEV.S(IF((OutputTable[GroupByKey]=OutputTable[[#This Row],[GroupByKey]]),(OutputTable[GroupByKey]=OutputTable[[#This Row],[GroupByKey]])*OutputTable[RecordedValue])),0)</f>
        <v>13.612086132877977</v>
      </c>
      <c r="M30" cm="1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9.7374998198217781</v>
      </c>
      <c r="O30" cm="1">
        <f t="array" ref="O30">MIN(IF((OutputTable[GroupByKey]=OutputTable[[#This Row],[GroupByKey]]),(OutputTable[GroupByKey]=OutputTable[[#This Row],[GroupByKey]])*OutputTable[RecordedValue]))</f>
        <v>142</v>
      </c>
      <c r="P30" cm="1">
        <f t="array" ref="P30">MAX(IF((OutputTable[GroupByKey]=OutputTable[[#This Row],[GroupByKey]]),(OutputTable[GroupByKey]=OutputTable[[#This Row],[GroupByKey]])*OutputTable[RecordedValue]))</f>
        <v>181</v>
      </c>
    </row>
    <row r="31" spans="1:16" x14ac:dyDescent="0.4">
      <c r="A31" t="s">
        <v>66</v>
      </c>
      <c r="B31" t="s">
        <v>69</v>
      </c>
      <c r="C31">
        <v>3</v>
      </c>
      <c r="D31" t="s">
        <v>113</v>
      </c>
      <c r="E31" t="s">
        <v>114</v>
      </c>
      <c r="F31" t="s">
        <v>97</v>
      </c>
      <c r="G31">
        <v>0.37410580793237402</v>
      </c>
      <c r="H31">
        <v>0</v>
      </c>
      <c r="I31" t="str">
        <f>OutputTable[[#This Row],[ProjectName]]&amp;OutputTable[[#This Row],[Name]]&amp;OutputTable[[#This Row],[Type]]&amp;OutputTable[[#This Row],[Source]]</f>
        <v>Unnamed ProjectM1.ScheduledUtilizationScheduled UtilizationResource</v>
      </c>
      <c r="J31" cm="1">
        <f t="array" ref="J31">MAX(IF((ProjectInfoTable[ProjectName]=OutputTable[[#This Row],[ProjectName]]),(ProjectInfoTable[ProjectName]=OutputTable[[#This Row],[ProjectName]])*ProjectInfoTable[NumberOfReplications]))</f>
        <v>10</v>
      </c>
      <c r="K31" cm="1">
        <f t="array" ref="K31">IFERROR(AVERAGE(IF((OutputTable[GroupByKey]=OutputTable[[#This Row],[GroupByKey]]),(OutputTable[GroupByKey]=OutputTable[[#This Row],[GroupByKey]])*OutputTable[RecordedValue])),0)</f>
        <v>0.35418637725041224</v>
      </c>
      <c r="L31" cm="1">
        <f t="array" ref="L31">IFERROR(_xlfn.STDEV.S(IF((OutputTable[GroupByKey]=OutputTable[[#This Row],[GroupByKey]]),(OutputTable[GroupByKey]=OutputTable[[#This Row],[GroupByKey]])*OutputTable[RecordedValue])),0)</f>
        <v>3.3453936231241439E-2</v>
      </c>
      <c r="M31" cm="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2.3931504314920794E-2</v>
      </c>
      <c r="O31" cm="1">
        <f t="array" ref="O31">MIN(IF((OutputTable[GroupByKey]=OutputTable[[#This Row],[GroupByKey]]),(OutputTable[GroupByKey]=OutputTable[[#This Row],[GroupByKey]])*OutputTable[RecordedValue]))</f>
        <v>0.29539806709730798</v>
      </c>
      <c r="P31" cm="1">
        <f t="array" ref="P31">MAX(IF((OutputTable[GroupByKey]=OutputTable[[#This Row],[GroupByKey]]),(OutputTable[GroupByKey]=OutputTable[[#This Row],[GroupByKey]])*OutputTable[RecordedValue]))</f>
        <v>0.39865120046345498</v>
      </c>
    </row>
    <row r="32" spans="1:16" x14ac:dyDescent="0.4">
      <c r="A32" t="s">
        <v>66</v>
      </c>
      <c r="B32" t="s">
        <v>69</v>
      </c>
      <c r="C32">
        <v>3</v>
      </c>
      <c r="D32" t="s">
        <v>115</v>
      </c>
      <c r="E32" t="s">
        <v>112</v>
      </c>
      <c r="F32" t="s">
        <v>97</v>
      </c>
      <c r="G32">
        <v>130</v>
      </c>
      <c r="H32">
        <v>0</v>
      </c>
      <c r="I32" s="5" t="str">
        <f>OutputTable[[#This Row],[ProjectName]]&amp;OutputTable[[#This Row],[Name]]&amp;OutputTable[[#This Row],[Type]]&amp;OutputTable[[#This Row],[Source]]</f>
        <v>Unnamed ProjectM2.NumberSeizedTotal Number SeizedResource</v>
      </c>
      <c r="J32" s="5" cm="1">
        <f t="array" ref="J32">MAX(IF((ProjectInfoTable[ProjectName]=OutputTable[[#This Row],[ProjectName]]),(ProjectInfoTable[ProjectName]=OutputTable[[#This Row],[ProjectName]])*ProjectInfoTable[NumberOfReplications]))</f>
        <v>10</v>
      </c>
      <c r="K32" s="5" cm="1">
        <f t="array" ref="K32">IFERROR(AVERAGE(IF((OutputTable[GroupByKey]=OutputTable[[#This Row],[GroupByKey]]),(OutputTable[GroupByKey]=OutputTable[[#This Row],[GroupByKey]])*OutputTable[RecordedValue])),0)</f>
        <v>118.9</v>
      </c>
      <c r="L32" s="5" cm="1">
        <f t="array" ref="L32">IFERROR(_xlfn.STDEV.S(IF((OutputTable[GroupByKey]=OutputTable[[#This Row],[GroupByKey]]),(OutputTable[GroupByKey]=OutputTable[[#This Row],[GroupByKey]])*OutputTable[RecordedValue])),0)</f>
        <v>10.482260146446366</v>
      </c>
      <c r="M32" s="5" cm="1">
        <f t="array" ref="M32">MAX(IF((ProjectInfoTable[ProjectName]=OutputTable[[#This Row],[ProjectName]]),(ProjectInfoTable[ProjectName]=OutputTable[[#This Row],[ProjectName]])*ProjectInfoTable[ConfidenceInterval]))</f>
        <v>0.95</v>
      </c>
      <c r="N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7.4985571859414781</v>
      </c>
      <c r="O32" s="5" cm="1">
        <f t="array" ref="O32">MIN(IF((OutputTable[GroupByKey]=OutputTable[[#This Row],[GroupByKey]]),(OutputTable[GroupByKey]=OutputTable[[#This Row],[GroupByKey]])*OutputTable[RecordedValue]))</f>
        <v>101</v>
      </c>
      <c r="P32" s="5" cm="1">
        <f t="array" ref="P32">MAX(IF((OutputTable[GroupByKey]=OutputTable[[#This Row],[GroupByKey]]),(OutputTable[GroupByKey]=OutputTable[[#This Row],[GroupByKey]])*OutputTable[RecordedValue]))</f>
        <v>134</v>
      </c>
    </row>
    <row r="33" spans="1:16" x14ac:dyDescent="0.4">
      <c r="A33" t="s">
        <v>66</v>
      </c>
      <c r="B33" t="s">
        <v>69</v>
      </c>
      <c r="C33">
        <v>3</v>
      </c>
      <c r="D33" t="s">
        <v>116</v>
      </c>
      <c r="E33" t="s">
        <v>114</v>
      </c>
      <c r="F33" t="s">
        <v>97</v>
      </c>
      <c r="G33">
        <v>0.84140710301871302</v>
      </c>
      <c r="H33">
        <v>0</v>
      </c>
      <c r="I33" s="5" t="str">
        <f>OutputTable[[#This Row],[ProjectName]]&amp;OutputTable[[#This Row],[Name]]&amp;OutputTable[[#This Row],[Type]]&amp;OutputTable[[#This Row],[Source]]</f>
        <v>Unnamed ProjectM2.ScheduledUtilizationScheduled UtilizationResource</v>
      </c>
      <c r="J33" s="5" cm="1">
        <f t="array" ref="J33">MAX(IF((ProjectInfoTable[ProjectName]=OutputTable[[#This Row],[ProjectName]]),(ProjectInfoTable[ProjectName]=OutputTable[[#This Row],[ProjectName]])*ProjectInfoTable[NumberOfReplications]))</f>
        <v>10</v>
      </c>
      <c r="K33" s="5" cm="1">
        <f t="array" ref="K33">IFERROR(AVERAGE(IF((OutputTable[GroupByKey]=OutputTable[[#This Row],[GroupByKey]]),(OutputTable[GroupByKey]=OutputTable[[#This Row],[GroupByKey]])*OutputTable[RecordedValue])),0)</f>
        <v>0.79069410142096264</v>
      </c>
      <c r="L33" s="5" cm="1">
        <f t="array" ref="L33">IFERROR(_xlfn.STDEV.S(IF((OutputTable[GroupByKey]=OutputTable[[#This Row],[GroupByKey]]),(OutputTable[GroupByKey]=OutputTable[[#This Row],[GroupByKey]])*OutputTable[RecordedValue])),0)</f>
        <v>8.4677985904895448E-2</v>
      </c>
      <c r="M33" s="5" cm="1">
        <f t="array" ref="M33">MAX(IF((ProjectInfoTable[ProjectName]=OutputTable[[#This Row],[ProjectName]]),(ProjectInfoTable[ProjectName]=OutputTable[[#This Row],[ProjectName]])*ProjectInfoTable[ConfidenceInterval]))</f>
        <v>0.95</v>
      </c>
      <c r="N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6.0574982000753563E-2</v>
      </c>
      <c r="O33" s="5" cm="1">
        <f t="array" ref="O33">MIN(IF((OutputTable[GroupByKey]=OutputTable[[#This Row],[GroupByKey]]),(OutputTable[GroupByKey]=OutputTable[[#This Row],[GroupByKey]])*OutputTable[RecordedValue]))</f>
        <v>0.62412916158771403</v>
      </c>
      <c r="P33" s="5" cm="1">
        <f t="array" ref="P33">MAX(IF((OutputTable[GroupByKey]=OutputTable[[#This Row],[GroupByKey]]),(OutputTable[GroupByKey]=OutputTable[[#This Row],[GroupByKey]])*OutputTable[RecordedValue]))</f>
        <v>0.92247891730008102</v>
      </c>
    </row>
    <row r="34" spans="1:16" x14ac:dyDescent="0.4">
      <c r="A34" t="s">
        <v>66</v>
      </c>
      <c r="B34" t="s">
        <v>69</v>
      </c>
      <c r="C34">
        <v>3</v>
      </c>
      <c r="D34" t="s">
        <v>117</v>
      </c>
      <c r="E34" t="s">
        <v>112</v>
      </c>
      <c r="F34" t="s">
        <v>97</v>
      </c>
      <c r="G34">
        <v>187</v>
      </c>
      <c r="H34">
        <v>0</v>
      </c>
      <c r="I34" s="5" t="str">
        <f>OutputTable[[#This Row],[ProjectName]]&amp;OutputTable[[#This Row],[Name]]&amp;OutputTable[[#This Row],[Type]]&amp;OutputTable[[#This Row],[Source]]</f>
        <v>Unnamed ProjectM3.NumberSeizedTotal Number SeizedResource</v>
      </c>
      <c r="J34" s="5" cm="1">
        <f t="array" ref="J34">MAX(IF((ProjectInfoTable[ProjectName]=OutputTable[[#This Row],[ProjectName]]),(ProjectInfoTable[ProjectName]=OutputTable[[#This Row],[ProjectName]])*ProjectInfoTable[NumberOfReplications]))</f>
        <v>10</v>
      </c>
      <c r="K34" s="5" cm="1">
        <f t="array" ref="K34">IFERROR(AVERAGE(IF((OutputTable[GroupByKey]=OutputTable[[#This Row],[GroupByKey]]),(OutputTable[GroupByKey]=OutputTable[[#This Row],[GroupByKey]])*OutputTable[RecordedValue])),0)</f>
        <v>176.2</v>
      </c>
      <c r="L34" s="5" cm="1">
        <f t="array" ref="L34">IFERROR(_xlfn.STDEV.S(IF((OutputTable[GroupByKey]=OutputTable[[#This Row],[GroupByKey]]),(OutputTable[GroupByKey]=OutputTable[[#This Row],[GroupByKey]])*OutputTable[RecordedValue])),0)</f>
        <v>14.778362561528933</v>
      </c>
      <c r="M34" s="5" cm="1">
        <f t="array" ref="M34">MAX(IF((ProjectInfoTable[ProjectName]=OutputTable[[#This Row],[ProjectName]]),(ProjectInfoTable[ProjectName]=OutputTable[[#This Row],[ProjectName]])*ProjectInfoTable[ConfidenceInterval]))</f>
        <v>0.95</v>
      </c>
      <c r="N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10.571803717328045</v>
      </c>
      <c r="O34" s="5" cm="1">
        <f t="array" ref="O34">MIN(IF((OutputTable[GroupByKey]=OutputTable[[#This Row],[GroupByKey]]),(OutputTable[GroupByKey]=OutputTable[[#This Row],[GroupByKey]])*OutputTable[RecordedValue]))</f>
        <v>149</v>
      </c>
      <c r="P34" s="5" cm="1">
        <f t="array" ref="P34">MAX(IF((OutputTable[GroupByKey]=OutputTable[[#This Row],[GroupByKey]]),(OutputTable[GroupByKey]=OutputTable[[#This Row],[GroupByKey]])*OutputTable[RecordedValue]))</f>
        <v>198</v>
      </c>
    </row>
    <row r="35" spans="1:16" x14ac:dyDescent="0.4">
      <c r="A35" t="s">
        <v>66</v>
      </c>
      <c r="B35" t="s">
        <v>69</v>
      </c>
      <c r="C35">
        <v>3</v>
      </c>
      <c r="D35" t="s">
        <v>118</v>
      </c>
      <c r="E35" t="s">
        <v>114</v>
      </c>
      <c r="F35" t="s">
        <v>97</v>
      </c>
      <c r="G35">
        <v>0.41804638971782199</v>
      </c>
      <c r="H35">
        <v>0</v>
      </c>
      <c r="I35" s="5" t="str">
        <f>OutputTable[[#This Row],[ProjectName]]&amp;OutputTable[[#This Row],[Name]]&amp;OutputTable[[#This Row],[Type]]&amp;OutputTable[[#This Row],[Source]]</f>
        <v>Unnamed ProjectM3.ScheduledUtilizationScheduled UtilizationResource</v>
      </c>
      <c r="J35" s="5" cm="1">
        <f t="array" ref="J35">MAX(IF((ProjectInfoTable[ProjectName]=OutputTable[[#This Row],[ProjectName]]),(ProjectInfoTable[ProjectName]=OutputTable[[#This Row],[ProjectName]])*ProjectInfoTable[NumberOfReplications]))</f>
        <v>10</v>
      </c>
      <c r="K35" s="5" cm="1">
        <f t="array" ref="K35">IFERROR(AVERAGE(IF((OutputTable[GroupByKey]=OutputTable[[#This Row],[GroupByKey]]),(OutputTable[GroupByKey]=OutputTable[[#This Row],[GroupByKey]])*OutputTable[RecordedValue])),0)</f>
        <v>0.38204498745219106</v>
      </c>
      <c r="L35" s="5" cm="1">
        <f t="array" ref="L35">IFERROR(_xlfn.STDEV.S(IF((OutputTable[GroupByKey]=OutputTable[[#This Row],[GroupByKey]]),(OutputTable[GroupByKey]=OutputTable[[#This Row],[GroupByKey]])*OutputTable[RecordedValue])),0)</f>
        <v>2.9603647703352595E-2</v>
      </c>
      <c r="M35" s="5" cm="1">
        <f t="array" ref="M35">MAX(IF((ProjectInfoTable[ProjectName]=OutputTable[[#This Row],[ProjectName]]),(ProjectInfoTable[ProjectName]=OutputTable[[#This Row],[ProjectName]])*ProjectInfoTable[ConfidenceInterval]))</f>
        <v>0.95</v>
      </c>
      <c r="N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2.1177173826515884E-2</v>
      </c>
      <c r="O35" s="5" cm="1">
        <f t="array" ref="O35">MIN(IF((OutputTable[GroupByKey]=OutputTable[[#This Row],[GroupByKey]]),(OutputTable[GroupByKey]=OutputTable[[#This Row],[GroupByKey]])*OutputTable[RecordedValue]))</f>
        <v>0.32566726436532201</v>
      </c>
      <c r="P35" s="5" cm="1">
        <f t="array" ref="P35">MAX(IF((OutputTable[GroupByKey]=OutputTable[[#This Row],[GroupByKey]]),(OutputTable[GroupByKey]=OutputTable[[#This Row],[GroupByKey]])*OutputTable[RecordedValue]))</f>
        <v>0.42511230467838501</v>
      </c>
    </row>
    <row r="36" spans="1:16" x14ac:dyDescent="0.4">
      <c r="A36" t="s">
        <v>66</v>
      </c>
      <c r="B36" t="s">
        <v>69</v>
      </c>
      <c r="C36">
        <v>3</v>
      </c>
      <c r="D36" t="s">
        <v>119</v>
      </c>
      <c r="E36" t="s">
        <v>112</v>
      </c>
      <c r="F36" t="s">
        <v>97</v>
      </c>
      <c r="G36">
        <v>177</v>
      </c>
      <c r="H36">
        <v>0</v>
      </c>
      <c r="I36" s="5" t="str">
        <f>OutputTable[[#This Row],[ProjectName]]&amp;OutputTable[[#This Row],[Name]]&amp;OutputTable[[#This Row],[Type]]&amp;OutputTable[[#This Row],[Source]]</f>
        <v>Unnamed ProjectM4.NumberSeizedTotal Number SeizedResource</v>
      </c>
      <c r="J36" s="5" cm="1">
        <f t="array" ref="J36">MAX(IF((ProjectInfoTable[ProjectName]=OutputTable[[#This Row],[ProjectName]]),(ProjectInfoTable[ProjectName]=OutputTable[[#This Row],[ProjectName]])*ProjectInfoTable[NumberOfReplications]))</f>
        <v>10</v>
      </c>
      <c r="K36" s="5" cm="1">
        <f t="array" ref="K36">IFERROR(AVERAGE(IF((OutputTable[GroupByKey]=OutputTable[[#This Row],[GroupByKey]]),(OutputTable[GroupByKey]=OutputTable[[#This Row],[GroupByKey]])*OutputTable[RecordedValue])),0)</f>
        <v>165.9</v>
      </c>
      <c r="L36" s="5" cm="1">
        <f t="array" ref="L36">IFERROR(_xlfn.STDEV.S(IF((OutputTable[GroupByKey]=OutputTable[[#This Row],[GroupByKey]]),(OutputTable[GroupByKey]=OutputTable[[#This Row],[GroupByKey]])*OutputTable[RecordedValue])),0)</f>
        <v>13.795732029226366</v>
      </c>
      <c r="M36" s="5" cm="1">
        <f t="array" ref="M36">MAX(IF((ProjectInfoTable[ProjectName]=OutputTable[[#This Row],[ProjectName]]),(ProjectInfoTable[ProjectName]=OutputTable[[#This Row],[ProjectName]])*ProjectInfoTable[ConfidenceInterval]))</f>
        <v>0.95</v>
      </c>
      <c r="N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9.8688721800277719</v>
      </c>
      <c r="O36" s="5" cm="1">
        <f t="array" ref="O36">MIN(IF((OutputTable[GroupByKey]=OutputTable[[#This Row],[GroupByKey]]),(OutputTable[GroupByKey]=OutputTable[[#This Row],[GroupByKey]])*OutputTable[RecordedValue]))</f>
        <v>139</v>
      </c>
      <c r="P36" s="5" cm="1">
        <f t="array" ref="P36">MAX(IF((OutputTable[GroupByKey]=OutputTable[[#This Row],[GroupByKey]]),(OutputTable[GroupByKey]=OutputTable[[#This Row],[GroupByKey]])*OutputTable[RecordedValue]))</f>
        <v>182</v>
      </c>
    </row>
    <row r="37" spans="1:16" x14ac:dyDescent="0.4">
      <c r="A37" t="s">
        <v>66</v>
      </c>
      <c r="B37" t="s">
        <v>69</v>
      </c>
      <c r="C37">
        <v>3</v>
      </c>
      <c r="D37" t="s">
        <v>120</v>
      </c>
      <c r="E37" t="s">
        <v>114</v>
      </c>
      <c r="F37" t="s">
        <v>97</v>
      </c>
      <c r="G37">
        <v>0.81511052462014799</v>
      </c>
      <c r="H37">
        <v>0</v>
      </c>
      <c r="I37" s="5" t="str">
        <f>OutputTable[[#This Row],[ProjectName]]&amp;OutputTable[[#This Row],[Name]]&amp;OutputTable[[#This Row],[Type]]&amp;OutputTable[[#This Row],[Source]]</f>
        <v>Unnamed ProjectM4.ScheduledUtilizationScheduled UtilizationResource</v>
      </c>
      <c r="J37" s="5" cm="1">
        <f t="array" ref="J37">MAX(IF((ProjectInfoTable[ProjectName]=OutputTable[[#This Row],[ProjectName]]),(ProjectInfoTable[ProjectName]=OutputTable[[#This Row],[ProjectName]])*ProjectInfoTable[NumberOfReplications]))</f>
        <v>10</v>
      </c>
      <c r="K37" s="5" cm="1">
        <f t="array" ref="K37">IFERROR(AVERAGE(IF((OutputTable[GroupByKey]=OutputTable[[#This Row],[GroupByKey]]),(OutputTable[GroupByKey]=OutputTable[[#This Row],[GroupByKey]])*OutputTable[RecordedValue])),0)</f>
        <v>0.68948907951108873</v>
      </c>
      <c r="L37" s="5" cm="1">
        <f t="array" ref="L37">IFERROR(_xlfn.STDEV.S(IF((OutputTable[GroupByKey]=OutputTable[[#This Row],[GroupByKey]]),(OutputTable[GroupByKey]=OutputTable[[#This Row],[GroupByKey]])*OutputTable[RecordedValue])),0)</f>
        <v>7.0099805521104841E-2</v>
      </c>
      <c r="M37" s="5" cm="1">
        <f t="array" ref="M37">MAX(IF((ProjectInfoTable[ProjectName]=OutputTable[[#This Row],[ProjectName]]),(ProjectInfoTable[ProjectName]=OutputTable[[#This Row],[ProjectName]])*ProjectInfoTable[ConfidenceInterval]))</f>
        <v>0.95</v>
      </c>
      <c r="N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5.0146379986722875E-2</v>
      </c>
      <c r="O37" s="5" cm="1">
        <f t="array" ref="O37">MIN(IF((OutputTable[GroupByKey]=OutputTable[[#This Row],[GroupByKey]]),(OutputTable[GroupByKey]=OutputTable[[#This Row],[GroupByKey]])*OutputTable[RecordedValue]))</f>
        <v>0.59708526729729605</v>
      </c>
      <c r="P37" s="5" cm="1">
        <f t="array" ref="P37">MAX(IF((OutputTable[GroupByKey]=OutputTable[[#This Row],[GroupByKey]]),(OutputTable[GroupByKey]=OutputTable[[#This Row],[GroupByKey]])*OutputTable[RecordedValue]))</f>
        <v>0.81511052462014799</v>
      </c>
    </row>
    <row r="38" spans="1:16" x14ac:dyDescent="0.4">
      <c r="A38" t="s">
        <v>66</v>
      </c>
      <c r="B38" t="s">
        <v>69</v>
      </c>
      <c r="C38">
        <v>3</v>
      </c>
      <c r="D38" t="s">
        <v>121</v>
      </c>
      <c r="E38" t="s">
        <v>112</v>
      </c>
      <c r="F38" t="s">
        <v>97</v>
      </c>
      <c r="G38">
        <v>236</v>
      </c>
      <c r="H38">
        <v>0</v>
      </c>
      <c r="I38" s="5" t="str">
        <f>OutputTable[[#This Row],[ProjectName]]&amp;OutputTable[[#This Row],[Name]]&amp;OutputTable[[#This Row],[Type]]&amp;OutputTable[[#This Row],[Source]]</f>
        <v>Unnamed ProjectM5.NumberSeizedTotal Number SeizedResource</v>
      </c>
      <c r="J38" s="5" cm="1">
        <f t="array" ref="J38">MAX(IF((ProjectInfoTable[ProjectName]=OutputTable[[#This Row],[ProjectName]]),(ProjectInfoTable[ProjectName]=OutputTable[[#This Row],[ProjectName]])*ProjectInfoTable[NumberOfReplications]))</f>
        <v>10</v>
      </c>
      <c r="K38" s="5" cm="1">
        <f t="array" ref="K38">IFERROR(AVERAGE(IF((OutputTable[GroupByKey]=OutputTable[[#This Row],[GroupByKey]]),(OutputTable[GroupByKey]=OutputTable[[#This Row],[GroupByKey]])*OutputTable[RecordedValue])),0)</f>
        <v>220.6</v>
      </c>
      <c r="L38" s="5" cm="1">
        <f t="array" ref="L38">IFERROR(_xlfn.STDEV.S(IF((OutputTable[GroupByKey]=OutputTable[[#This Row],[GroupByKey]]),(OutputTable[GroupByKey]=OutputTable[[#This Row],[GroupByKey]])*OutputTable[RecordedValue])),0)</f>
        <v>15.763530343450636</v>
      </c>
      <c r="M38" s="5" cm="1">
        <f t="array" ref="M38">MAX(IF((ProjectInfoTable[ProjectName]=OutputTable[[#This Row],[ProjectName]]),(ProjectInfoTable[ProjectName]=OutputTable[[#This Row],[ProjectName]])*ProjectInfoTable[ConfidenceInterval]))</f>
        <v>0.95</v>
      </c>
      <c r="N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11.276550293665537</v>
      </c>
      <c r="O38" s="5" cm="1">
        <f t="array" ref="O38">MIN(IF((OutputTable[GroupByKey]=OutputTable[[#This Row],[GroupByKey]]),(OutputTable[GroupByKey]=OutputTable[[#This Row],[GroupByKey]])*OutputTable[RecordedValue]))</f>
        <v>191</v>
      </c>
      <c r="P38" s="5" cm="1">
        <f t="array" ref="P38">MAX(IF((OutputTable[GroupByKey]=OutputTable[[#This Row],[GroupByKey]]),(OutputTable[GroupByKey]=OutputTable[[#This Row],[GroupByKey]])*OutputTable[RecordedValue]))</f>
        <v>238</v>
      </c>
    </row>
    <row r="39" spans="1:16" x14ac:dyDescent="0.4">
      <c r="A39" t="s">
        <v>66</v>
      </c>
      <c r="B39" t="s">
        <v>69</v>
      </c>
      <c r="C39">
        <v>3</v>
      </c>
      <c r="D39" t="s">
        <v>122</v>
      </c>
      <c r="E39" t="s">
        <v>114</v>
      </c>
      <c r="F39" t="s">
        <v>97</v>
      </c>
      <c r="G39">
        <v>0.36499970126903097</v>
      </c>
      <c r="H39">
        <v>0</v>
      </c>
      <c r="I39" s="5" t="str">
        <f>OutputTable[[#This Row],[ProjectName]]&amp;OutputTable[[#This Row],[Name]]&amp;OutputTable[[#This Row],[Type]]&amp;OutputTable[[#This Row],[Source]]</f>
        <v>Unnamed ProjectM5.ScheduledUtilizationScheduled UtilizationResource</v>
      </c>
      <c r="J39" s="5" cm="1">
        <f t="array" ref="J39">MAX(IF((ProjectInfoTable[ProjectName]=OutputTable[[#This Row],[ProjectName]]),(ProjectInfoTable[ProjectName]=OutputTable[[#This Row],[ProjectName]])*ProjectInfoTable[NumberOfReplications]))</f>
        <v>10</v>
      </c>
      <c r="K39" s="5" cm="1">
        <f t="array" ref="K39">IFERROR(AVERAGE(IF((OutputTable[GroupByKey]=OutputTable[[#This Row],[GroupByKey]]),(OutputTable[GroupByKey]=OutputTable[[#This Row],[GroupByKey]])*OutputTable[RecordedValue])),0)</f>
        <v>0.35254112855323727</v>
      </c>
      <c r="L39" s="5" cm="1">
        <f t="array" ref="L39">IFERROR(_xlfn.STDEV.S(IF((OutputTable[GroupByKey]=OutputTable[[#This Row],[GroupByKey]]),(OutputTable[GroupByKey]=OutputTable[[#This Row],[GroupByKey]])*OutputTable[RecordedValue])),0)</f>
        <v>2.0819740340978523E-2</v>
      </c>
      <c r="M39" s="5" cm="1">
        <f t="array" ref="M39">MAX(IF((ProjectInfoTable[ProjectName]=OutputTable[[#This Row],[ProjectName]]),(ProjectInfoTable[ProjectName]=OutputTable[[#This Row],[ProjectName]])*ProjectInfoTable[ConfidenceInterval]))</f>
        <v>0.95</v>
      </c>
      <c r="N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1.4893545033435028E-2</v>
      </c>
      <c r="O39" s="5" cm="1">
        <f t="array" ref="O39">MIN(IF((OutputTable[GroupByKey]=OutputTable[[#This Row],[GroupByKey]]),(OutputTable[GroupByKey]=OutputTable[[#This Row],[GroupByKey]])*OutputTable[RecordedValue]))</f>
        <v>0.319082016284436</v>
      </c>
      <c r="P39" s="5" cm="1">
        <f t="array" ref="P39">MAX(IF((OutputTable[GroupByKey]=OutputTable[[#This Row],[GroupByKey]]),(OutputTable[GroupByKey]=OutputTable[[#This Row],[GroupByKey]])*OutputTable[RecordedValue]))</f>
        <v>0.391918845838306</v>
      </c>
    </row>
    <row r="40" spans="1:16" x14ac:dyDescent="0.4">
      <c r="A40" t="s">
        <v>66</v>
      </c>
      <c r="B40" t="s">
        <v>69</v>
      </c>
      <c r="C40">
        <v>3</v>
      </c>
      <c r="D40" t="s">
        <v>123</v>
      </c>
      <c r="E40" t="s">
        <v>110</v>
      </c>
      <c r="F40" t="s">
        <v>124</v>
      </c>
      <c r="G40">
        <v>237</v>
      </c>
      <c r="H40">
        <v>0</v>
      </c>
      <c r="I40" s="5" t="str">
        <f>OutputTable[[#This Row],[ProjectName]]&amp;OutputTable[[#This Row],[Name]]&amp;OutputTable[[#This Row],[Type]]&amp;OutputTable[[#This Row],[Source]]</f>
        <v>Unnamed ProjectSystem.NumberOutNumber OutSystem</v>
      </c>
      <c r="J40" s="5" cm="1">
        <f t="array" ref="J40">MAX(IF((ProjectInfoTable[ProjectName]=OutputTable[[#This Row],[ProjectName]]),(ProjectInfoTable[ProjectName]=OutputTable[[#This Row],[ProjectName]])*ProjectInfoTable[NumberOfReplications]))</f>
        <v>10</v>
      </c>
      <c r="K40" s="5" cm="1">
        <f t="array" ref="K40">IFERROR(AVERAGE(IF((OutputTable[GroupByKey]=OutputTable[[#This Row],[GroupByKey]]),(OutputTable[GroupByKey]=OutputTable[[#This Row],[GroupByKey]])*OutputTable[RecordedValue])),0)</f>
        <v>220.7</v>
      </c>
      <c r="L40" s="5" cm="1">
        <f t="array" ref="L40">IFERROR(_xlfn.STDEV.S(IF((OutputTable[GroupByKey]=OutputTable[[#This Row],[GroupByKey]]),(OutputTable[GroupByKey]=OutputTable[[#This Row],[GroupByKey]])*OutputTable[RecordedValue])),0)</f>
        <v>15.606622525923623</v>
      </c>
      <c r="M40" s="5" cm="1">
        <f t="array" ref="M40">MAX(IF((ProjectInfoTable[ProjectName]=OutputTable[[#This Row],[ProjectName]]),(ProjectInfoTable[ProjectName]=OutputTable[[#This Row],[ProjectName]])*ProjectInfoTable[ConfidenceInterval]))</f>
        <v>0.95</v>
      </c>
      <c r="N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11.164305202796802</v>
      </c>
      <c r="O40" s="5" cm="1">
        <f t="array" ref="O40">MIN(IF((OutputTable[GroupByKey]=OutputTable[[#This Row],[GroupByKey]]),(OutputTable[GroupByKey]=OutputTable[[#This Row],[GroupByKey]])*OutputTable[RecordedValue]))</f>
        <v>190</v>
      </c>
      <c r="P40" s="5" cm="1">
        <f t="array" ref="P40">MAX(IF((OutputTable[GroupByKey]=OutputTable[[#This Row],[GroupByKey]]),(OutputTable[GroupByKey]=OutputTable[[#This Row],[GroupByKey]])*OutputTable[RecordedValue]))</f>
        <v>237</v>
      </c>
    </row>
    <row r="41" spans="1:16" x14ac:dyDescent="0.4">
      <c r="A41" t="s">
        <v>66</v>
      </c>
      <c r="B41" t="s">
        <v>69</v>
      </c>
      <c r="C41">
        <v>4</v>
      </c>
      <c r="D41" t="s">
        <v>107</v>
      </c>
      <c r="E41" t="s">
        <v>108</v>
      </c>
      <c r="F41" t="s">
        <v>72</v>
      </c>
      <c r="G41">
        <v>234</v>
      </c>
      <c r="H41">
        <v>0</v>
      </c>
      <c r="I41" s="5" t="str">
        <f>OutputTable[[#This Row],[ProjectName]]&amp;OutputTable[[#This Row],[Name]]&amp;OutputTable[[#This Row],[Type]]&amp;OutputTable[[#This Row],[Source]]</f>
        <v>Unnamed ProjectEntity 1.NumberInNumber InEntity</v>
      </c>
      <c r="J41" s="5" cm="1">
        <f t="array" ref="J41">MAX(IF((ProjectInfoTable[ProjectName]=OutputTable[[#This Row],[ProjectName]]),(ProjectInfoTable[ProjectName]=OutputTable[[#This Row],[ProjectName]])*ProjectInfoTable[NumberOfReplications]))</f>
        <v>10</v>
      </c>
      <c r="K41" s="5" cm="1">
        <f t="array" ref="K41">IFERROR(AVERAGE(IF((OutputTable[GroupByKey]=OutputTable[[#This Row],[GroupByKey]]),(OutputTable[GroupByKey]=OutputTable[[#This Row],[GroupByKey]])*OutputTable[RecordedValue])),0)</f>
        <v>221.9</v>
      </c>
      <c r="L41" s="5" cm="1">
        <f t="array" ref="L41">IFERROR(_xlfn.STDEV.S(IF((OutputTable[GroupByKey]=OutputTable[[#This Row],[GroupByKey]]),(OutputTable[GroupByKey]=OutputTable[[#This Row],[GroupByKey]])*OutputTable[RecordedValue])),0)</f>
        <v>15.029230777979883</v>
      </c>
      <c r="M41" s="5" cm="1">
        <f t="array" ref="M41">MAX(IF((ProjectInfoTable[ProjectName]=OutputTable[[#This Row],[ProjectName]]),(ProjectInfoTable[ProjectName]=OutputTable[[#This Row],[ProjectName]])*ProjectInfoTable[ConfidenceInterval]))</f>
        <v>0.95</v>
      </c>
      <c r="N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10.751264028454774</v>
      </c>
      <c r="O41" s="5" cm="1">
        <f t="array" ref="O41">MIN(IF((OutputTable[GroupByKey]=OutputTable[[#This Row],[GroupByKey]]),(OutputTable[GroupByKey]=OutputTable[[#This Row],[GroupByKey]])*OutputTable[RecordedValue]))</f>
        <v>196</v>
      </c>
      <c r="P41" s="5" cm="1">
        <f t="array" ref="P41">MAX(IF((OutputTable[GroupByKey]=OutputTable[[#This Row],[GroupByKey]]),(OutputTable[GroupByKey]=OutputTable[[#This Row],[GroupByKey]])*OutputTable[RecordedValue]))</f>
        <v>237</v>
      </c>
    </row>
    <row r="42" spans="1:16" x14ac:dyDescent="0.4">
      <c r="A42" t="s">
        <v>66</v>
      </c>
      <c r="B42" t="s">
        <v>69</v>
      </c>
      <c r="C42">
        <v>4</v>
      </c>
      <c r="D42" t="s">
        <v>109</v>
      </c>
      <c r="E42" t="s">
        <v>110</v>
      </c>
      <c r="F42" t="s">
        <v>72</v>
      </c>
      <c r="G42">
        <v>237</v>
      </c>
      <c r="H42">
        <v>0</v>
      </c>
      <c r="I42" s="5" t="str">
        <f>OutputTable[[#This Row],[ProjectName]]&amp;OutputTable[[#This Row],[Name]]&amp;OutputTable[[#This Row],[Type]]&amp;OutputTable[[#This Row],[Source]]</f>
        <v>Unnamed ProjectEntity 1.NumberOutNumber OutEntity</v>
      </c>
      <c r="J42" s="5" cm="1">
        <f t="array" ref="J42">MAX(IF((ProjectInfoTable[ProjectName]=OutputTable[[#This Row],[ProjectName]]),(ProjectInfoTable[ProjectName]=OutputTable[[#This Row],[ProjectName]])*ProjectInfoTable[NumberOfReplications]))</f>
        <v>10</v>
      </c>
      <c r="K42" s="5" cm="1">
        <f t="array" ref="K42">IFERROR(AVERAGE(IF((OutputTable[GroupByKey]=OutputTable[[#This Row],[GroupByKey]]),(OutputTable[GroupByKey]=OutputTable[[#This Row],[GroupByKey]])*OutputTable[RecordedValue])),0)</f>
        <v>220.7</v>
      </c>
      <c r="L42" s="5" cm="1">
        <f t="array" ref="L42">IFERROR(_xlfn.STDEV.S(IF((OutputTable[GroupByKey]=OutputTable[[#This Row],[GroupByKey]]),(OutputTable[GroupByKey]=OutputTable[[#This Row],[GroupByKey]])*OutputTable[RecordedValue])),0)</f>
        <v>15.606622525923623</v>
      </c>
      <c r="M42" s="5" cm="1">
        <f t="array" ref="M42">MAX(IF((ProjectInfoTable[ProjectName]=OutputTable[[#This Row],[ProjectName]]),(ProjectInfoTable[ProjectName]=OutputTable[[#This Row],[ProjectName]])*ProjectInfoTable[ConfidenceInterval]))</f>
        <v>0.95</v>
      </c>
      <c r="N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11.164305202796802</v>
      </c>
      <c r="O42" s="5" cm="1">
        <f t="array" ref="O42">MIN(IF((OutputTable[GroupByKey]=OutputTable[[#This Row],[GroupByKey]]),(OutputTable[GroupByKey]=OutputTable[[#This Row],[GroupByKey]])*OutputTable[RecordedValue]))</f>
        <v>190</v>
      </c>
      <c r="P42" s="5" cm="1">
        <f t="array" ref="P42">MAX(IF((OutputTable[GroupByKey]=OutputTable[[#This Row],[GroupByKey]]),(OutputTable[GroupByKey]=OutputTable[[#This Row],[GroupByKey]])*OutputTable[RecordedValue]))</f>
        <v>237</v>
      </c>
    </row>
    <row r="43" spans="1:16" x14ac:dyDescent="0.4">
      <c r="A43" t="s">
        <v>66</v>
      </c>
      <c r="B43" t="s">
        <v>69</v>
      </c>
      <c r="C43">
        <v>4</v>
      </c>
      <c r="D43" t="s">
        <v>111</v>
      </c>
      <c r="E43" t="s">
        <v>112</v>
      </c>
      <c r="F43" t="s">
        <v>97</v>
      </c>
      <c r="G43">
        <v>175</v>
      </c>
      <c r="H43">
        <v>0</v>
      </c>
      <c r="I43" s="5" t="str">
        <f>OutputTable[[#This Row],[ProjectName]]&amp;OutputTable[[#This Row],[Name]]&amp;OutputTable[[#This Row],[Type]]&amp;OutputTable[[#This Row],[Source]]</f>
        <v>Unnamed ProjectM1.NumberSeizedTotal Number SeizedResource</v>
      </c>
      <c r="J43" s="5" cm="1">
        <f t="array" ref="J43">MAX(IF((ProjectInfoTable[ProjectName]=OutputTable[[#This Row],[ProjectName]]),(ProjectInfoTable[ProjectName]=OutputTable[[#This Row],[ProjectName]])*ProjectInfoTable[NumberOfReplications]))</f>
        <v>10</v>
      </c>
      <c r="K43" s="5" cm="1">
        <f t="array" ref="K43">IFERROR(AVERAGE(IF((OutputTable[GroupByKey]=OutputTable[[#This Row],[GroupByKey]]),(OutputTable[GroupByKey]=OutputTable[[#This Row],[GroupByKey]])*OutputTable[RecordedValue])),0)</f>
        <v>166.8</v>
      </c>
      <c r="L43" s="5" cm="1">
        <f t="array" ref="L43">IFERROR(_xlfn.STDEV.S(IF((OutputTable[GroupByKey]=OutputTable[[#This Row],[GroupByKey]]),(OutputTable[GroupByKey]=OutputTable[[#This Row],[GroupByKey]])*OutputTable[RecordedValue])),0)</f>
        <v>13.612086132877977</v>
      </c>
      <c r="M43" s="5" cm="1">
        <f t="array" ref="M43">MAX(IF((ProjectInfoTable[ProjectName]=OutputTable[[#This Row],[ProjectName]]),(ProjectInfoTable[ProjectName]=OutputTable[[#This Row],[ProjectName]])*ProjectInfoTable[ConfidenceInterval]))</f>
        <v>0.95</v>
      </c>
      <c r="N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9.7374998198217781</v>
      </c>
      <c r="O43" s="5" cm="1">
        <f t="array" ref="O43">MIN(IF((OutputTable[GroupByKey]=OutputTable[[#This Row],[GroupByKey]]),(OutputTable[GroupByKey]=OutputTable[[#This Row],[GroupByKey]])*OutputTable[RecordedValue]))</f>
        <v>142</v>
      </c>
      <c r="P43" s="5" cm="1">
        <f t="array" ref="P43">MAX(IF((OutputTable[GroupByKey]=OutputTable[[#This Row],[GroupByKey]]),(OutputTable[GroupByKey]=OutputTable[[#This Row],[GroupByKey]])*OutputTable[RecordedValue]))</f>
        <v>181</v>
      </c>
    </row>
    <row r="44" spans="1:16" x14ac:dyDescent="0.4">
      <c r="A44" t="s">
        <v>66</v>
      </c>
      <c r="B44" t="s">
        <v>69</v>
      </c>
      <c r="C44">
        <v>4</v>
      </c>
      <c r="D44" t="s">
        <v>113</v>
      </c>
      <c r="E44" t="s">
        <v>114</v>
      </c>
      <c r="F44" t="s">
        <v>97</v>
      </c>
      <c r="G44">
        <v>0.34358290173219702</v>
      </c>
      <c r="H44">
        <v>0</v>
      </c>
      <c r="I44" s="5" t="str">
        <f>OutputTable[[#This Row],[ProjectName]]&amp;OutputTable[[#This Row],[Name]]&amp;OutputTable[[#This Row],[Type]]&amp;OutputTable[[#This Row],[Source]]</f>
        <v>Unnamed ProjectM1.ScheduledUtilizationScheduled UtilizationResource</v>
      </c>
      <c r="J44" s="5" cm="1">
        <f t="array" ref="J44">MAX(IF((ProjectInfoTable[ProjectName]=OutputTable[[#This Row],[ProjectName]]),(ProjectInfoTable[ProjectName]=OutputTable[[#This Row],[ProjectName]])*ProjectInfoTable[NumberOfReplications]))</f>
        <v>10</v>
      </c>
      <c r="K44" s="5" cm="1">
        <f t="array" ref="K44">IFERROR(AVERAGE(IF((OutputTable[GroupByKey]=OutputTable[[#This Row],[GroupByKey]]),(OutputTable[GroupByKey]=OutputTable[[#This Row],[GroupByKey]])*OutputTable[RecordedValue])),0)</f>
        <v>0.35418637725041224</v>
      </c>
      <c r="L44" s="5" cm="1">
        <f t="array" ref="L44">IFERROR(_xlfn.STDEV.S(IF((OutputTable[GroupByKey]=OutputTable[[#This Row],[GroupByKey]]),(OutputTable[GroupByKey]=OutputTable[[#This Row],[GroupByKey]])*OutputTable[RecordedValue])),0)</f>
        <v>3.3453936231241439E-2</v>
      </c>
      <c r="M44" s="5" cm="1">
        <f t="array" ref="M44">MAX(IF((ProjectInfoTable[ProjectName]=OutputTable[[#This Row],[ProjectName]]),(ProjectInfoTable[ProjectName]=OutputTable[[#This Row],[ProjectName]])*ProjectInfoTable[ConfidenceInterval]))</f>
        <v>0.95</v>
      </c>
      <c r="N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2.3931504314920794E-2</v>
      </c>
      <c r="O44" s="5" cm="1">
        <f t="array" ref="O44">MIN(IF((OutputTable[GroupByKey]=OutputTable[[#This Row],[GroupByKey]]),(OutputTable[GroupByKey]=OutputTable[[#This Row],[GroupByKey]])*OutputTable[RecordedValue]))</f>
        <v>0.29539806709730798</v>
      </c>
      <c r="P44" s="5" cm="1">
        <f t="array" ref="P44">MAX(IF((OutputTable[GroupByKey]=OutputTable[[#This Row],[GroupByKey]]),(OutputTable[GroupByKey]=OutputTable[[#This Row],[GroupByKey]])*OutputTable[RecordedValue]))</f>
        <v>0.39865120046345498</v>
      </c>
    </row>
    <row r="45" spans="1:16" x14ac:dyDescent="0.4">
      <c r="A45" t="s">
        <v>66</v>
      </c>
      <c r="B45" t="s">
        <v>69</v>
      </c>
      <c r="C45">
        <v>4</v>
      </c>
      <c r="D45" t="s">
        <v>115</v>
      </c>
      <c r="E45" t="s">
        <v>112</v>
      </c>
      <c r="F45" t="s">
        <v>97</v>
      </c>
      <c r="G45">
        <v>127</v>
      </c>
      <c r="H45">
        <v>0</v>
      </c>
      <c r="I45" s="5" t="str">
        <f>OutputTable[[#This Row],[ProjectName]]&amp;OutputTable[[#This Row],[Name]]&amp;OutputTable[[#This Row],[Type]]&amp;OutputTable[[#This Row],[Source]]</f>
        <v>Unnamed ProjectM2.NumberSeizedTotal Number SeizedResource</v>
      </c>
      <c r="J45" s="5" cm="1">
        <f t="array" ref="J45">MAX(IF((ProjectInfoTable[ProjectName]=OutputTable[[#This Row],[ProjectName]]),(ProjectInfoTable[ProjectName]=OutputTable[[#This Row],[ProjectName]])*ProjectInfoTable[NumberOfReplications]))</f>
        <v>10</v>
      </c>
      <c r="K45" s="5" cm="1">
        <f t="array" ref="K45">IFERROR(AVERAGE(IF((OutputTable[GroupByKey]=OutputTable[[#This Row],[GroupByKey]]),(OutputTable[GroupByKey]=OutputTable[[#This Row],[GroupByKey]])*OutputTable[RecordedValue])),0)</f>
        <v>118.9</v>
      </c>
      <c r="L45" s="5" cm="1">
        <f t="array" ref="L45">IFERROR(_xlfn.STDEV.S(IF((OutputTable[GroupByKey]=OutputTable[[#This Row],[GroupByKey]]),(OutputTable[GroupByKey]=OutputTable[[#This Row],[GroupByKey]])*OutputTable[RecordedValue])),0)</f>
        <v>10.482260146446366</v>
      </c>
      <c r="M45" s="5" cm="1">
        <f t="array" ref="M45">MAX(IF((ProjectInfoTable[ProjectName]=OutputTable[[#This Row],[ProjectName]]),(ProjectInfoTable[ProjectName]=OutputTable[[#This Row],[ProjectName]])*ProjectInfoTable[ConfidenceInterval]))</f>
        <v>0.95</v>
      </c>
      <c r="N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7.4985571859414781</v>
      </c>
      <c r="O45" s="5" cm="1">
        <f t="array" ref="O45">MIN(IF((OutputTable[GroupByKey]=OutputTable[[#This Row],[GroupByKey]]),(OutputTable[GroupByKey]=OutputTable[[#This Row],[GroupByKey]])*OutputTable[RecordedValue]))</f>
        <v>101</v>
      </c>
      <c r="P45" s="5" cm="1">
        <f t="array" ref="P45">MAX(IF((OutputTable[GroupByKey]=OutputTable[[#This Row],[GroupByKey]]),(OutputTable[GroupByKey]=OutputTable[[#This Row],[GroupByKey]])*OutputTable[RecordedValue]))</f>
        <v>134</v>
      </c>
    </row>
    <row r="46" spans="1:16" x14ac:dyDescent="0.4">
      <c r="A46" t="s">
        <v>66</v>
      </c>
      <c r="B46" t="s">
        <v>69</v>
      </c>
      <c r="C46">
        <v>4</v>
      </c>
      <c r="D46" t="s">
        <v>116</v>
      </c>
      <c r="E46" t="s">
        <v>114</v>
      </c>
      <c r="F46" t="s">
        <v>97</v>
      </c>
      <c r="G46">
        <v>0.92247891730008102</v>
      </c>
      <c r="H46">
        <v>0</v>
      </c>
      <c r="I46" s="5" t="str">
        <f>OutputTable[[#This Row],[ProjectName]]&amp;OutputTable[[#This Row],[Name]]&amp;OutputTable[[#This Row],[Type]]&amp;OutputTable[[#This Row],[Source]]</f>
        <v>Unnamed ProjectM2.ScheduledUtilizationScheduled UtilizationResource</v>
      </c>
      <c r="J46" s="5" cm="1">
        <f t="array" ref="J46">MAX(IF((ProjectInfoTable[ProjectName]=OutputTable[[#This Row],[ProjectName]]),(ProjectInfoTable[ProjectName]=OutputTable[[#This Row],[ProjectName]])*ProjectInfoTable[NumberOfReplications]))</f>
        <v>10</v>
      </c>
      <c r="K46" s="5" cm="1">
        <f t="array" ref="K46">IFERROR(AVERAGE(IF((OutputTable[GroupByKey]=OutputTable[[#This Row],[GroupByKey]]),(OutputTable[GroupByKey]=OutputTable[[#This Row],[GroupByKey]])*OutputTable[RecordedValue])),0)</f>
        <v>0.79069410142096264</v>
      </c>
      <c r="L46" s="5" cm="1">
        <f t="array" ref="L46">IFERROR(_xlfn.STDEV.S(IF((OutputTable[GroupByKey]=OutputTable[[#This Row],[GroupByKey]]),(OutputTable[GroupByKey]=OutputTable[[#This Row],[GroupByKey]])*OutputTable[RecordedValue])),0)</f>
        <v>8.4677985904895448E-2</v>
      </c>
      <c r="M46" s="5" cm="1">
        <f t="array" ref="M46">MAX(IF((ProjectInfoTable[ProjectName]=OutputTable[[#This Row],[ProjectName]]),(ProjectInfoTable[ProjectName]=OutputTable[[#This Row],[ProjectName]])*ProjectInfoTable[ConfidenceInterval]))</f>
        <v>0.95</v>
      </c>
      <c r="N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6.0574982000753563E-2</v>
      </c>
      <c r="O46" s="5" cm="1">
        <f t="array" ref="O46">MIN(IF((OutputTable[GroupByKey]=OutputTable[[#This Row],[GroupByKey]]),(OutputTable[GroupByKey]=OutputTable[[#This Row],[GroupByKey]])*OutputTable[RecordedValue]))</f>
        <v>0.62412916158771403</v>
      </c>
      <c r="P46" s="5" cm="1">
        <f t="array" ref="P46">MAX(IF((OutputTable[GroupByKey]=OutputTable[[#This Row],[GroupByKey]]),(OutputTable[GroupByKey]=OutputTable[[#This Row],[GroupByKey]])*OutputTable[RecordedValue]))</f>
        <v>0.92247891730008102</v>
      </c>
    </row>
    <row r="47" spans="1:16" x14ac:dyDescent="0.4">
      <c r="A47" t="s">
        <v>66</v>
      </c>
      <c r="B47" t="s">
        <v>69</v>
      </c>
      <c r="C47">
        <v>4</v>
      </c>
      <c r="D47" t="s">
        <v>117</v>
      </c>
      <c r="E47" t="s">
        <v>112</v>
      </c>
      <c r="F47" t="s">
        <v>97</v>
      </c>
      <c r="G47">
        <v>191</v>
      </c>
      <c r="H47">
        <v>0</v>
      </c>
      <c r="I47" s="5" t="str">
        <f>OutputTable[[#This Row],[ProjectName]]&amp;OutputTable[[#This Row],[Name]]&amp;OutputTable[[#This Row],[Type]]&amp;OutputTable[[#This Row],[Source]]</f>
        <v>Unnamed ProjectM3.NumberSeizedTotal Number SeizedResource</v>
      </c>
      <c r="J47" s="5" cm="1">
        <f t="array" ref="J47">MAX(IF((ProjectInfoTable[ProjectName]=OutputTable[[#This Row],[ProjectName]]),(ProjectInfoTable[ProjectName]=OutputTable[[#This Row],[ProjectName]])*ProjectInfoTable[NumberOfReplications]))</f>
        <v>10</v>
      </c>
      <c r="K47" s="5" cm="1">
        <f t="array" ref="K47">IFERROR(AVERAGE(IF((OutputTable[GroupByKey]=OutputTable[[#This Row],[GroupByKey]]),(OutputTable[GroupByKey]=OutputTable[[#This Row],[GroupByKey]])*OutputTable[RecordedValue])),0)</f>
        <v>176.2</v>
      </c>
      <c r="L47" s="5" cm="1">
        <f t="array" ref="L47">IFERROR(_xlfn.STDEV.S(IF((OutputTable[GroupByKey]=OutputTable[[#This Row],[GroupByKey]]),(OutputTable[GroupByKey]=OutputTable[[#This Row],[GroupByKey]])*OutputTable[RecordedValue])),0)</f>
        <v>14.778362561528933</v>
      </c>
      <c r="M47" s="5" cm="1">
        <f t="array" ref="M47">MAX(IF((ProjectInfoTable[ProjectName]=OutputTable[[#This Row],[ProjectName]]),(ProjectInfoTable[ProjectName]=OutputTable[[#This Row],[ProjectName]])*ProjectInfoTable[ConfidenceInterval]))</f>
        <v>0.95</v>
      </c>
      <c r="N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10.571803717328045</v>
      </c>
      <c r="O47" s="5" cm="1">
        <f t="array" ref="O47">MIN(IF((OutputTable[GroupByKey]=OutputTable[[#This Row],[GroupByKey]]),(OutputTable[GroupByKey]=OutputTable[[#This Row],[GroupByKey]])*OutputTable[RecordedValue]))</f>
        <v>149</v>
      </c>
      <c r="P47" s="5" cm="1">
        <f t="array" ref="P47">MAX(IF((OutputTable[GroupByKey]=OutputTable[[#This Row],[GroupByKey]]),(OutputTable[GroupByKey]=OutputTable[[#This Row],[GroupByKey]])*OutputTable[RecordedValue]))</f>
        <v>198</v>
      </c>
    </row>
    <row r="48" spans="1:16" x14ac:dyDescent="0.4">
      <c r="A48" t="s">
        <v>66</v>
      </c>
      <c r="B48" t="s">
        <v>69</v>
      </c>
      <c r="C48">
        <v>4</v>
      </c>
      <c r="D48" t="s">
        <v>118</v>
      </c>
      <c r="E48" t="s">
        <v>114</v>
      </c>
      <c r="F48" t="s">
        <v>97</v>
      </c>
      <c r="G48">
        <v>0.42511230467838501</v>
      </c>
      <c r="H48">
        <v>0</v>
      </c>
      <c r="I48" s="5" t="str">
        <f>OutputTable[[#This Row],[ProjectName]]&amp;OutputTable[[#This Row],[Name]]&amp;OutputTable[[#This Row],[Type]]&amp;OutputTable[[#This Row],[Source]]</f>
        <v>Unnamed ProjectM3.ScheduledUtilizationScheduled UtilizationResource</v>
      </c>
      <c r="J48" s="5" cm="1">
        <f t="array" ref="J48">MAX(IF((ProjectInfoTable[ProjectName]=OutputTable[[#This Row],[ProjectName]]),(ProjectInfoTable[ProjectName]=OutputTable[[#This Row],[ProjectName]])*ProjectInfoTable[NumberOfReplications]))</f>
        <v>10</v>
      </c>
      <c r="K48" s="5" cm="1">
        <f t="array" ref="K48">IFERROR(AVERAGE(IF((OutputTable[GroupByKey]=OutputTable[[#This Row],[GroupByKey]]),(OutputTable[GroupByKey]=OutputTable[[#This Row],[GroupByKey]])*OutputTable[RecordedValue])),0)</f>
        <v>0.38204498745219106</v>
      </c>
      <c r="L48" s="5" cm="1">
        <f t="array" ref="L48">IFERROR(_xlfn.STDEV.S(IF((OutputTable[GroupByKey]=OutputTable[[#This Row],[GroupByKey]]),(OutputTable[GroupByKey]=OutputTable[[#This Row],[GroupByKey]])*OutputTable[RecordedValue])),0)</f>
        <v>2.9603647703352595E-2</v>
      </c>
      <c r="M48" s="5" cm="1">
        <f t="array" ref="M48">MAX(IF((ProjectInfoTable[ProjectName]=OutputTable[[#This Row],[ProjectName]]),(ProjectInfoTable[ProjectName]=OutputTable[[#This Row],[ProjectName]])*ProjectInfoTable[ConfidenceInterval]))</f>
        <v>0.95</v>
      </c>
      <c r="N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2.1177173826515884E-2</v>
      </c>
      <c r="O48" s="5" cm="1">
        <f t="array" ref="O48">MIN(IF((OutputTable[GroupByKey]=OutputTable[[#This Row],[GroupByKey]]),(OutputTable[GroupByKey]=OutputTable[[#This Row],[GroupByKey]])*OutputTable[RecordedValue]))</f>
        <v>0.32566726436532201</v>
      </c>
      <c r="P48" s="5" cm="1">
        <f t="array" ref="P48">MAX(IF((OutputTable[GroupByKey]=OutputTable[[#This Row],[GroupByKey]]),(OutputTable[GroupByKey]=OutputTable[[#This Row],[GroupByKey]])*OutputTable[RecordedValue]))</f>
        <v>0.42511230467838501</v>
      </c>
    </row>
    <row r="49" spans="1:16" x14ac:dyDescent="0.4">
      <c r="A49" t="s">
        <v>66</v>
      </c>
      <c r="B49" t="s">
        <v>69</v>
      </c>
      <c r="C49">
        <v>4</v>
      </c>
      <c r="D49" t="s">
        <v>119</v>
      </c>
      <c r="E49" t="s">
        <v>112</v>
      </c>
      <c r="F49" t="s">
        <v>97</v>
      </c>
      <c r="G49">
        <v>178</v>
      </c>
      <c r="H49">
        <v>0</v>
      </c>
      <c r="I49" s="5" t="str">
        <f>OutputTable[[#This Row],[ProjectName]]&amp;OutputTable[[#This Row],[Name]]&amp;OutputTable[[#This Row],[Type]]&amp;OutputTable[[#This Row],[Source]]</f>
        <v>Unnamed ProjectM4.NumberSeizedTotal Number SeizedResource</v>
      </c>
      <c r="J49" s="5" cm="1">
        <f t="array" ref="J49">MAX(IF((ProjectInfoTable[ProjectName]=OutputTable[[#This Row],[ProjectName]]),(ProjectInfoTable[ProjectName]=OutputTable[[#This Row],[ProjectName]])*ProjectInfoTable[NumberOfReplications]))</f>
        <v>10</v>
      </c>
      <c r="K49" s="5" cm="1">
        <f t="array" ref="K49">IFERROR(AVERAGE(IF((OutputTable[GroupByKey]=OutputTable[[#This Row],[GroupByKey]]),(OutputTable[GroupByKey]=OutputTable[[#This Row],[GroupByKey]])*OutputTable[RecordedValue])),0)</f>
        <v>165.9</v>
      </c>
      <c r="L49" s="5" cm="1">
        <f t="array" ref="L49">IFERROR(_xlfn.STDEV.S(IF((OutputTable[GroupByKey]=OutputTable[[#This Row],[GroupByKey]]),(OutputTable[GroupByKey]=OutputTable[[#This Row],[GroupByKey]])*OutputTable[RecordedValue])),0)</f>
        <v>13.795732029226366</v>
      </c>
      <c r="M49" s="5" cm="1">
        <f t="array" ref="M49">MAX(IF((ProjectInfoTable[ProjectName]=OutputTable[[#This Row],[ProjectName]]),(ProjectInfoTable[ProjectName]=OutputTable[[#This Row],[ProjectName]])*ProjectInfoTable[ConfidenceInterval]))</f>
        <v>0.95</v>
      </c>
      <c r="N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9.8688721800277719</v>
      </c>
      <c r="O49" s="5" cm="1">
        <f t="array" ref="O49">MIN(IF((OutputTable[GroupByKey]=OutputTable[[#This Row],[GroupByKey]]),(OutputTable[GroupByKey]=OutputTable[[#This Row],[GroupByKey]])*OutputTable[RecordedValue]))</f>
        <v>139</v>
      </c>
      <c r="P49" s="5" cm="1">
        <f t="array" ref="P49">MAX(IF((OutputTable[GroupByKey]=OutputTable[[#This Row],[GroupByKey]]),(OutputTable[GroupByKey]=OutputTable[[#This Row],[GroupByKey]])*OutputTable[RecordedValue]))</f>
        <v>182</v>
      </c>
    </row>
    <row r="50" spans="1:16" x14ac:dyDescent="0.4">
      <c r="A50" t="s">
        <v>66</v>
      </c>
      <c r="B50" t="s">
        <v>69</v>
      </c>
      <c r="C50">
        <v>4</v>
      </c>
      <c r="D50" t="s">
        <v>120</v>
      </c>
      <c r="E50" t="s">
        <v>114</v>
      </c>
      <c r="F50" t="s">
        <v>97</v>
      </c>
      <c r="G50">
        <v>0.717308496239496</v>
      </c>
      <c r="H50">
        <v>0</v>
      </c>
      <c r="I50" s="5" t="str">
        <f>OutputTable[[#This Row],[ProjectName]]&amp;OutputTable[[#This Row],[Name]]&amp;OutputTable[[#This Row],[Type]]&amp;OutputTable[[#This Row],[Source]]</f>
        <v>Unnamed ProjectM4.ScheduledUtilizationScheduled UtilizationResource</v>
      </c>
      <c r="J50" s="5" cm="1">
        <f t="array" ref="J50">MAX(IF((ProjectInfoTable[ProjectName]=OutputTable[[#This Row],[ProjectName]]),(ProjectInfoTable[ProjectName]=OutputTable[[#This Row],[ProjectName]])*ProjectInfoTable[NumberOfReplications]))</f>
        <v>10</v>
      </c>
      <c r="K50" s="5" cm="1">
        <f t="array" ref="K50">IFERROR(AVERAGE(IF((OutputTable[GroupByKey]=OutputTable[[#This Row],[GroupByKey]]),(OutputTable[GroupByKey]=OutputTable[[#This Row],[GroupByKey]])*OutputTable[RecordedValue])),0)</f>
        <v>0.68948907951108873</v>
      </c>
      <c r="L50" s="5" cm="1">
        <f t="array" ref="L50">IFERROR(_xlfn.STDEV.S(IF((OutputTable[GroupByKey]=OutputTable[[#This Row],[GroupByKey]]),(OutputTable[GroupByKey]=OutputTable[[#This Row],[GroupByKey]])*OutputTable[RecordedValue])),0)</f>
        <v>7.0099805521104841E-2</v>
      </c>
      <c r="M50" s="5" cm="1">
        <f t="array" ref="M50">MAX(IF((ProjectInfoTable[ProjectName]=OutputTable[[#This Row],[ProjectName]]),(ProjectInfoTable[ProjectName]=OutputTable[[#This Row],[ProjectName]])*ProjectInfoTable[ConfidenceInterval]))</f>
        <v>0.95</v>
      </c>
      <c r="N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5.0146379986722875E-2</v>
      </c>
      <c r="O50" s="5" cm="1">
        <f t="array" ref="O50">MIN(IF((OutputTable[GroupByKey]=OutputTable[[#This Row],[GroupByKey]]),(OutputTable[GroupByKey]=OutputTable[[#This Row],[GroupByKey]])*OutputTable[RecordedValue]))</f>
        <v>0.59708526729729605</v>
      </c>
      <c r="P50" s="5" cm="1">
        <f t="array" ref="P50">MAX(IF((OutputTable[GroupByKey]=OutputTable[[#This Row],[GroupByKey]]),(OutputTable[GroupByKey]=OutputTable[[#This Row],[GroupByKey]])*OutputTable[RecordedValue]))</f>
        <v>0.81511052462014799</v>
      </c>
    </row>
    <row r="51" spans="1:16" x14ac:dyDescent="0.4">
      <c r="A51" t="s">
        <v>66</v>
      </c>
      <c r="B51" t="s">
        <v>69</v>
      </c>
      <c r="C51">
        <v>4</v>
      </c>
      <c r="D51" t="s">
        <v>121</v>
      </c>
      <c r="E51" t="s">
        <v>112</v>
      </c>
      <c r="F51" t="s">
        <v>97</v>
      </c>
      <c r="G51">
        <v>238</v>
      </c>
      <c r="H51">
        <v>0</v>
      </c>
      <c r="I51" s="5" t="str">
        <f>OutputTable[[#This Row],[ProjectName]]&amp;OutputTable[[#This Row],[Name]]&amp;OutputTable[[#This Row],[Type]]&amp;OutputTable[[#This Row],[Source]]</f>
        <v>Unnamed ProjectM5.NumberSeizedTotal Number SeizedResource</v>
      </c>
      <c r="J51" s="5" cm="1">
        <f t="array" ref="J51">MAX(IF((ProjectInfoTable[ProjectName]=OutputTable[[#This Row],[ProjectName]]),(ProjectInfoTable[ProjectName]=OutputTable[[#This Row],[ProjectName]])*ProjectInfoTable[NumberOfReplications]))</f>
        <v>10</v>
      </c>
      <c r="K51" s="5" cm="1">
        <f t="array" ref="K51">IFERROR(AVERAGE(IF((OutputTable[GroupByKey]=OutputTable[[#This Row],[GroupByKey]]),(OutputTable[GroupByKey]=OutputTable[[#This Row],[GroupByKey]])*OutputTable[RecordedValue])),0)</f>
        <v>220.6</v>
      </c>
      <c r="L51" s="5" cm="1">
        <f t="array" ref="L51">IFERROR(_xlfn.STDEV.S(IF((OutputTable[GroupByKey]=OutputTable[[#This Row],[GroupByKey]]),(OutputTable[GroupByKey]=OutputTable[[#This Row],[GroupByKey]])*OutputTable[RecordedValue])),0)</f>
        <v>15.763530343450636</v>
      </c>
      <c r="M51" s="5" cm="1">
        <f t="array" ref="M51">MAX(IF((ProjectInfoTable[ProjectName]=OutputTable[[#This Row],[ProjectName]]),(ProjectInfoTable[ProjectName]=OutputTable[[#This Row],[ProjectName]])*ProjectInfoTable[ConfidenceInterval]))</f>
        <v>0.95</v>
      </c>
      <c r="N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11.276550293665537</v>
      </c>
      <c r="O51" s="5" cm="1">
        <f t="array" ref="O51">MIN(IF((OutputTable[GroupByKey]=OutputTable[[#This Row],[GroupByKey]]),(OutputTable[GroupByKey]=OutputTable[[#This Row],[GroupByKey]])*OutputTable[RecordedValue]))</f>
        <v>191</v>
      </c>
      <c r="P51" s="5" cm="1">
        <f t="array" ref="P51">MAX(IF((OutputTable[GroupByKey]=OutputTable[[#This Row],[GroupByKey]]),(OutputTable[GroupByKey]=OutputTable[[#This Row],[GroupByKey]])*OutputTable[RecordedValue]))</f>
        <v>238</v>
      </c>
    </row>
    <row r="52" spans="1:16" x14ac:dyDescent="0.4">
      <c r="A52" t="s">
        <v>66</v>
      </c>
      <c r="B52" t="s">
        <v>69</v>
      </c>
      <c r="C52">
        <v>4</v>
      </c>
      <c r="D52" t="s">
        <v>122</v>
      </c>
      <c r="E52" t="s">
        <v>114</v>
      </c>
      <c r="F52" t="s">
        <v>97</v>
      </c>
      <c r="G52">
        <v>0.391918845838306</v>
      </c>
      <c r="H52">
        <v>0</v>
      </c>
      <c r="I52" s="5" t="str">
        <f>OutputTable[[#This Row],[ProjectName]]&amp;OutputTable[[#This Row],[Name]]&amp;OutputTable[[#This Row],[Type]]&amp;OutputTable[[#This Row],[Source]]</f>
        <v>Unnamed ProjectM5.ScheduledUtilizationScheduled UtilizationResource</v>
      </c>
      <c r="J52" s="5" cm="1">
        <f t="array" ref="J52">MAX(IF((ProjectInfoTable[ProjectName]=OutputTable[[#This Row],[ProjectName]]),(ProjectInfoTable[ProjectName]=OutputTable[[#This Row],[ProjectName]])*ProjectInfoTable[NumberOfReplications]))</f>
        <v>10</v>
      </c>
      <c r="K52" s="5" cm="1">
        <f t="array" ref="K52">IFERROR(AVERAGE(IF((OutputTable[GroupByKey]=OutputTable[[#This Row],[GroupByKey]]),(OutputTable[GroupByKey]=OutputTable[[#This Row],[GroupByKey]])*OutputTable[RecordedValue])),0)</f>
        <v>0.35254112855323727</v>
      </c>
      <c r="L52" s="5" cm="1">
        <f t="array" ref="L52">IFERROR(_xlfn.STDEV.S(IF((OutputTable[GroupByKey]=OutputTable[[#This Row],[GroupByKey]]),(OutputTable[GroupByKey]=OutputTable[[#This Row],[GroupByKey]])*OutputTable[RecordedValue])),0)</f>
        <v>2.0819740340978523E-2</v>
      </c>
      <c r="M52" s="5" cm="1">
        <f t="array" ref="M52">MAX(IF((ProjectInfoTable[ProjectName]=OutputTable[[#This Row],[ProjectName]]),(ProjectInfoTable[ProjectName]=OutputTable[[#This Row],[ProjectName]])*ProjectInfoTable[ConfidenceInterval]))</f>
        <v>0.95</v>
      </c>
      <c r="N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1.4893545033435028E-2</v>
      </c>
      <c r="O52" s="5" cm="1">
        <f t="array" ref="O52">MIN(IF((OutputTable[GroupByKey]=OutputTable[[#This Row],[GroupByKey]]),(OutputTable[GroupByKey]=OutputTable[[#This Row],[GroupByKey]])*OutputTable[RecordedValue]))</f>
        <v>0.319082016284436</v>
      </c>
      <c r="P52" s="5" cm="1">
        <f t="array" ref="P52">MAX(IF((OutputTable[GroupByKey]=OutputTable[[#This Row],[GroupByKey]]),(OutputTable[GroupByKey]=OutputTable[[#This Row],[GroupByKey]])*OutputTable[RecordedValue]))</f>
        <v>0.391918845838306</v>
      </c>
    </row>
    <row r="53" spans="1:16" x14ac:dyDescent="0.4">
      <c r="A53" t="s">
        <v>66</v>
      </c>
      <c r="B53" t="s">
        <v>69</v>
      </c>
      <c r="C53">
        <v>4</v>
      </c>
      <c r="D53" t="s">
        <v>123</v>
      </c>
      <c r="E53" t="s">
        <v>110</v>
      </c>
      <c r="F53" t="s">
        <v>124</v>
      </c>
      <c r="G53">
        <v>237</v>
      </c>
      <c r="H53">
        <v>0</v>
      </c>
      <c r="I53" s="5" t="str">
        <f>OutputTable[[#This Row],[ProjectName]]&amp;OutputTable[[#This Row],[Name]]&amp;OutputTable[[#This Row],[Type]]&amp;OutputTable[[#This Row],[Source]]</f>
        <v>Unnamed ProjectSystem.NumberOutNumber OutSystem</v>
      </c>
      <c r="J53" s="5" cm="1">
        <f t="array" ref="J53">MAX(IF((ProjectInfoTable[ProjectName]=OutputTable[[#This Row],[ProjectName]]),(ProjectInfoTable[ProjectName]=OutputTable[[#This Row],[ProjectName]])*ProjectInfoTable[NumberOfReplications]))</f>
        <v>10</v>
      </c>
      <c r="K53" s="5" cm="1">
        <f t="array" ref="K53">IFERROR(AVERAGE(IF((OutputTable[GroupByKey]=OutputTable[[#This Row],[GroupByKey]]),(OutputTable[GroupByKey]=OutputTable[[#This Row],[GroupByKey]])*OutputTable[RecordedValue])),0)</f>
        <v>220.7</v>
      </c>
      <c r="L53" s="5" cm="1">
        <f t="array" ref="L53">IFERROR(_xlfn.STDEV.S(IF((OutputTable[GroupByKey]=OutputTable[[#This Row],[GroupByKey]]),(OutputTable[GroupByKey]=OutputTable[[#This Row],[GroupByKey]])*OutputTable[RecordedValue])),0)</f>
        <v>15.606622525923623</v>
      </c>
      <c r="M53" s="5" cm="1">
        <f t="array" ref="M53">MAX(IF((ProjectInfoTable[ProjectName]=OutputTable[[#This Row],[ProjectName]]),(ProjectInfoTable[ProjectName]=OutputTable[[#This Row],[ProjectName]])*ProjectInfoTable[ConfidenceInterval]))</f>
        <v>0.95</v>
      </c>
      <c r="N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11.164305202796802</v>
      </c>
      <c r="O53" s="5" cm="1">
        <f t="array" ref="O53">MIN(IF((OutputTable[GroupByKey]=OutputTable[[#This Row],[GroupByKey]]),(OutputTable[GroupByKey]=OutputTable[[#This Row],[GroupByKey]])*OutputTable[RecordedValue]))</f>
        <v>190</v>
      </c>
      <c r="P53" s="5" cm="1">
        <f t="array" ref="P53">MAX(IF((OutputTable[GroupByKey]=OutputTable[[#This Row],[GroupByKey]]),(OutputTable[GroupByKey]=OutputTable[[#This Row],[GroupByKey]])*OutputTable[RecordedValue]))</f>
        <v>237</v>
      </c>
    </row>
    <row r="54" spans="1:16" x14ac:dyDescent="0.4">
      <c r="A54" t="s">
        <v>66</v>
      </c>
      <c r="B54" t="s">
        <v>69</v>
      </c>
      <c r="C54">
        <v>5</v>
      </c>
      <c r="D54" t="s">
        <v>107</v>
      </c>
      <c r="E54" t="s">
        <v>108</v>
      </c>
      <c r="F54" t="s">
        <v>72</v>
      </c>
      <c r="G54">
        <v>196</v>
      </c>
      <c r="H54">
        <v>0</v>
      </c>
      <c r="I54" s="5" t="str">
        <f>OutputTable[[#This Row],[ProjectName]]&amp;OutputTable[[#This Row],[Name]]&amp;OutputTable[[#This Row],[Type]]&amp;OutputTable[[#This Row],[Source]]</f>
        <v>Unnamed ProjectEntity 1.NumberInNumber InEntity</v>
      </c>
      <c r="J54" s="5" cm="1">
        <f t="array" ref="J54">MAX(IF((ProjectInfoTable[ProjectName]=OutputTable[[#This Row],[ProjectName]]),(ProjectInfoTable[ProjectName]=OutputTable[[#This Row],[ProjectName]])*ProjectInfoTable[NumberOfReplications]))</f>
        <v>10</v>
      </c>
      <c r="K54" s="5" cm="1">
        <f t="array" ref="K54">IFERROR(AVERAGE(IF((OutputTable[GroupByKey]=OutputTable[[#This Row],[GroupByKey]]),(OutputTable[GroupByKey]=OutputTable[[#This Row],[GroupByKey]])*OutputTable[RecordedValue])),0)</f>
        <v>221.9</v>
      </c>
      <c r="L54" s="5" cm="1">
        <f t="array" ref="L54">IFERROR(_xlfn.STDEV.S(IF((OutputTable[GroupByKey]=OutputTable[[#This Row],[GroupByKey]]),(OutputTable[GroupByKey]=OutputTable[[#This Row],[GroupByKey]])*OutputTable[RecordedValue])),0)</f>
        <v>15.029230777979883</v>
      </c>
      <c r="M54" s="5" cm="1">
        <f t="array" ref="M54">MAX(IF((ProjectInfoTable[ProjectName]=OutputTable[[#This Row],[ProjectName]]),(ProjectInfoTable[ProjectName]=OutputTable[[#This Row],[ProjectName]])*ProjectInfoTable[ConfidenceInterval]))</f>
        <v>0.95</v>
      </c>
      <c r="N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10.751264028454774</v>
      </c>
      <c r="O54" s="5" cm="1">
        <f t="array" ref="O54">MIN(IF((OutputTable[GroupByKey]=OutputTable[[#This Row],[GroupByKey]]),(OutputTable[GroupByKey]=OutputTable[[#This Row],[GroupByKey]])*OutputTable[RecordedValue]))</f>
        <v>196</v>
      </c>
      <c r="P54" s="5" cm="1">
        <f t="array" ref="P54">MAX(IF((OutputTable[GroupByKey]=OutputTable[[#This Row],[GroupByKey]]),(OutputTable[GroupByKey]=OutputTable[[#This Row],[GroupByKey]])*OutputTable[RecordedValue]))</f>
        <v>237</v>
      </c>
    </row>
    <row r="55" spans="1:16" x14ac:dyDescent="0.4">
      <c r="A55" t="s">
        <v>66</v>
      </c>
      <c r="B55" t="s">
        <v>69</v>
      </c>
      <c r="C55">
        <v>5</v>
      </c>
      <c r="D55" t="s">
        <v>109</v>
      </c>
      <c r="E55" t="s">
        <v>110</v>
      </c>
      <c r="F55" t="s">
        <v>72</v>
      </c>
      <c r="G55">
        <v>190</v>
      </c>
      <c r="H55">
        <v>0</v>
      </c>
      <c r="I55" s="5" t="str">
        <f>OutputTable[[#This Row],[ProjectName]]&amp;OutputTable[[#This Row],[Name]]&amp;OutputTable[[#This Row],[Type]]&amp;OutputTable[[#This Row],[Source]]</f>
        <v>Unnamed ProjectEntity 1.NumberOutNumber OutEntity</v>
      </c>
      <c r="J55" s="5" cm="1">
        <f t="array" ref="J55">MAX(IF((ProjectInfoTable[ProjectName]=OutputTable[[#This Row],[ProjectName]]),(ProjectInfoTable[ProjectName]=OutputTable[[#This Row],[ProjectName]])*ProjectInfoTable[NumberOfReplications]))</f>
        <v>10</v>
      </c>
      <c r="K55" s="5" cm="1">
        <f t="array" ref="K55">IFERROR(AVERAGE(IF((OutputTable[GroupByKey]=OutputTable[[#This Row],[GroupByKey]]),(OutputTable[GroupByKey]=OutputTable[[#This Row],[GroupByKey]])*OutputTable[RecordedValue])),0)</f>
        <v>220.7</v>
      </c>
      <c r="L55" s="5" cm="1">
        <f t="array" ref="L55">IFERROR(_xlfn.STDEV.S(IF((OutputTable[GroupByKey]=OutputTable[[#This Row],[GroupByKey]]),(OutputTable[GroupByKey]=OutputTable[[#This Row],[GroupByKey]])*OutputTable[RecordedValue])),0)</f>
        <v>15.606622525923623</v>
      </c>
      <c r="M55" s="5" cm="1">
        <f t="array" ref="M55">MAX(IF((ProjectInfoTable[ProjectName]=OutputTable[[#This Row],[ProjectName]]),(ProjectInfoTable[ProjectName]=OutputTable[[#This Row],[ProjectName]])*ProjectInfoTable[ConfidenceInterval]))</f>
        <v>0.95</v>
      </c>
      <c r="N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11.164305202796802</v>
      </c>
      <c r="O55" s="5" cm="1">
        <f t="array" ref="O55">MIN(IF((OutputTable[GroupByKey]=OutputTable[[#This Row],[GroupByKey]]),(OutputTable[GroupByKey]=OutputTable[[#This Row],[GroupByKey]])*OutputTable[RecordedValue]))</f>
        <v>190</v>
      </c>
      <c r="P55" s="5" cm="1">
        <f t="array" ref="P55">MAX(IF((OutputTable[GroupByKey]=OutputTable[[#This Row],[GroupByKey]]),(OutputTable[GroupByKey]=OutputTable[[#This Row],[GroupByKey]])*OutputTable[RecordedValue]))</f>
        <v>237</v>
      </c>
    </row>
    <row r="56" spans="1:16" x14ac:dyDescent="0.4">
      <c r="A56" t="s">
        <v>66</v>
      </c>
      <c r="B56" t="s">
        <v>69</v>
      </c>
      <c r="C56">
        <v>5</v>
      </c>
      <c r="D56" t="s">
        <v>111</v>
      </c>
      <c r="E56" t="s">
        <v>112</v>
      </c>
      <c r="F56" t="s">
        <v>97</v>
      </c>
      <c r="G56">
        <v>142</v>
      </c>
      <c r="H56">
        <v>0</v>
      </c>
      <c r="I56" s="5" t="str">
        <f>OutputTable[[#This Row],[ProjectName]]&amp;OutputTable[[#This Row],[Name]]&amp;OutputTable[[#This Row],[Type]]&amp;OutputTable[[#This Row],[Source]]</f>
        <v>Unnamed ProjectM1.NumberSeizedTotal Number SeizedResource</v>
      </c>
      <c r="J56" s="5" cm="1">
        <f t="array" ref="J56">MAX(IF((ProjectInfoTable[ProjectName]=OutputTable[[#This Row],[ProjectName]]),(ProjectInfoTable[ProjectName]=OutputTable[[#This Row],[ProjectName]])*ProjectInfoTable[NumberOfReplications]))</f>
        <v>10</v>
      </c>
      <c r="K56" s="5" cm="1">
        <f t="array" ref="K56">IFERROR(AVERAGE(IF((OutputTable[GroupByKey]=OutputTable[[#This Row],[GroupByKey]]),(OutputTable[GroupByKey]=OutputTable[[#This Row],[GroupByKey]])*OutputTable[RecordedValue])),0)</f>
        <v>166.8</v>
      </c>
      <c r="L56" s="5" cm="1">
        <f t="array" ref="L56">IFERROR(_xlfn.STDEV.S(IF((OutputTable[GroupByKey]=OutputTable[[#This Row],[GroupByKey]]),(OutputTable[GroupByKey]=OutputTable[[#This Row],[GroupByKey]])*OutputTable[RecordedValue])),0)</f>
        <v>13.612086132877977</v>
      </c>
      <c r="M56" s="5" cm="1">
        <f t="array" ref="M56">MAX(IF((ProjectInfoTable[ProjectName]=OutputTable[[#This Row],[ProjectName]]),(ProjectInfoTable[ProjectName]=OutputTable[[#This Row],[ProjectName]])*ProjectInfoTable[ConfidenceInterval]))</f>
        <v>0.95</v>
      </c>
      <c r="N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9.7374998198217781</v>
      </c>
      <c r="O56" s="5" cm="1">
        <f t="array" ref="O56">MIN(IF((OutputTable[GroupByKey]=OutputTable[[#This Row],[GroupByKey]]),(OutputTable[GroupByKey]=OutputTable[[#This Row],[GroupByKey]])*OutputTable[RecordedValue]))</f>
        <v>142</v>
      </c>
      <c r="P56" s="5" cm="1">
        <f t="array" ref="P56">MAX(IF((OutputTable[GroupByKey]=OutputTable[[#This Row],[GroupByKey]]),(OutputTable[GroupByKey]=OutputTable[[#This Row],[GroupByKey]])*OutputTable[RecordedValue]))</f>
        <v>181</v>
      </c>
    </row>
    <row r="57" spans="1:16" x14ac:dyDescent="0.4">
      <c r="A57" t="s">
        <v>66</v>
      </c>
      <c r="B57" t="s">
        <v>69</v>
      </c>
      <c r="C57">
        <v>5</v>
      </c>
      <c r="D57" t="s">
        <v>113</v>
      </c>
      <c r="E57" t="s">
        <v>114</v>
      </c>
      <c r="F57" t="s">
        <v>97</v>
      </c>
      <c r="G57">
        <v>0.29539806709730798</v>
      </c>
      <c r="H57">
        <v>0</v>
      </c>
      <c r="I57" s="5" t="str">
        <f>OutputTable[[#This Row],[ProjectName]]&amp;OutputTable[[#This Row],[Name]]&amp;OutputTable[[#This Row],[Type]]&amp;OutputTable[[#This Row],[Source]]</f>
        <v>Unnamed ProjectM1.ScheduledUtilizationScheduled UtilizationResource</v>
      </c>
      <c r="J57" s="5" cm="1">
        <f t="array" ref="J57">MAX(IF((ProjectInfoTable[ProjectName]=OutputTable[[#This Row],[ProjectName]]),(ProjectInfoTable[ProjectName]=OutputTable[[#This Row],[ProjectName]])*ProjectInfoTable[NumberOfReplications]))</f>
        <v>10</v>
      </c>
      <c r="K57" s="5" cm="1">
        <f t="array" ref="K57">IFERROR(AVERAGE(IF((OutputTable[GroupByKey]=OutputTable[[#This Row],[GroupByKey]]),(OutputTable[GroupByKey]=OutputTable[[#This Row],[GroupByKey]])*OutputTable[RecordedValue])),0)</f>
        <v>0.35418637725041224</v>
      </c>
      <c r="L57" s="5" cm="1">
        <f t="array" ref="L57">IFERROR(_xlfn.STDEV.S(IF((OutputTable[GroupByKey]=OutputTable[[#This Row],[GroupByKey]]),(OutputTable[GroupByKey]=OutputTable[[#This Row],[GroupByKey]])*OutputTable[RecordedValue])),0)</f>
        <v>3.3453936231241439E-2</v>
      </c>
      <c r="M57" s="5" cm="1">
        <f t="array" ref="M57">MAX(IF((ProjectInfoTable[ProjectName]=OutputTable[[#This Row],[ProjectName]]),(ProjectInfoTable[ProjectName]=OutputTable[[#This Row],[ProjectName]])*ProjectInfoTable[ConfidenceInterval]))</f>
        <v>0.95</v>
      </c>
      <c r="N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2.3931504314920794E-2</v>
      </c>
      <c r="O57" s="5" cm="1">
        <f t="array" ref="O57">MIN(IF((OutputTable[GroupByKey]=OutputTable[[#This Row],[GroupByKey]]),(OutputTable[GroupByKey]=OutputTable[[#This Row],[GroupByKey]])*OutputTable[RecordedValue]))</f>
        <v>0.29539806709730798</v>
      </c>
      <c r="P57" s="5" cm="1">
        <f t="array" ref="P57">MAX(IF((OutputTable[GroupByKey]=OutputTable[[#This Row],[GroupByKey]]),(OutputTable[GroupByKey]=OutputTable[[#This Row],[GroupByKey]])*OutputTable[RecordedValue]))</f>
        <v>0.39865120046345498</v>
      </c>
    </row>
    <row r="58" spans="1:16" x14ac:dyDescent="0.4">
      <c r="A58" t="s">
        <v>66</v>
      </c>
      <c r="B58" t="s">
        <v>69</v>
      </c>
      <c r="C58">
        <v>5</v>
      </c>
      <c r="D58" t="s">
        <v>115</v>
      </c>
      <c r="E58" t="s">
        <v>112</v>
      </c>
      <c r="F58" t="s">
        <v>97</v>
      </c>
      <c r="G58">
        <v>101</v>
      </c>
      <c r="H58">
        <v>0</v>
      </c>
      <c r="I58" s="5" t="str">
        <f>OutputTable[[#This Row],[ProjectName]]&amp;OutputTable[[#This Row],[Name]]&amp;OutputTable[[#This Row],[Type]]&amp;OutputTable[[#This Row],[Source]]</f>
        <v>Unnamed ProjectM2.NumberSeizedTotal Number SeizedResource</v>
      </c>
      <c r="J58" s="5" cm="1">
        <f t="array" ref="J58">MAX(IF((ProjectInfoTable[ProjectName]=OutputTable[[#This Row],[ProjectName]]),(ProjectInfoTable[ProjectName]=OutputTable[[#This Row],[ProjectName]])*ProjectInfoTable[NumberOfReplications]))</f>
        <v>10</v>
      </c>
      <c r="K58" s="5" cm="1">
        <f t="array" ref="K58">IFERROR(AVERAGE(IF((OutputTable[GroupByKey]=OutputTable[[#This Row],[GroupByKey]]),(OutputTable[GroupByKey]=OutputTable[[#This Row],[GroupByKey]])*OutputTable[RecordedValue])),0)</f>
        <v>118.9</v>
      </c>
      <c r="L58" s="5" cm="1">
        <f t="array" ref="L58">IFERROR(_xlfn.STDEV.S(IF((OutputTable[GroupByKey]=OutputTable[[#This Row],[GroupByKey]]),(OutputTable[GroupByKey]=OutputTable[[#This Row],[GroupByKey]])*OutputTable[RecordedValue])),0)</f>
        <v>10.482260146446366</v>
      </c>
      <c r="M58" s="5" cm="1">
        <f t="array" ref="M58">MAX(IF((ProjectInfoTable[ProjectName]=OutputTable[[#This Row],[ProjectName]]),(ProjectInfoTable[ProjectName]=OutputTable[[#This Row],[ProjectName]])*ProjectInfoTable[ConfidenceInterval]))</f>
        <v>0.95</v>
      </c>
      <c r="N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7.4985571859414781</v>
      </c>
      <c r="O58" s="5" cm="1">
        <f t="array" ref="O58">MIN(IF((OutputTable[GroupByKey]=OutputTable[[#This Row],[GroupByKey]]),(OutputTable[GroupByKey]=OutputTable[[#This Row],[GroupByKey]])*OutputTable[RecordedValue]))</f>
        <v>101</v>
      </c>
      <c r="P58" s="5" cm="1">
        <f t="array" ref="P58">MAX(IF((OutputTable[GroupByKey]=OutputTable[[#This Row],[GroupByKey]]),(OutputTable[GroupByKey]=OutputTable[[#This Row],[GroupByKey]])*OutputTable[RecordedValue]))</f>
        <v>134</v>
      </c>
    </row>
    <row r="59" spans="1:16" x14ac:dyDescent="0.4">
      <c r="A59" t="s">
        <v>66</v>
      </c>
      <c r="B59" t="s">
        <v>69</v>
      </c>
      <c r="C59">
        <v>5</v>
      </c>
      <c r="D59" t="s">
        <v>116</v>
      </c>
      <c r="E59" t="s">
        <v>114</v>
      </c>
      <c r="F59" t="s">
        <v>97</v>
      </c>
      <c r="G59">
        <v>0.62412916158771403</v>
      </c>
      <c r="H59">
        <v>0</v>
      </c>
      <c r="I59" s="5" t="str">
        <f>OutputTable[[#This Row],[ProjectName]]&amp;OutputTable[[#This Row],[Name]]&amp;OutputTable[[#This Row],[Type]]&amp;OutputTable[[#This Row],[Source]]</f>
        <v>Unnamed ProjectM2.ScheduledUtilizationScheduled UtilizationResource</v>
      </c>
      <c r="J59" s="5" cm="1">
        <f t="array" ref="J59">MAX(IF((ProjectInfoTable[ProjectName]=OutputTable[[#This Row],[ProjectName]]),(ProjectInfoTable[ProjectName]=OutputTable[[#This Row],[ProjectName]])*ProjectInfoTable[NumberOfReplications]))</f>
        <v>10</v>
      </c>
      <c r="K59" s="5" cm="1">
        <f t="array" ref="K59">IFERROR(AVERAGE(IF((OutputTable[GroupByKey]=OutputTable[[#This Row],[GroupByKey]]),(OutputTable[GroupByKey]=OutputTable[[#This Row],[GroupByKey]])*OutputTable[RecordedValue])),0)</f>
        <v>0.79069410142096264</v>
      </c>
      <c r="L59" s="5" cm="1">
        <f t="array" ref="L59">IFERROR(_xlfn.STDEV.S(IF((OutputTable[GroupByKey]=OutputTable[[#This Row],[GroupByKey]]),(OutputTable[GroupByKey]=OutputTable[[#This Row],[GroupByKey]])*OutputTable[RecordedValue])),0)</f>
        <v>8.4677985904895448E-2</v>
      </c>
      <c r="M59" s="5" cm="1">
        <f t="array" ref="M59">MAX(IF((ProjectInfoTable[ProjectName]=OutputTable[[#This Row],[ProjectName]]),(ProjectInfoTable[ProjectName]=OutputTable[[#This Row],[ProjectName]])*ProjectInfoTable[ConfidenceInterval]))</f>
        <v>0.95</v>
      </c>
      <c r="N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6.0574982000753563E-2</v>
      </c>
      <c r="O59" s="5" cm="1">
        <f t="array" ref="O59">MIN(IF((OutputTable[GroupByKey]=OutputTable[[#This Row],[GroupByKey]]),(OutputTable[GroupByKey]=OutputTable[[#This Row],[GroupByKey]])*OutputTable[RecordedValue]))</f>
        <v>0.62412916158771403</v>
      </c>
      <c r="P59" s="5" cm="1">
        <f t="array" ref="P59">MAX(IF((OutputTable[GroupByKey]=OutputTable[[#This Row],[GroupByKey]]),(OutputTable[GroupByKey]=OutputTable[[#This Row],[GroupByKey]])*OutputTable[RecordedValue]))</f>
        <v>0.92247891730008102</v>
      </c>
    </row>
    <row r="60" spans="1:16" x14ac:dyDescent="0.4">
      <c r="A60" t="s">
        <v>66</v>
      </c>
      <c r="B60" t="s">
        <v>69</v>
      </c>
      <c r="C60">
        <v>5</v>
      </c>
      <c r="D60" t="s">
        <v>117</v>
      </c>
      <c r="E60" t="s">
        <v>112</v>
      </c>
      <c r="F60" t="s">
        <v>97</v>
      </c>
      <c r="G60">
        <v>149</v>
      </c>
      <c r="H60">
        <v>0</v>
      </c>
      <c r="I60" s="5" t="str">
        <f>OutputTable[[#This Row],[ProjectName]]&amp;OutputTable[[#This Row],[Name]]&amp;OutputTable[[#This Row],[Type]]&amp;OutputTable[[#This Row],[Source]]</f>
        <v>Unnamed ProjectM3.NumberSeizedTotal Number SeizedResource</v>
      </c>
      <c r="J60" s="5" cm="1">
        <f t="array" ref="J60">MAX(IF((ProjectInfoTable[ProjectName]=OutputTable[[#This Row],[ProjectName]]),(ProjectInfoTable[ProjectName]=OutputTable[[#This Row],[ProjectName]])*ProjectInfoTable[NumberOfReplications]))</f>
        <v>10</v>
      </c>
      <c r="K60" s="5" cm="1">
        <f t="array" ref="K60">IFERROR(AVERAGE(IF((OutputTable[GroupByKey]=OutputTable[[#This Row],[GroupByKey]]),(OutputTable[GroupByKey]=OutputTable[[#This Row],[GroupByKey]])*OutputTable[RecordedValue])),0)</f>
        <v>176.2</v>
      </c>
      <c r="L60" s="5" cm="1">
        <f t="array" ref="L60">IFERROR(_xlfn.STDEV.S(IF((OutputTable[GroupByKey]=OutputTable[[#This Row],[GroupByKey]]),(OutputTable[GroupByKey]=OutputTable[[#This Row],[GroupByKey]])*OutputTable[RecordedValue])),0)</f>
        <v>14.778362561528933</v>
      </c>
      <c r="M60" s="5" cm="1">
        <f t="array" ref="M60">MAX(IF((ProjectInfoTable[ProjectName]=OutputTable[[#This Row],[ProjectName]]),(ProjectInfoTable[ProjectName]=OutputTable[[#This Row],[ProjectName]])*ProjectInfoTable[ConfidenceInterval]))</f>
        <v>0.95</v>
      </c>
      <c r="N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10.571803717328045</v>
      </c>
      <c r="O60" s="5" cm="1">
        <f t="array" ref="O60">MIN(IF((OutputTable[GroupByKey]=OutputTable[[#This Row],[GroupByKey]]),(OutputTable[GroupByKey]=OutputTable[[#This Row],[GroupByKey]])*OutputTable[RecordedValue]))</f>
        <v>149</v>
      </c>
      <c r="P60" s="5" cm="1">
        <f t="array" ref="P60">MAX(IF((OutputTable[GroupByKey]=OutputTable[[#This Row],[GroupByKey]]),(OutputTable[GroupByKey]=OutputTable[[#This Row],[GroupByKey]])*OutputTable[RecordedValue]))</f>
        <v>198</v>
      </c>
    </row>
    <row r="61" spans="1:16" x14ac:dyDescent="0.4">
      <c r="A61" t="s">
        <v>66</v>
      </c>
      <c r="B61" t="s">
        <v>69</v>
      </c>
      <c r="C61">
        <v>5</v>
      </c>
      <c r="D61" t="s">
        <v>118</v>
      </c>
      <c r="E61" t="s">
        <v>114</v>
      </c>
      <c r="F61" t="s">
        <v>97</v>
      </c>
      <c r="G61">
        <v>0.32566726436532201</v>
      </c>
      <c r="H61">
        <v>0</v>
      </c>
      <c r="I61" s="5" t="str">
        <f>OutputTable[[#This Row],[ProjectName]]&amp;OutputTable[[#This Row],[Name]]&amp;OutputTable[[#This Row],[Type]]&amp;OutputTable[[#This Row],[Source]]</f>
        <v>Unnamed ProjectM3.ScheduledUtilizationScheduled UtilizationResource</v>
      </c>
      <c r="J61" s="5" cm="1">
        <f t="array" ref="J61">MAX(IF((ProjectInfoTable[ProjectName]=OutputTable[[#This Row],[ProjectName]]),(ProjectInfoTable[ProjectName]=OutputTable[[#This Row],[ProjectName]])*ProjectInfoTable[NumberOfReplications]))</f>
        <v>10</v>
      </c>
      <c r="K61" s="5" cm="1">
        <f t="array" ref="K61">IFERROR(AVERAGE(IF((OutputTable[GroupByKey]=OutputTable[[#This Row],[GroupByKey]]),(OutputTable[GroupByKey]=OutputTable[[#This Row],[GroupByKey]])*OutputTable[RecordedValue])),0)</f>
        <v>0.38204498745219106</v>
      </c>
      <c r="L61" s="5" cm="1">
        <f t="array" ref="L61">IFERROR(_xlfn.STDEV.S(IF((OutputTable[GroupByKey]=OutputTable[[#This Row],[GroupByKey]]),(OutputTable[GroupByKey]=OutputTable[[#This Row],[GroupByKey]])*OutputTable[RecordedValue])),0)</f>
        <v>2.9603647703352595E-2</v>
      </c>
      <c r="M61" s="5" cm="1">
        <f t="array" ref="M61">MAX(IF((ProjectInfoTable[ProjectName]=OutputTable[[#This Row],[ProjectName]]),(ProjectInfoTable[ProjectName]=OutputTable[[#This Row],[ProjectName]])*ProjectInfoTable[ConfidenceInterval]))</f>
        <v>0.95</v>
      </c>
      <c r="N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2.1177173826515884E-2</v>
      </c>
      <c r="O61" s="5" cm="1">
        <f t="array" ref="O61">MIN(IF((OutputTable[GroupByKey]=OutputTable[[#This Row],[GroupByKey]]),(OutputTable[GroupByKey]=OutputTable[[#This Row],[GroupByKey]])*OutputTable[RecordedValue]))</f>
        <v>0.32566726436532201</v>
      </c>
      <c r="P61" s="5" cm="1">
        <f t="array" ref="P61">MAX(IF((OutputTable[GroupByKey]=OutputTable[[#This Row],[GroupByKey]]),(OutputTable[GroupByKey]=OutputTable[[#This Row],[GroupByKey]])*OutputTable[RecordedValue]))</f>
        <v>0.42511230467838501</v>
      </c>
    </row>
    <row r="62" spans="1:16" x14ac:dyDescent="0.4">
      <c r="A62" t="s">
        <v>66</v>
      </c>
      <c r="B62" t="s">
        <v>69</v>
      </c>
      <c r="C62">
        <v>5</v>
      </c>
      <c r="D62" t="s">
        <v>119</v>
      </c>
      <c r="E62" t="s">
        <v>112</v>
      </c>
      <c r="F62" t="s">
        <v>97</v>
      </c>
      <c r="G62">
        <v>139</v>
      </c>
      <c r="H62">
        <v>0</v>
      </c>
      <c r="I62" s="5" t="str">
        <f>OutputTable[[#This Row],[ProjectName]]&amp;OutputTable[[#This Row],[Name]]&amp;OutputTable[[#This Row],[Type]]&amp;OutputTable[[#This Row],[Source]]</f>
        <v>Unnamed ProjectM4.NumberSeizedTotal Number SeizedResource</v>
      </c>
      <c r="J62" s="5" cm="1">
        <f t="array" ref="J62">MAX(IF((ProjectInfoTable[ProjectName]=OutputTable[[#This Row],[ProjectName]]),(ProjectInfoTable[ProjectName]=OutputTable[[#This Row],[ProjectName]])*ProjectInfoTable[NumberOfReplications]))</f>
        <v>10</v>
      </c>
      <c r="K62" s="5" cm="1">
        <f t="array" ref="K62">IFERROR(AVERAGE(IF((OutputTable[GroupByKey]=OutputTable[[#This Row],[GroupByKey]]),(OutputTable[GroupByKey]=OutputTable[[#This Row],[GroupByKey]])*OutputTable[RecordedValue])),0)</f>
        <v>165.9</v>
      </c>
      <c r="L62" s="5" cm="1">
        <f t="array" ref="L62">IFERROR(_xlfn.STDEV.S(IF((OutputTable[GroupByKey]=OutputTable[[#This Row],[GroupByKey]]),(OutputTable[GroupByKey]=OutputTable[[#This Row],[GroupByKey]])*OutputTable[RecordedValue])),0)</f>
        <v>13.795732029226366</v>
      </c>
      <c r="M62" s="5" cm="1">
        <f t="array" ref="M62">MAX(IF((ProjectInfoTable[ProjectName]=OutputTable[[#This Row],[ProjectName]]),(ProjectInfoTable[ProjectName]=OutputTable[[#This Row],[ProjectName]])*ProjectInfoTable[ConfidenceInterval]))</f>
        <v>0.95</v>
      </c>
      <c r="N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9.8688721800277719</v>
      </c>
      <c r="O62" s="5" cm="1">
        <f t="array" ref="O62">MIN(IF((OutputTable[GroupByKey]=OutputTable[[#This Row],[GroupByKey]]),(OutputTable[GroupByKey]=OutputTable[[#This Row],[GroupByKey]])*OutputTable[RecordedValue]))</f>
        <v>139</v>
      </c>
      <c r="P62" s="5" cm="1">
        <f t="array" ref="P62">MAX(IF((OutputTable[GroupByKey]=OutputTable[[#This Row],[GroupByKey]]),(OutputTable[GroupByKey]=OutputTable[[#This Row],[GroupByKey]])*OutputTable[RecordedValue]))</f>
        <v>182</v>
      </c>
    </row>
    <row r="63" spans="1:16" x14ac:dyDescent="0.4">
      <c r="A63" t="s">
        <v>66</v>
      </c>
      <c r="B63" t="s">
        <v>69</v>
      </c>
      <c r="C63">
        <v>5</v>
      </c>
      <c r="D63" t="s">
        <v>120</v>
      </c>
      <c r="E63" t="s">
        <v>114</v>
      </c>
      <c r="F63" t="s">
        <v>97</v>
      </c>
      <c r="G63">
        <v>0.60529230314451898</v>
      </c>
      <c r="H63">
        <v>0</v>
      </c>
      <c r="I63" s="5" t="str">
        <f>OutputTable[[#This Row],[ProjectName]]&amp;OutputTable[[#This Row],[Name]]&amp;OutputTable[[#This Row],[Type]]&amp;OutputTable[[#This Row],[Source]]</f>
        <v>Unnamed ProjectM4.ScheduledUtilizationScheduled UtilizationResource</v>
      </c>
      <c r="J63" s="5" cm="1">
        <f t="array" ref="J63">MAX(IF((ProjectInfoTable[ProjectName]=OutputTable[[#This Row],[ProjectName]]),(ProjectInfoTable[ProjectName]=OutputTable[[#This Row],[ProjectName]])*ProjectInfoTable[NumberOfReplications]))</f>
        <v>10</v>
      </c>
      <c r="K63" s="5" cm="1">
        <f t="array" ref="K63">IFERROR(AVERAGE(IF((OutputTable[GroupByKey]=OutputTable[[#This Row],[GroupByKey]]),(OutputTable[GroupByKey]=OutputTable[[#This Row],[GroupByKey]])*OutputTable[RecordedValue])),0)</f>
        <v>0.68948907951108873</v>
      </c>
      <c r="L63" s="5" cm="1">
        <f t="array" ref="L63">IFERROR(_xlfn.STDEV.S(IF((OutputTable[GroupByKey]=OutputTable[[#This Row],[GroupByKey]]),(OutputTable[GroupByKey]=OutputTable[[#This Row],[GroupByKey]])*OutputTable[RecordedValue])),0)</f>
        <v>7.0099805521104841E-2</v>
      </c>
      <c r="M63" s="5" cm="1">
        <f t="array" ref="M63">MAX(IF((ProjectInfoTable[ProjectName]=OutputTable[[#This Row],[ProjectName]]),(ProjectInfoTable[ProjectName]=OutputTable[[#This Row],[ProjectName]])*ProjectInfoTable[ConfidenceInterval]))</f>
        <v>0.95</v>
      </c>
      <c r="N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5.0146379986722875E-2</v>
      </c>
      <c r="O63" s="5" cm="1">
        <f t="array" ref="O63">MIN(IF((OutputTable[GroupByKey]=OutputTable[[#This Row],[GroupByKey]]),(OutputTable[GroupByKey]=OutputTable[[#This Row],[GroupByKey]])*OutputTable[RecordedValue]))</f>
        <v>0.59708526729729605</v>
      </c>
      <c r="P63" s="5" cm="1">
        <f t="array" ref="P63">MAX(IF((OutputTable[GroupByKey]=OutputTable[[#This Row],[GroupByKey]]),(OutputTable[GroupByKey]=OutputTable[[#This Row],[GroupByKey]])*OutputTable[RecordedValue]))</f>
        <v>0.81511052462014799</v>
      </c>
    </row>
    <row r="64" spans="1:16" x14ac:dyDescent="0.4">
      <c r="A64" t="s">
        <v>66</v>
      </c>
      <c r="B64" t="s">
        <v>69</v>
      </c>
      <c r="C64">
        <v>5</v>
      </c>
      <c r="D64" t="s">
        <v>121</v>
      </c>
      <c r="E64" t="s">
        <v>112</v>
      </c>
      <c r="F64" t="s">
        <v>97</v>
      </c>
      <c r="G64">
        <v>191</v>
      </c>
      <c r="H64">
        <v>0</v>
      </c>
      <c r="I64" s="5" t="str">
        <f>OutputTable[[#This Row],[ProjectName]]&amp;OutputTable[[#This Row],[Name]]&amp;OutputTable[[#This Row],[Type]]&amp;OutputTable[[#This Row],[Source]]</f>
        <v>Unnamed ProjectM5.NumberSeizedTotal Number SeizedResource</v>
      </c>
      <c r="J64" s="5" cm="1">
        <f t="array" ref="J64">MAX(IF((ProjectInfoTable[ProjectName]=OutputTable[[#This Row],[ProjectName]]),(ProjectInfoTable[ProjectName]=OutputTable[[#This Row],[ProjectName]])*ProjectInfoTable[NumberOfReplications]))</f>
        <v>10</v>
      </c>
      <c r="K64" s="5" cm="1">
        <f t="array" ref="K64">IFERROR(AVERAGE(IF((OutputTable[GroupByKey]=OutputTable[[#This Row],[GroupByKey]]),(OutputTable[GroupByKey]=OutputTable[[#This Row],[GroupByKey]])*OutputTable[RecordedValue])),0)</f>
        <v>220.6</v>
      </c>
      <c r="L64" s="5" cm="1">
        <f t="array" ref="L64">IFERROR(_xlfn.STDEV.S(IF((OutputTable[GroupByKey]=OutputTable[[#This Row],[GroupByKey]]),(OutputTable[GroupByKey]=OutputTable[[#This Row],[GroupByKey]])*OutputTable[RecordedValue])),0)</f>
        <v>15.763530343450636</v>
      </c>
      <c r="M64" s="5" cm="1">
        <f t="array" ref="M64">MAX(IF((ProjectInfoTable[ProjectName]=OutputTable[[#This Row],[ProjectName]]),(ProjectInfoTable[ProjectName]=OutputTable[[#This Row],[ProjectName]])*ProjectInfoTable[ConfidenceInterval]))</f>
        <v>0.95</v>
      </c>
      <c r="N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11.276550293665537</v>
      </c>
      <c r="O64" s="5" cm="1">
        <f t="array" ref="O64">MIN(IF((OutputTable[GroupByKey]=OutputTable[[#This Row],[GroupByKey]]),(OutputTable[GroupByKey]=OutputTable[[#This Row],[GroupByKey]])*OutputTable[RecordedValue]))</f>
        <v>191</v>
      </c>
      <c r="P64" s="5" cm="1">
        <f t="array" ref="P64">MAX(IF((OutputTable[GroupByKey]=OutputTable[[#This Row],[GroupByKey]]),(OutputTable[GroupByKey]=OutputTable[[#This Row],[GroupByKey]])*OutputTable[RecordedValue]))</f>
        <v>238</v>
      </c>
    </row>
    <row r="65" spans="1:16" x14ac:dyDescent="0.4">
      <c r="A65" t="s">
        <v>66</v>
      </c>
      <c r="B65" t="s">
        <v>69</v>
      </c>
      <c r="C65">
        <v>5</v>
      </c>
      <c r="D65" t="s">
        <v>122</v>
      </c>
      <c r="E65" t="s">
        <v>114</v>
      </c>
      <c r="F65" t="s">
        <v>97</v>
      </c>
      <c r="G65">
        <v>0.32936941916130702</v>
      </c>
      <c r="H65">
        <v>0</v>
      </c>
      <c r="I65" s="5" t="str">
        <f>OutputTable[[#This Row],[ProjectName]]&amp;OutputTable[[#This Row],[Name]]&amp;OutputTable[[#This Row],[Type]]&amp;OutputTable[[#This Row],[Source]]</f>
        <v>Unnamed ProjectM5.ScheduledUtilizationScheduled UtilizationResource</v>
      </c>
      <c r="J65" s="5" cm="1">
        <f t="array" ref="J65">MAX(IF((ProjectInfoTable[ProjectName]=OutputTable[[#This Row],[ProjectName]]),(ProjectInfoTable[ProjectName]=OutputTable[[#This Row],[ProjectName]])*ProjectInfoTable[NumberOfReplications]))</f>
        <v>10</v>
      </c>
      <c r="K65" s="5" cm="1">
        <f t="array" ref="K65">IFERROR(AVERAGE(IF((OutputTable[GroupByKey]=OutputTable[[#This Row],[GroupByKey]]),(OutputTable[GroupByKey]=OutputTable[[#This Row],[GroupByKey]])*OutputTable[RecordedValue])),0)</f>
        <v>0.35254112855323727</v>
      </c>
      <c r="L65" s="5" cm="1">
        <f t="array" ref="L65">IFERROR(_xlfn.STDEV.S(IF((OutputTable[GroupByKey]=OutputTable[[#This Row],[GroupByKey]]),(OutputTable[GroupByKey]=OutputTable[[#This Row],[GroupByKey]])*OutputTable[RecordedValue])),0)</f>
        <v>2.0819740340978523E-2</v>
      </c>
      <c r="M65" s="5" cm="1">
        <f t="array" ref="M65">MAX(IF((ProjectInfoTable[ProjectName]=OutputTable[[#This Row],[ProjectName]]),(ProjectInfoTable[ProjectName]=OutputTable[[#This Row],[ProjectName]])*ProjectInfoTable[ConfidenceInterval]))</f>
        <v>0.95</v>
      </c>
      <c r="N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1.4893545033435028E-2</v>
      </c>
      <c r="O65" s="5" cm="1">
        <f t="array" ref="O65">MIN(IF((OutputTable[GroupByKey]=OutputTable[[#This Row],[GroupByKey]]),(OutputTable[GroupByKey]=OutputTable[[#This Row],[GroupByKey]])*OutputTable[RecordedValue]))</f>
        <v>0.319082016284436</v>
      </c>
      <c r="P65" s="5" cm="1">
        <f t="array" ref="P65">MAX(IF((OutputTable[GroupByKey]=OutputTable[[#This Row],[GroupByKey]]),(OutputTable[GroupByKey]=OutputTable[[#This Row],[GroupByKey]])*OutputTable[RecordedValue]))</f>
        <v>0.391918845838306</v>
      </c>
    </row>
    <row r="66" spans="1:16" x14ac:dyDescent="0.4">
      <c r="A66" t="s">
        <v>66</v>
      </c>
      <c r="B66" t="s">
        <v>69</v>
      </c>
      <c r="C66">
        <v>5</v>
      </c>
      <c r="D66" t="s">
        <v>123</v>
      </c>
      <c r="E66" t="s">
        <v>110</v>
      </c>
      <c r="F66" t="s">
        <v>124</v>
      </c>
      <c r="G66">
        <v>190</v>
      </c>
      <c r="H66">
        <v>0</v>
      </c>
      <c r="I66" s="5" t="str">
        <f>OutputTable[[#This Row],[ProjectName]]&amp;OutputTable[[#This Row],[Name]]&amp;OutputTable[[#This Row],[Type]]&amp;OutputTable[[#This Row],[Source]]</f>
        <v>Unnamed ProjectSystem.NumberOutNumber OutSystem</v>
      </c>
      <c r="J66" s="5" cm="1">
        <f t="array" ref="J66">MAX(IF((ProjectInfoTable[ProjectName]=OutputTable[[#This Row],[ProjectName]]),(ProjectInfoTable[ProjectName]=OutputTable[[#This Row],[ProjectName]])*ProjectInfoTable[NumberOfReplications]))</f>
        <v>10</v>
      </c>
      <c r="K66" s="5" cm="1">
        <f t="array" ref="K66">IFERROR(AVERAGE(IF((OutputTable[GroupByKey]=OutputTable[[#This Row],[GroupByKey]]),(OutputTable[GroupByKey]=OutputTable[[#This Row],[GroupByKey]])*OutputTable[RecordedValue])),0)</f>
        <v>220.7</v>
      </c>
      <c r="L66" s="5" cm="1">
        <f t="array" ref="L66">IFERROR(_xlfn.STDEV.S(IF((OutputTable[GroupByKey]=OutputTable[[#This Row],[GroupByKey]]),(OutputTable[GroupByKey]=OutputTable[[#This Row],[GroupByKey]])*OutputTable[RecordedValue])),0)</f>
        <v>15.606622525923623</v>
      </c>
      <c r="M66" s="5" cm="1">
        <f t="array" ref="M66">MAX(IF((ProjectInfoTable[ProjectName]=OutputTable[[#This Row],[ProjectName]]),(ProjectInfoTable[ProjectName]=OutputTable[[#This Row],[ProjectName]])*ProjectInfoTable[ConfidenceInterval]))</f>
        <v>0.95</v>
      </c>
      <c r="N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11.164305202796802</v>
      </c>
      <c r="O66" s="5" cm="1">
        <f t="array" ref="O66">MIN(IF((OutputTable[GroupByKey]=OutputTable[[#This Row],[GroupByKey]]),(OutputTable[GroupByKey]=OutputTable[[#This Row],[GroupByKey]])*OutputTable[RecordedValue]))</f>
        <v>190</v>
      </c>
      <c r="P66" s="5" cm="1">
        <f t="array" ref="P66">MAX(IF((OutputTable[GroupByKey]=OutputTable[[#This Row],[GroupByKey]]),(OutputTable[GroupByKey]=OutputTable[[#This Row],[GroupByKey]])*OutputTable[RecordedValue]))</f>
        <v>237</v>
      </c>
    </row>
    <row r="67" spans="1:16" x14ac:dyDescent="0.4">
      <c r="A67" t="s">
        <v>66</v>
      </c>
      <c r="B67" t="s">
        <v>69</v>
      </c>
      <c r="C67">
        <v>6</v>
      </c>
      <c r="D67" t="s">
        <v>107</v>
      </c>
      <c r="E67" t="s">
        <v>108</v>
      </c>
      <c r="F67" t="s">
        <v>72</v>
      </c>
      <c r="G67">
        <v>237</v>
      </c>
      <c r="H67">
        <v>0</v>
      </c>
      <c r="I67" s="5" t="str">
        <f>OutputTable[[#This Row],[ProjectName]]&amp;OutputTable[[#This Row],[Name]]&amp;OutputTable[[#This Row],[Type]]&amp;OutputTable[[#This Row],[Source]]</f>
        <v>Unnamed ProjectEntity 1.NumberInNumber InEntity</v>
      </c>
      <c r="J67" s="5" cm="1">
        <f t="array" ref="J67">MAX(IF((ProjectInfoTable[ProjectName]=OutputTable[[#This Row],[ProjectName]]),(ProjectInfoTable[ProjectName]=OutputTable[[#This Row],[ProjectName]])*ProjectInfoTable[NumberOfReplications]))</f>
        <v>10</v>
      </c>
      <c r="K67" s="5" cm="1">
        <f t="array" ref="K67">IFERROR(AVERAGE(IF((OutputTable[GroupByKey]=OutputTable[[#This Row],[GroupByKey]]),(OutputTable[GroupByKey]=OutputTable[[#This Row],[GroupByKey]])*OutputTable[RecordedValue])),0)</f>
        <v>221.9</v>
      </c>
      <c r="L67" s="5" cm="1">
        <f t="array" ref="L67">IFERROR(_xlfn.STDEV.S(IF((OutputTable[GroupByKey]=OutputTable[[#This Row],[GroupByKey]]),(OutputTable[GroupByKey]=OutputTable[[#This Row],[GroupByKey]])*OutputTable[RecordedValue])),0)</f>
        <v>15.029230777979883</v>
      </c>
      <c r="M67" s="5" cm="1">
        <f t="array" ref="M67">MAX(IF((ProjectInfoTable[ProjectName]=OutputTable[[#This Row],[ProjectName]]),(ProjectInfoTable[ProjectName]=OutputTable[[#This Row],[ProjectName]])*ProjectInfoTable[ConfidenceInterval]))</f>
        <v>0.95</v>
      </c>
      <c r="N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10.751264028454774</v>
      </c>
      <c r="O67" s="5" cm="1">
        <f t="array" ref="O67">MIN(IF((OutputTable[GroupByKey]=OutputTable[[#This Row],[GroupByKey]]),(OutputTable[GroupByKey]=OutputTable[[#This Row],[GroupByKey]])*OutputTable[RecordedValue]))</f>
        <v>196</v>
      </c>
      <c r="P67" s="5" cm="1">
        <f t="array" ref="P67">MAX(IF((OutputTable[GroupByKey]=OutputTable[[#This Row],[GroupByKey]]),(OutputTable[GroupByKey]=OutputTable[[#This Row],[GroupByKey]])*OutputTable[RecordedValue]))</f>
        <v>237</v>
      </c>
    </row>
    <row r="68" spans="1:16" x14ac:dyDescent="0.4">
      <c r="A68" t="s">
        <v>66</v>
      </c>
      <c r="B68" t="s">
        <v>69</v>
      </c>
      <c r="C68">
        <v>6</v>
      </c>
      <c r="D68" t="s">
        <v>109</v>
      </c>
      <c r="E68" t="s">
        <v>110</v>
      </c>
      <c r="F68" t="s">
        <v>72</v>
      </c>
      <c r="G68">
        <v>234</v>
      </c>
      <c r="H68">
        <v>0</v>
      </c>
      <c r="I68" s="5" t="str">
        <f>OutputTable[[#This Row],[ProjectName]]&amp;OutputTable[[#This Row],[Name]]&amp;OutputTable[[#This Row],[Type]]&amp;OutputTable[[#This Row],[Source]]</f>
        <v>Unnamed ProjectEntity 1.NumberOutNumber OutEntity</v>
      </c>
      <c r="J68" s="5" cm="1">
        <f t="array" ref="J68">MAX(IF((ProjectInfoTable[ProjectName]=OutputTable[[#This Row],[ProjectName]]),(ProjectInfoTable[ProjectName]=OutputTable[[#This Row],[ProjectName]])*ProjectInfoTable[NumberOfReplications]))</f>
        <v>10</v>
      </c>
      <c r="K68" s="5" cm="1">
        <f t="array" ref="K68">IFERROR(AVERAGE(IF((OutputTable[GroupByKey]=OutputTable[[#This Row],[GroupByKey]]),(OutputTable[GroupByKey]=OutputTable[[#This Row],[GroupByKey]])*OutputTable[RecordedValue])),0)</f>
        <v>220.7</v>
      </c>
      <c r="L68" s="5" cm="1">
        <f t="array" ref="L68">IFERROR(_xlfn.STDEV.S(IF((OutputTable[GroupByKey]=OutputTable[[#This Row],[GroupByKey]]),(OutputTable[GroupByKey]=OutputTable[[#This Row],[GroupByKey]])*OutputTable[RecordedValue])),0)</f>
        <v>15.606622525923623</v>
      </c>
      <c r="M68" s="5" cm="1">
        <f t="array" ref="M68">MAX(IF((ProjectInfoTable[ProjectName]=OutputTable[[#This Row],[ProjectName]]),(ProjectInfoTable[ProjectName]=OutputTable[[#This Row],[ProjectName]])*ProjectInfoTable[ConfidenceInterval]))</f>
        <v>0.95</v>
      </c>
      <c r="N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11.164305202796802</v>
      </c>
      <c r="O68" s="5" cm="1">
        <f t="array" ref="O68">MIN(IF((OutputTable[GroupByKey]=OutputTable[[#This Row],[GroupByKey]]),(OutputTable[GroupByKey]=OutputTable[[#This Row],[GroupByKey]])*OutputTable[RecordedValue]))</f>
        <v>190</v>
      </c>
      <c r="P68" s="5" cm="1">
        <f t="array" ref="P68">MAX(IF((OutputTable[GroupByKey]=OutputTable[[#This Row],[GroupByKey]]),(OutputTable[GroupByKey]=OutputTable[[#This Row],[GroupByKey]])*OutputTable[RecordedValue]))</f>
        <v>237</v>
      </c>
    </row>
    <row r="69" spans="1:16" x14ac:dyDescent="0.4">
      <c r="A69" t="s">
        <v>66</v>
      </c>
      <c r="B69" t="s">
        <v>69</v>
      </c>
      <c r="C69">
        <v>6</v>
      </c>
      <c r="D69" t="s">
        <v>111</v>
      </c>
      <c r="E69" t="s">
        <v>112</v>
      </c>
      <c r="F69" t="s">
        <v>97</v>
      </c>
      <c r="G69">
        <v>171</v>
      </c>
      <c r="H69">
        <v>0</v>
      </c>
      <c r="I69" s="5" t="str">
        <f>OutputTable[[#This Row],[ProjectName]]&amp;OutputTable[[#This Row],[Name]]&amp;OutputTable[[#This Row],[Type]]&amp;OutputTable[[#This Row],[Source]]</f>
        <v>Unnamed ProjectM1.NumberSeizedTotal Number SeizedResource</v>
      </c>
      <c r="J69" s="5" cm="1">
        <f t="array" ref="J69">MAX(IF((ProjectInfoTable[ProjectName]=OutputTable[[#This Row],[ProjectName]]),(ProjectInfoTable[ProjectName]=OutputTable[[#This Row],[ProjectName]])*ProjectInfoTable[NumberOfReplications]))</f>
        <v>10</v>
      </c>
      <c r="K69" s="5" cm="1">
        <f t="array" ref="K69">IFERROR(AVERAGE(IF((OutputTable[GroupByKey]=OutputTable[[#This Row],[GroupByKey]]),(OutputTable[GroupByKey]=OutputTable[[#This Row],[GroupByKey]])*OutputTable[RecordedValue])),0)</f>
        <v>166.8</v>
      </c>
      <c r="L69" s="5" cm="1">
        <f t="array" ref="L69">IFERROR(_xlfn.STDEV.S(IF((OutputTable[GroupByKey]=OutputTable[[#This Row],[GroupByKey]]),(OutputTable[GroupByKey]=OutputTable[[#This Row],[GroupByKey]])*OutputTable[RecordedValue])),0)</f>
        <v>13.612086132877977</v>
      </c>
      <c r="M69" s="5" cm="1">
        <f t="array" ref="M69">MAX(IF((ProjectInfoTable[ProjectName]=OutputTable[[#This Row],[ProjectName]]),(ProjectInfoTable[ProjectName]=OutputTable[[#This Row],[ProjectName]])*ProjectInfoTable[ConfidenceInterval]))</f>
        <v>0.95</v>
      </c>
      <c r="N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9.7374998198217781</v>
      </c>
      <c r="O69" s="5" cm="1">
        <f t="array" ref="O69">MIN(IF((OutputTable[GroupByKey]=OutputTable[[#This Row],[GroupByKey]]),(OutputTable[GroupByKey]=OutputTable[[#This Row],[GroupByKey]])*OutputTable[RecordedValue]))</f>
        <v>142</v>
      </c>
      <c r="P69" s="5" cm="1">
        <f t="array" ref="P69">MAX(IF((OutputTable[GroupByKey]=OutputTable[[#This Row],[GroupByKey]]),(OutputTable[GroupByKey]=OutputTable[[#This Row],[GroupByKey]])*OutputTable[RecordedValue]))</f>
        <v>181</v>
      </c>
    </row>
    <row r="70" spans="1:16" x14ac:dyDescent="0.4">
      <c r="A70" t="s">
        <v>66</v>
      </c>
      <c r="B70" t="s">
        <v>69</v>
      </c>
      <c r="C70">
        <v>6</v>
      </c>
      <c r="D70" t="s">
        <v>113</v>
      </c>
      <c r="E70" t="s">
        <v>114</v>
      </c>
      <c r="F70" t="s">
        <v>97</v>
      </c>
      <c r="G70">
        <v>0.34507357353450202</v>
      </c>
      <c r="H70">
        <v>0</v>
      </c>
      <c r="I70" s="5" t="str">
        <f>OutputTable[[#This Row],[ProjectName]]&amp;OutputTable[[#This Row],[Name]]&amp;OutputTable[[#This Row],[Type]]&amp;OutputTable[[#This Row],[Source]]</f>
        <v>Unnamed ProjectM1.ScheduledUtilizationScheduled UtilizationResource</v>
      </c>
      <c r="J70" s="5" cm="1">
        <f t="array" ref="J70">MAX(IF((ProjectInfoTable[ProjectName]=OutputTable[[#This Row],[ProjectName]]),(ProjectInfoTable[ProjectName]=OutputTable[[#This Row],[ProjectName]])*ProjectInfoTable[NumberOfReplications]))</f>
        <v>10</v>
      </c>
      <c r="K70" s="5" cm="1">
        <f t="array" ref="K70">IFERROR(AVERAGE(IF((OutputTable[GroupByKey]=OutputTable[[#This Row],[GroupByKey]]),(OutputTable[GroupByKey]=OutputTable[[#This Row],[GroupByKey]])*OutputTable[RecordedValue])),0)</f>
        <v>0.35418637725041224</v>
      </c>
      <c r="L70" s="5" cm="1">
        <f t="array" ref="L70">IFERROR(_xlfn.STDEV.S(IF((OutputTable[GroupByKey]=OutputTable[[#This Row],[GroupByKey]]),(OutputTable[GroupByKey]=OutputTable[[#This Row],[GroupByKey]])*OutputTable[RecordedValue])),0)</f>
        <v>3.3453936231241439E-2</v>
      </c>
      <c r="M70" s="5" cm="1">
        <f t="array" ref="M70">MAX(IF((ProjectInfoTable[ProjectName]=OutputTable[[#This Row],[ProjectName]]),(ProjectInfoTable[ProjectName]=OutputTable[[#This Row],[ProjectName]])*ProjectInfoTable[ConfidenceInterval]))</f>
        <v>0.95</v>
      </c>
      <c r="N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2.3931504314920794E-2</v>
      </c>
      <c r="O70" s="5" cm="1">
        <f t="array" ref="O70">MIN(IF((OutputTable[GroupByKey]=OutputTable[[#This Row],[GroupByKey]]),(OutputTable[GroupByKey]=OutputTable[[#This Row],[GroupByKey]])*OutputTable[RecordedValue]))</f>
        <v>0.29539806709730798</v>
      </c>
      <c r="P70" s="5" cm="1">
        <f t="array" ref="P70">MAX(IF((OutputTable[GroupByKey]=OutputTable[[#This Row],[GroupByKey]]),(OutputTable[GroupByKey]=OutputTable[[#This Row],[GroupByKey]])*OutputTable[RecordedValue]))</f>
        <v>0.39865120046345498</v>
      </c>
    </row>
    <row r="71" spans="1:16" x14ac:dyDescent="0.4">
      <c r="A71" t="s">
        <v>66</v>
      </c>
      <c r="B71" t="s">
        <v>69</v>
      </c>
      <c r="C71">
        <v>6</v>
      </c>
      <c r="D71" t="s">
        <v>115</v>
      </c>
      <c r="E71" t="s">
        <v>112</v>
      </c>
      <c r="F71" t="s">
        <v>97</v>
      </c>
      <c r="G71">
        <v>134</v>
      </c>
      <c r="H71">
        <v>0</v>
      </c>
      <c r="I71" s="5" t="str">
        <f>OutputTable[[#This Row],[ProjectName]]&amp;OutputTable[[#This Row],[Name]]&amp;OutputTable[[#This Row],[Type]]&amp;OutputTable[[#This Row],[Source]]</f>
        <v>Unnamed ProjectM2.NumberSeizedTotal Number SeizedResource</v>
      </c>
      <c r="J71" s="5" cm="1">
        <f t="array" ref="J71">MAX(IF((ProjectInfoTable[ProjectName]=OutputTable[[#This Row],[ProjectName]]),(ProjectInfoTable[ProjectName]=OutputTable[[#This Row],[ProjectName]])*ProjectInfoTable[NumberOfReplications]))</f>
        <v>10</v>
      </c>
      <c r="K71" s="5" cm="1">
        <f t="array" ref="K71">IFERROR(AVERAGE(IF((OutputTable[GroupByKey]=OutputTable[[#This Row],[GroupByKey]]),(OutputTable[GroupByKey]=OutputTable[[#This Row],[GroupByKey]])*OutputTable[RecordedValue])),0)</f>
        <v>118.9</v>
      </c>
      <c r="L71" s="5" cm="1">
        <f t="array" ref="L71">IFERROR(_xlfn.STDEV.S(IF((OutputTable[GroupByKey]=OutputTable[[#This Row],[GroupByKey]]),(OutputTable[GroupByKey]=OutputTable[[#This Row],[GroupByKey]])*OutputTable[RecordedValue])),0)</f>
        <v>10.482260146446366</v>
      </c>
      <c r="M71" s="5" cm="1">
        <f t="array" ref="M71">MAX(IF((ProjectInfoTable[ProjectName]=OutputTable[[#This Row],[ProjectName]]),(ProjectInfoTable[ProjectName]=OutputTable[[#This Row],[ProjectName]])*ProjectInfoTable[ConfidenceInterval]))</f>
        <v>0.95</v>
      </c>
      <c r="N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7.4985571859414781</v>
      </c>
      <c r="O71" s="5" cm="1">
        <f t="array" ref="O71">MIN(IF((OutputTable[GroupByKey]=OutputTable[[#This Row],[GroupByKey]]),(OutputTable[GroupByKey]=OutputTable[[#This Row],[GroupByKey]])*OutputTable[RecordedValue]))</f>
        <v>101</v>
      </c>
      <c r="P71" s="5" cm="1">
        <f t="array" ref="P71">MAX(IF((OutputTable[GroupByKey]=OutputTable[[#This Row],[GroupByKey]]),(OutputTable[GroupByKey]=OutputTable[[#This Row],[GroupByKey]])*OutputTable[RecordedValue]))</f>
        <v>134</v>
      </c>
    </row>
    <row r="72" spans="1:16" x14ac:dyDescent="0.4">
      <c r="A72" t="s">
        <v>66</v>
      </c>
      <c r="B72" t="s">
        <v>69</v>
      </c>
      <c r="C72">
        <v>6</v>
      </c>
      <c r="D72" t="s">
        <v>116</v>
      </c>
      <c r="E72" t="s">
        <v>114</v>
      </c>
      <c r="F72" t="s">
        <v>97</v>
      </c>
      <c r="G72">
        <v>0.82323740090020403</v>
      </c>
      <c r="H72">
        <v>0</v>
      </c>
      <c r="I72" s="5" t="str">
        <f>OutputTable[[#This Row],[ProjectName]]&amp;OutputTable[[#This Row],[Name]]&amp;OutputTable[[#This Row],[Type]]&amp;OutputTable[[#This Row],[Source]]</f>
        <v>Unnamed ProjectM2.ScheduledUtilizationScheduled UtilizationResource</v>
      </c>
      <c r="J72" s="5" cm="1">
        <f t="array" ref="J72">MAX(IF((ProjectInfoTable[ProjectName]=OutputTable[[#This Row],[ProjectName]]),(ProjectInfoTable[ProjectName]=OutputTable[[#This Row],[ProjectName]])*ProjectInfoTable[NumberOfReplications]))</f>
        <v>10</v>
      </c>
      <c r="K72" s="5" cm="1">
        <f t="array" ref="K72">IFERROR(AVERAGE(IF((OutputTable[GroupByKey]=OutputTable[[#This Row],[GroupByKey]]),(OutputTable[GroupByKey]=OutputTable[[#This Row],[GroupByKey]])*OutputTable[RecordedValue])),0)</f>
        <v>0.79069410142096264</v>
      </c>
      <c r="L72" s="5" cm="1">
        <f t="array" ref="L72">IFERROR(_xlfn.STDEV.S(IF((OutputTable[GroupByKey]=OutputTable[[#This Row],[GroupByKey]]),(OutputTable[GroupByKey]=OutputTable[[#This Row],[GroupByKey]])*OutputTable[RecordedValue])),0)</f>
        <v>8.4677985904895448E-2</v>
      </c>
      <c r="M72" s="5" cm="1">
        <f t="array" ref="M72">MAX(IF((ProjectInfoTable[ProjectName]=OutputTable[[#This Row],[ProjectName]]),(ProjectInfoTable[ProjectName]=OutputTable[[#This Row],[ProjectName]])*ProjectInfoTable[ConfidenceInterval]))</f>
        <v>0.95</v>
      </c>
      <c r="N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6.0574982000753563E-2</v>
      </c>
      <c r="O72" s="5" cm="1">
        <f t="array" ref="O72">MIN(IF((OutputTable[GroupByKey]=OutputTable[[#This Row],[GroupByKey]]),(OutputTable[GroupByKey]=OutputTable[[#This Row],[GroupByKey]])*OutputTable[RecordedValue]))</f>
        <v>0.62412916158771403</v>
      </c>
      <c r="P72" s="5" cm="1">
        <f t="array" ref="P72">MAX(IF((OutputTable[GroupByKey]=OutputTable[[#This Row],[GroupByKey]]),(OutputTable[GroupByKey]=OutputTable[[#This Row],[GroupByKey]])*OutputTable[RecordedValue]))</f>
        <v>0.92247891730008102</v>
      </c>
    </row>
    <row r="73" spans="1:16" x14ac:dyDescent="0.4">
      <c r="A73" t="s">
        <v>66</v>
      </c>
      <c r="B73" t="s">
        <v>69</v>
      </c>
      <c r="C73">
        <v>6</v>
      </c>
      <c r="D73" t="s">
        <v>117</v>
      </c>
      <c r="E73" t="s">
        <v>112</v>
      </c>
      <c r="F73" t="s">
        <v>97</v>
      </c>
      <c r="G73">
        <v>198</v>
      </c>
      <c r="H73">
        <v>0</v>
      </c>
      <c r="I73" s="5" t="str">
        <f>OutputTable[[#This Row],[ProjectName]]&amp;OutputTable[[#This Row],[Name]]&amp;OutputTable[[#This Row],[Type]]&amp;OutputTable[[#This Row],[Source]]</f>
        <v>Unnamed ProjectM3.NumberSeizedTotal Number SeizedResource</v>
      </c>
      <c r="J73" s="5" cm="1">
        <f t="array" ref="J73">MAX(IF((ProjectInfoTable[ProjectName]=OutputTable[[#This Row],[ProjectName]]),(ProjectInfoTable[ProjectName]=OutputTable[[#This Row],[ProjectName]])*ProjectInfoTable[NumberOfReplications]))</f>
        <v>10</v>
      </c>
      <c r="K73" s="5" cm="1">
        <f t="array" ref="K73">IFERROR(AVERAGE(IF((OutputTable[GroupByKey]=OutputTable[[#This Row],[GroupByKey]]),(OutputTable[GroupByKey]=OutputTable[[#This Row],[GroupByKey]])*OutputTable[RecordedValue])),0)</f>
        <v>176.2</v>
      </c>
      <c r="L73" s="5" cm="1">
        <f t="array" ref="L73">IFERROR(_xlfn.STDEV.S(IF((OutputTable[GroupByKey]=OutputTable[[#This Row],[GroupByKey]]),(OutputTable[GroupByKey]=OutputTable[[#This Row],[GroupByKey]])*OutputTable[RecordedValue])),0)</f>
        <v>14.778362561528933</v>
      </c>
      <c r="M73" s="5" cm="1">
        <f t="array" ref="M73">MAX(IF((ProjectInfoTable[ProjectName]=OutputTable[[#This Row],[ProjectName]]),(ProjectInfoTable[ProjectName]=OutputTable[[#This Row],[ProjectName]])*ProjectInfoTable[ConfidenceInterval]))</f>
        <v>0.95</v>
      </c>
      <c r="N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10.571803717328045</v>
      </c>
      <c r="O73" s="5" cm="1">
        <f t="array" ref="O73">MIN(IF((OutputTable[GroupByKey]=OutputTable[[#This Row],[GroupByKey]]),(OutputTable[GroupByKey]=OutputTable[[#This Row],[GroupByKey]])*OutputTable[RecordedValue]))</f>
        <v>149</v>
      </c>
      <c r="P73" s="5" cm="1">
        <f t="array" ref="P73">MAX(IF((OutputTable[GroupByKey]=OutputTable[[#This Row],[GroupByKey]]),(OutputTable[GroupByKey]=OutputTable[[#This Row],[GroupByKey]])*OutputTable[RecordedValue]))</f>
        <v>198</v>
      </c>
    </row>
    <row r="74" spans="1:16" x14ac:dyDescent="0.4">
      <c r="A74" t="s">
        <v>66</v>
      </c>
      <c r="B74" t="s">
        <v>69</v>
      </c>
      <c r="C74">
        <v>6</v>
      </c>
      <c r="D74" t="s">
        <v>118</v>
      </c>
      <c r="E74" t="s">
        <v>114</v>
      </c>
      <c r="F74" t="s">
        <v>97</v>
      </c>
      <c r="G74">
        <v>0.39092037028876497</v>
      </c>
      <c r="H74">
        <v>0</v>
      </c>
      <c r="I74" s="5" t="str">
        <f>OutputTable[[#This Row],[ProjectName]]&amp;OutputTable[[#This Row],[Name]]&amp;OutputTable[[#This Row],[Type]]&amp;OutputTable[[#This Row],[Source]]</f>
        <v>Unnamed ProjectM3.ScheduledUtilizationScheduled UtilizationResource</v>
      </c>
      <c r="J74" s="5" cm="1">
        <f t="array" ref="J74">MAX(IF((ProjectInfoTable[ProjectName]=OutputTable[[#This Row],[ProjectName]]),(ProjectInfoTable[ProjectName]=OutputTable[[#This Row],[ProjectName]])*ProjectInfoTable[NumberOfReplications]))</f>
        <v>10</v>
      </c>
      <c r="K74" s="5" cm="1">
        <f t="array" ref="K74">IFERROR(AVERAGE(IF((OutputTable[GroupByKey]=OutputTable[[#This Row],[GroupByKey]]),(OutputTable[GroupByKey]=OutputTable[[#This Row],[GroupByKey]])*OutputTable[RecordedValue])),0)</f>
        <v>0.38204498745219106</v>
      </c>
      <c r="L74" s="5" cm="1">
        <f t="array" ref="L74">IFERROR(_xlfn.STDEV.S(IF((OutputTable[GroupByKey]=OutputTable[[#This Row],[GroupByKey]]),(OutputTable[GroupByKey]=OutputTable[[#This Row],[GroupByKey]])*OutputTable[RecordedValue])),0)</f>
        <v>2.9603647703352595E-2</v>
      </c>
      <c r="M74" s="5" cm="1">
        <f t="array" ref="M74">MAX(IF((ProjectInfoTable[ProjectName]=OutputTable[[#This Row],[ProjectName]]),(ProjectInfoTable[ProjectName]=OutputTable[[#This Row],[ProjectName]])*ProjectInfoTable[ConfidenceInterval]))</f>
        <v>0.95</v>
      </c>
      <c r="N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2.1177173826515884E-2</v>
      </c>
      <c r="O74" s="5" cm="1">
        <f t="array" ref="O74">MIN(IF((OutputTable[GroupByKey]=OutputTable[[#This Row],[GroupByKey]]),(OutputTable[GroupByKey]=OutputTable[[#This Row],[GroupByKey]])*OutputTable[RecordedValue]))</f>
        <v>0.32566726436532201</v>
      </c>
      <c r="P74" s="5" cm="1">
        <f t="array" ref="P74">MAX(IF((OutputTable[GroupByKey]=OutputTable[[#This Row],[GroupByKey]]),(OutputTable[GroupByKey]=OutputTable[[#This Row],[GroupByKey]])*OutputTable[RecordedValue]))</f>
        <v>0.42511230467838501</v>
      </c>
    </row>
    <row r="75" spans="1:16" x14ac:dyDescent="0.4">
      <c r="A75" t="s">
        <v>66</v>
      </c>
      <c r="B75" t="s">
        <v>69</v>
      </c>
      <c r="C75">
        <v>6</v>
      </c>
      <c r="D75" t="s">
        <v>119</v>
      </c>
      <c r="E75" t="s">
        <v>112</v>
      </c>
      <c r="F75" t="s">
        <v>97</v>
      </c>
      <c r="G75">
        <v>169</v>
      </c>
      <c r="H75">
        <v>0</v>
      </c>
      <c r="I75" s="5" t="str">
        <f>OutputTable[[#This Row],[ProjectName]]&amp;OutputTable[[#This Row],[Name]]&amp;OutputTable[[#This Row],[Type]]&amp;OutputTable[[#This Row],[Source]]</f>
        <v>Unnamed ProjectM4.NumberSeizedTotal Number SeizedResource</v>
      </c>
      <c r="J75" s="5" cm="1">
        <f t="array" ref="J75">MAX(IF((ProjectInfoTable[ProjectName]=OutputTable[[#This Row],[ProjectName]]),(ProjectInfoTable[ProjectName]=OutputTable[[#This Row],[ProjectName]])*ProjectInfoTable[NumberOfReplications]))</f>
        <v>10</v>
      </c>
      <c r="K75" s="5" cm="1">
        <f t="array" ref="K75">IFERROR(AVERAGE(IF((OutputTable[GroupByKey]=OutputTable[[#This Row],[GroupByKey]]),(OutputTable[GroupByKey]=OutputTable[[#This Row],[GroupByKey]])*OutputTable[RecordedValue])),0)</f>
        <v>165.9</v>
      </c>
      <c r="L75" s="5" cm="1">
        <f t="array" ref="L75">IFERROR(_xlfn.STDEV.S(IF((OutputTable[GroupByKey]=OutputTable[[#This Row],[GroupByKey]]),(OutputTable[GroupByKey]=OutputTable[[#This Row],[GroupByKey]])*OutputTable[RecordedValue])),0)</f>
        <v>13.795732029226366</v>
      </c>
      <c r="M75" s="5" cm="1">
        <f t="array" ref="M75">MAX(IF((ProjectInfoTable[ProjectName]=OutputTable[[#This Row],[ProjectName]]),(ProjectInfoTable[ProjectName]=OutputTable[[#This Row],[ProjectName]])*ProjectInfoTable[ConfidenceInterval]))</f>
        <v>0.95</v>
      </c>
      <c r="N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9.8688721800277719</v>
      </c>
      <c r="O75" s="5" cm="1">
        <f t="array" ref="O75">MIN(IF((OutputTable[GroupByKey]=OutputTable[[#This Row],[GroupByKey]]),(OutputTable[GroupByKey]=OutputTable[[#This Row],[GroupByKey]])*OutputTable[RecordedValue]))</f>
        <v>139</v>
      </c>
      <c r="P75" s="5" cm="1">
        <f t="array" ref="P75">MAX(IF((OutputTable[GroupByKey]=OutputTable[[#This Row],[GroupByKey]]),(OutputTable[GroupByKey]=OutputTable[[#This Row],[GroupByKey]])*OutputTable[RecordedValue]))</f>
        <v>182</v>
      </c>
    </row>
    <row r="76" spans="1:16" x14ac:dyDescent="0.4">
      <c r="A76" t="s">
        <v>66</v>
      </c>
      <c r="B76" t="s">
        <v>69</v>
      </c>
      <c r="C76">
        <v>6</v>
      </c>
      <c r="D76" t="s">
        <v>120</v>
      </c>
      <c r="E76" t="s">
        <v>114</v>
      </c>
      <c r="F76" t="s">
        <v>97</v>
      </c>
      <c r="G76">
        <v>0.71830326862960303</v>
      </c>
      <c r="H76">
        <v>0</v>
      </c>
      <c r="I76" s="5" t="str">
        <f>OutputTable[[#This Row],[ProjectName]]&amp;OutputTable[[#This Row],[Name]]&amp;OutputTable[[#This Row],[Type]]&amp;OutputTable[[#This Row],[Source]]</f>
        <v>Unnamed ProjectM4.ScheduledUtilizationScheduled UtilizationResource</v>
      </c>
      <c r="J76" s="5" cm="1">
        <f t="array" ref="J76">MAX(IF((ProjectInfoTable[ProjectName]=OutputTable[[#This Row],[ProjectName]]),(ProjectInfoTable[ProjectName]=OutputTable[[#This Row],[ProjectName]])*ProjectInfoTable[NumberOfReplications]))</f>
        <v>10</v>
      </c>
      <c r="K76" s="5" cm="1">
        <f t="array" ref="K76">IFERROR(AVERAGE(IF((OutputTable[GroupByKey]=OutputTable[[#This Row],[GroupByKey]]),(OutputTable[GroupByKey]=OutputTable[[#This Row],[GroupByKey]])*OutputTable[RecordedValue])),0)</f>
        <v>0.68948907951108873</v>
      </c>
      <c r="L76" s="5" cm="1">
        <f t="array" ref="L76">IFERROR(_xlfn.STDEV.S(IF((OutputTable[GroupByKey]=OutputTable[[#This Row],[GroupByKey]]),(OutputTable[GroupByKey]=OutputTable[[#This Row],[GroupByKey]])*OutputTable[RecordedValue])),0)</f>
        <v>7.0099805521104841E-2</v>
      </c>
      <c r="M76" s="5" cm="1">
        <f t="array" ref="M76">MAX(IF((ProjectInfoTable[ProjectName]=OutputTable[[#This Row],[ProjectName]]),(ProjectInfoTable[ProjectName]=OutputTable[[#This Row],[ProjectName]])*ProjectInfoTable[ConfidenceInterval]))</f>
        <v>0.95</v>
      </c>
      <c r="N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5.0146379986722875E-2</v>
      </c>
      <c r="O76" s="5" cm="1">
        <f t="array" ref="O76">MIN(IF((OutputTable[GroupByKey]=OutputTable[[#This Row],[GroupByKey]]),(OutputTable[GroupByKey]=OutputTable[[#This Row],[GroupByKey]])*OutputTable[RecordedValue]))</f>
        <v>0.59708526729729605</v>
      </c>
      <c r="P76" s="5" cm="1">
        <f t="array" ref="P76">MAX(IF((OutputTable[GroupByKey]=OutputTable[[#This Row],[GroupByKey]]),(OutputTable[GroupByKey]=OutputTable[[#This Row],[GroupByKey]])*OutputTable[RecordedValue]))</f>
        <v>0.81511052462014799</v>
      </c>
    </row>
    <row r="77" spans="1:16" x14ac:dyDescent="0.4">
      <c r="A77" t="s">
        <v>66</v>
      </c>
      <c r="B77" t="s">
        <v>69</v>
      </c>
      <c r="C77">
        <v>6</v>
      </c>
      <c r="D77" t="s">
        <v>121</v>
      </c>
      <c r="E77" t="s">
        <v>112</v>
      </c>
      <c r="F77" t="s">
        <v>97</v>
      </c>
      <c r="G77">
        <v>235</v>
      </c>
      <c r="H77">
        <v>0</v>
      </c>
      <c r="I77" s="5" t="str">
        <f>OutputTable[[#This Row],[ProjectName]]&amp;OutputTable[[#This Row],[Name]]&amp;OutputTable[[#This Row],[Type]]&amp;OutputTable[[#This Row],[Source]]</f>
        <v>Unnamed ProjectM5.NumberSeizedTotal Number SeizedResource</v>
      </c>
      <c r="J77" s="5" cm="1">
        <f t="array" ref="J77">MAX(IF((ProjectInfoTable[ProjectName]=OutputTable[[#This Row],[ProjectName]]),(ProjectInfoTable[ProjectName]=OutputTable[[#This Row],[ProjectName]])*ProjectInfoTable[NumberOfReplications]))</f>
        <v>10</v>
      </c>
      <c r="K77" s="5" cm="1">
        <f t="array" ref="K77">IFERROR(AVERAGE(IF((OutputTable[GroupByKey]=OutputTable[[#This Row],[GroupByKey]]),(OutputTable[GroupByKey]=OutputTable[[#This Row],[GroupByKey]])*OutputTable[RecordedValue])),0)</f>
        <v>220.6</v>
      </c>
      <c r="L77" s="5" cm="1">
        <f t="array" ref="L77">IFERROR(_xlfn.STDEV.S(IF((OutputTable[GroupByKey]=OutputTable[[#This Row],[GroupByKey]]),(OutputTable[GroupByKey]=OutputTable[[#This Row],[GroupByKey]])*OutputTable[RecordedValue])),0)</f>
        <v>15.763530343450636</v>
      </c>
      <c r="M77" s="5" cm="1">
        <f t="array" ref="M77">MAX(IF((ProjectInfoTable[ProjectName]=OutputTable[[#This Row],[ProjectName]]),(ProjectInfoTable[ProjectName]=OutputTable[[#This Row],[ProjectName]])*ProjectInfoTable[ConfidenceInterval]))</f>
        <v>0.95</v>
      </c>
      <c r="N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11.276550293665537</v>
      </c>
      <c r="O77" s="5" cm="1">
        <f t="array" ref="O77">MIN(IF((OutputTable[GroupByKey]=OutputTable[[#This Row],[GroupByKey]]),(OutputTable[GroupByKey]=OutputTable[[#This Row],[GroupByKey]])*OutputTable[RecordedValue]))</f>
        <v>191</v>
      </c>
      <c r="P77" s="5" cm="1">
        <f t="array" ref="P77">MAX(IF((OutputTable[GroupByKey]=OutputTable[[#This Row],[GroupByKey]]),(OutputTable[GroupByKey]=OutputTable[[#This Row],[GroupByKey]])*OutputTable[RecordedValue]))</f>
        <v>238</v>
      </c>
    </row>
    <row r="78" spans="1:16" x14ac:dyDescent="0.4">
      <c r="A78" t="s">
        <v>66</v>
      </c>
      <c r="B78" t="s">
        <v>69</v>
      </c>
      <c r="C78">
        <v>6</v>
      </c>
      <c r="D78" t="s">
        <v>122</v>
      </c>
      <c r="E78" t="s">
        <v>114</v>
      </c>
      <c r="F78" t="s">
        <v>97</v>
      </c>
      <c r="G78">
        <v>0.36488042746038601</v>
      </c>
      <c r="H78">
        <v>0</v>
      </c>
      <c r="I78" s="5" t="str">
        <f>OutputTable[[#This Row],[ProjectName]]&amp;OutputTable[[#This Row],[Name]]&amp;OutputTable[[#This Row],[Type]]&amp;OutputTable[[#This Row],[Source]]</f>
        <v>Unnamed ProjectM5.ScheduledUtilizationScheduled UtilizationResource</v>
      </c>
      <c r="J78" s="5" cm="1">
        <f t="array" ref="J78">MAX(IF((ProjectInfoTable[ProjectName]=OutputTable[[#This Row],[ProjectName]]),(ProjectInfoTable[ProjectName]=OutputTable[[#This Row],[ProjectName]])*ProjectInfoTable[NumberOfReplications]))</f>
        <v>10</v>
      </c>
      <c r="K78" s="5" cm="1">
        <f t="array" ref="K78">IFERROR(AVERAGE(IF((OutputTable[GroupByKey]=OutputTable[[#This Row],[GroupByKey]]),(OutputTable[GroupByKey]=OutputTable[[#This Row],[GroupByKey]])*OutputTable[RecordedValue])),0)</f>
        <v>0.35254112855323727</v>
      </c>
      <c r="L78" s="5" cm="1">
        <f t="array" ref="L78">IFERROR(_xlfn.STDEV.S(IF((OutputTable[GroupByKey]=OutputTable[[#This Row],[GroupByKey]]),(OutputTable[GroupByKey]=OutputTable[[#This Row],[GroupByKey]])*OutputTable[RecordedValue])),0)</f>
        <v>2.0819740340978523E-2</v>
      </c>
      <c r="M78" s="5" cm="1">
        <f t="array" ref="M78">MAX(IF((ProjectInfoTable[ProjectName]=OutputTable[[#This Row],[ProjectName]]),(ProjectInfoTable[ProjectName]=OutputTable[[#This Row],[ProjectName]])*ProjectInfoTable[ConfidenceInterval]))</f>
        <v>0.95</v>
      </c>
      <c r="N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1.4893545033435028E-2</v>
      </c>
      <c r="O78" s="5" cm="1">
        <f t="array" ref="O78">MIN(IF((OutputTable[GroupByKey]=OutputTable[[#This Row],[GroupByKey]]),(OutputTable[GroupByKey]=OutputTable[[#This Row],[GroupByKey]])*OutputTable[RecordedValue]))</f>
        <v>0.319082016284436</v>
      </c>
      <c r="P78" s="5" cm="1">
        <f t="array" ref="P78">MAX(IF((OutputTable[GroupByKey]=OutputTable[[#This Row],[GroupByKey]]),(OutputTable[GroupByKey]=OutputTable[[#This Row],[GroupByKey]])*OutputTable[RecordedValue]))</f>
        <v>0.391918845838306</v>
      </c>
    </row>
    <row r="79" spans="1:16" x14ac:dyDescent="0.4">
      <c r="A79" t="s">
        <v>66</v>
      </c>
      <c r="B79" t="s">
        <v>69</v>
      </c>
      <c r="C79">
        <v>6</v>
      </c>
      <c r="D79" t="s">
        <v>123</v>
      </c>
      <c r="E79" t="s">
        <v>110</v>
      </c>
      <c r="F79" t="s">
        <v>124</v>
      </c>
      <c r="G79">
        <v>234</v>
      </c>
      <c r="H79">
        <v>0</v>
      </c>
      <c r="I79" s="5" t="str">
        <f>OutputTable[[#This Row],[ProjectName]]&amp;OutputTable[[#This Row],[Name]]&amp;OutputTable[[#This Row],[Type]]&amp;OutputTable[[#This Row],[Source]]</f>
        <v>Unnamed ProjectSystem.NumberOutNumber OutSystem</v>
      </c>
      <c r="J79" s="5" cm="1">
        <f t="array" ref="J79">MAX(IF((ProjectInfoTable[ProjectName]=OutputTable[[#This Row],[ProjectName]]),(ProjectInfoTable[ProjectName]=OutputTable[[#This Row],[ProjectName]])*ProjectInfoTable[NumberOfReplications]))</f>
        <v>10</v>
      </c>
      <c r="K79" s="5" cm="1">
        <f t="array" ref="K79">IFERROR(AVERAGE(IF((OutputTable[GroupByKey]=OutputTable[[#This Row],[GroupByKey]]),(OutputTable[GroupByKey]=OutputTable[[#This Row],[GroupByKey]])*OutputTable[RecordedValue])),0)</f>
        <v>220.7</v>
      </c>
      <c r="L79" s="5" cm="1">
        <f t="array" ref="L79">IFERROR(_xlfn.STDEV.S(IF((OutputTable[GroupByKey]=OutputTable[[#This Row],[GroupByKey]]),(OutputTable[GroupByKey]=OutputTable[[#This Row],[GroupByKey]])*OutputTable[RecordedValue])),0)</f>
        <v>15.606622525923623</v>
      </c>
      <c r="M79" s="5" cm="1">
        <f t="array" ref="M79">MAX(IF((ProjectInfoTable[ProjectName]=OutputTable[[#This Row],[ProjectName]]),(ProjectInfoTable[ProjectName]=OutputTable[[#This Row],[ProjectName]])*ProjectInfoTable[ConfidenceInterval]))</f>
        <v>0.95</v>
      </c>
      <c r="N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11.164305202796802</v>
      </c>
      <c r="O79" s="5" cm="1">
        <f t="array" ref="O79">MIN(IF((OutputTable[GroupByKey]=OutputTable[[#This Row],[GroupByKey]]),(OutputTable[GroupByKey]=OutputTable[[#This Row],[GroupByKey]])*OutputTable[RecordedValue]))</f>
        <v>190</v>
      </c>
      <c r="P79" s="5" cm="1">
        <f t="array" ref="P79">MAX(IF((OutputTable[GroupByKey]=OutputTable[[#This Row],[GroupByKey]]),(OutputTable[GroupByKey]=OutputTable[[#This Row],[GroupByKey]])*OutputTable[RecordedValue]))</f>
        <v>237</v>
      </c>
    </row>
    <row r="80" spans="1:16" x14ac:dyDescent="0.4">
      <c r="A80" t="s">
        <v>66</v>
      </c>
      <c r="B80" t="s">
        <v>69</v>
      </c>
      <c r="C80">
        <v>7</v>
      </c>
      <c r="D80" t="s">
        <v>107</v>
      </c>
      <c r="E80" t="s">
        <v>108</v>
      </c>
      <c r="F80" t="s">
        <v>72</v>
      </c>
      <c r="G80">
        <v>204</v>
      </c>
      <c r="H80">
        <v>0</v>
      </c>
      <c r="I80" s="5" t="str">
        <f>OutputTable[[#This Row],[ProjectName]]&amp;OutputTable[[#This Row],[Name]]&amp;OutputTable[[#This Row],[Type]]&amp;OutputTable[[#This Row],[Source]]</f>
        <v>Unnamed ProjectEntity 1.NumberInNumber InEntity</v>
      </c>
      <c r="J80" s="5" cm="1">
        <f t="array" ref="J80">MAX(IF((ProjectInfoTable[ProjectName]=OutputTable[[#This Row],[ProjectName]]),(ProjectInfoTable[ProjectName]=OutputTable[[#This Row],[ProjectName]])*ProjectInfoTable[NumberOfReplications]))</f>
        <v>10</v>
      </c>
      <c r="K80" s="5" cm="1">
        <f t="array" ref="K80">IFERROR(AVERAGE(IF((OutputTable[GroupByKey]=OutputTable[[#This Row],[GroupByKey]]),(OutputTable[GroupByKey]=OutputTable[[#This Row],[GroupByKey]])*OutputTable[RecordedValue])),0)</f>
        <v>221.9</v>
      </c>
      <c r="L80" s="5" cm="1">
        <f t="array" ref="L80">IFERROR(_xlfn.STDEV.S(IF((OutputTable[GroupByKey]=OutputTable[[#This Row],[GroupByKey]]),(OutputTable[GroupByKey]=OutputTable[[#This Row],[GroupByKey]])*OutputTable[RecordedValue])),0)</f>
        <v>15.029230777979883</v>
      </c>
      <c r="M80" s="5" cm="1">
        <f t="array" ref="M80">MAX(IF((ProjectInfoTable[ProjectName]=OutputTable[[#This Row],[ProjectName]]),(ProjectInfoTable[ProjectName]=OutputTable[[#This Row],[ProjectName]])*ProjectInfoTable[ConfidenceInterval]))</f>
        <v>0.95</v>
      </c>
      <c r="N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10.751264028454774</v>
      </c>
      <c r="O80" s="5" cm="1">
        <f t="array" ref="O80">MIN(IF((OutputTable[GroupByKey]=OutputTable[[#This Row],[GroupByKey]]),(OutputTable[GroupByKey]=OutputTable[[#This Row],[GroupByKey]])*OutputTable[RecordedValue]))</f>
        <v>196</v>
      </c>
      <c r="P80" s="5" cm="1">
        <f t="array" ref="P80">MAX(IF((OutputTable[GroupByKey]=OutputTable[[#This Row],[GroupByKey]]),(OutputTable[GroupByKey]=OutputTable[[#This Row],[GroupByKey]])*OutputTable[RecordedValue]))</f>
        <v>237</v>
      </c>
    </row>
    <row r="81" spans="1:16" x14ac:dyDescent="0.4">
      <c r="A81" t="s">
        <v>66</v>
      </c>
      <c r="B81" t="s">
        <v>69</v>
      </c>
      <c r="C81">
        <v>7</v>
      </c>
      <c r="D81" t="s">
        <v>109</v>
      </c>
      <c r="E81" t="s">
        <v>110</v>
      </c>
      <c r="F81" t="s">
        <v>72</v>
      </c>
      <c r="G81">
        <v>205</v>
      </c>
      <c r="H81">
        <v>0</v>
      </c>
      <c r="I81" s="5" t="str">
        <f>OutputTable[[#This Row],[ProjectName]]&amp;OutputTable[[#This Row],[Name]]&amp;OutputTable[[#This Row],[Type]]&amp;OutputTable[[#This Row],[Source]]</f>
        <v>Unnamed ProjectEntity 1.NumberOutNumber OutEntity</v>
      </c>
      <c r="J81" s="5" cm="1">
        <f t="array" ref="J81">MAX(IF((ProjectInfoTable[ProjectName]=OutputTable[[#This Row],[ProjectName]]),(ProjectInfoTable[ProjectName]=OutputTable[[#This Row],[ProjectName]])*ProjectInfoTable[NumberOfReplications]))</f>
        <v>10</v>
      </c>
      <c r="K81" s="5" cm="1">
        <f t="array" ref="K81">IFERROR(AVERAGE(IF((OutputTable[GroupByKey]=OutputTable[[#This Row],[GroupByKey]]),(OutputTable[GroupByKey]=OutputTable[[#This Row],[GroupByKey]])*OutputTable[RecordedValue])),0)</f>
        <v>220.7</v>
      </c>
      <c r="L81" s="5" cm="1">
        <f t="array" ref="L81">IFERROR(_xlfn.STDEV.S(IF((OutputTable[GroupByKey]=OutputTable[[#This Row],[GroupByKey]]),(OutputTable[GroupByKey]=OutputTable[[#This Row],[GroupByKey]])*OutputTable[RecordedValue])),0)</f>
        <v>15.606622525923623</v>
      </c>
      <c r="M81" s="5" cm="1">
        <f t="array" ref="M81">MAX(IF((ProjectInfoTable[ProjectName]=OutputTable[[#This Row],[ProjectName]]),(ProjectInfoTable[ProjectName]=OutputTable[[#This Row],[ProjectName]])*ProjectInfoTable[ConfidenceInterval]))</f>
        <v>0.95</v>
      </c>
      <c r="N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11.164305202796802</v>
      </c>
      <c r="O81" s="5" cm="1">
        <f t="array" ref="O81">MIN(IF((OutputTable[GroupByKey]=OutputTable[[#This Row],[GroupByKey]]),(OutputTable[GroupByKey]=OutputTable[[#This Row],[GroupByKey]])*OutputTable[RecordedValue]))</f>
        <v>190</v>
      </c>
      <c r="P81" s="5" cm="1">
        <f t="array" ref="P81">MAX(IF((OutputTable[GroupByKey]=OutputTable[[#This Row],[GroupByKey]]),(OutputTable[GroupByKey]=OutputTable[[#This Row],[GroupByKey]])*OutputTable[RecordedValue]))</f>
        <v>237</v>
      </c>
    </row>
    <row r="82" spans="1:16" x14ac:dyDescent="0.4">
      <c r="A82" t="s">
        <v>66</v>
      </c>
      <c r="B82" t="s">
        <v>69</v>
      </c>
      <c r="C82">
        <v>7</v>
      </c>
      <c r="D82" t="s">
        <v>111</v>
      </c>
      <c r="E82" t="s">
        <v>112</v>
      </c>
      <c r="F82" t="s">
        <v>97</v>
      </c>
      <c r="G82">
        <v>147</v>
      </c>
      <c r="H82">
        <v>0</v>
      </c>
      <c r="I82" s="5" t="str">
        <f>OutputTable[[#This Row],[ProjectName]]&amp;OutputTable[[#This Row],[Name]]&amp;OutputTable[[#This Row],[Type]]&amp;OutputTable[[#This Row],[Source]]</f>
        <v>Unnamed ProjectM1.NumberSeizedTotal Number SeizedResource</v>
      </c>
      <c r="J82" s="5" cm="1">
        <f t="array" ref="J82">MAX(IF((ProjectInfoTable[ProjectName]=OutputTable[[#This Row],[ProjectName]]),(ProjectInfoTable[ProjectName]=OutputTable[[#This Row],[ProjectName]])*ProjectInfoTable[NumberOfReplications]))</f>
        <v>10</v>
      </c>
      <c r="K82" s="5" cm="1">
        <f t="array" ref="K82">IFERROR(AVERAGE(IF((OutputTable[GroupByKey]=OutputTable[[#This Row],[GroupByKey]]),(OutputTable[GroupByKey]=OutputTable[[#This Row],[GroupByKey]])*OutputTable[RecordedValue])),0)</f>
        <v>166.8</v>
      </c>
      <c r="L82" s="5" cm="1">
        <f t="array" ref="L82">IFERROR(_xlfn.STDEV.S(IF((OutputTable[GroupByKey]=OutputTable[[#This Row],[GroupByKey]]),(OutputTable[GroupByKey]=OutputTable[[#This Row],[GroupByKey]])*OutputTable[RecordedValue])),0)</f>
        <v>13.612086132877977</v>
      </c>
      <c r="M82" s="5" cm="1">
        <f t="array" ref="M82">MAX(IF((ProjectInfoTable[ProjectName]=OutputTable[[#This Row],[ProjectName]]),(ProjectInfoTable[ProjectName]=OutputTable[[#This Row],[ProjectName]])*ProjectInfoTable[ConfidenceInterval]))</f>
        <v>0.95</v>
      </c>
      <c r="N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9.7374998198217781</v>
      </c>
      <c r="O82" s="5" cm="1">
        <f t="array" ref="O82">MIN(IF((OutputTable[GroupByKey]=OutputTable[[#This Row],[GroupByKey]]),(OutputTable[GroupByKey]=OutputTable[[#This Row],[GroupByKey]])*OutputTable[RecordedValue]))</f>
        <v>142</v>
      </c>
      <c r="P82" s="5" cm="1">
        <f t="array" ref="P82">MAX(IF((OutputTable[GroupByKey]=OutputTable[[#This Row],[GroupByKey]]),(OutputTable[GroupByKey]=OutputTable[[#This Row],[GroupByKey]])*OutputTable[RecordedValue]))</f>
        <v>181</v>
      </c>
    </row>
    <row r="83" spans="1:16" x14ac:dyDescent="0.4">
      <c r="A83" t="s">
        <v>66</v>
      </c>
      <c r="B83" t="s">
        <v>69</v>
      </c>
      <c r="C83">
        <v>7</v>
      </c>
      <c r="D83" t="s">
        <v>113</v>
      </c>
      <c r="E83" t="s">
        <v>114</v>
      </c>
      <c r="F83" t="s">
        <v>97</v>
      </c>
      <c r="G83">
        <v>0.307504592385202</v>
      </c>
      <c r="H83">
        <v>0</v>
      </c>
      <c r="I83" s="5" t="str">
        <f>OutputTable[[#This Row],[ProjectName]]&amp;OutputTable[[#This Row],[Name]]&amp;OutputTable[[#This Row],[Type]]&amp;OutputTable[[#This Row],[Source]]</f>
        <v>Unnamed ProjectM1.ScheduledUtilizationScheduled UtilizationResource</v>
      </c>
      <c r="J83" s="5" cm="1">
        <f t="array" ref="J83">MAX(IF((ProjectInfoTable[ProjectName]=OutputTable[[#This Row],[ProjectName]]),(ProjectInfoTable[ProjectName]=OutputTable[[#This Row],[ProjectName]])*ProjectInfoTable[NumberOfReplications]))</f>
        <v>10</v>
      </c>
      <c r="K83" s="5" cm="1">
        <f t="array" ref="K83">IFERROR(AVERAGE(IF((OutputTable[GroupByKey]=OutputTable[[#This Row],[GroupByKey]]),(OutputTable[GroupByKey]=OutputTable[[#This Row],[GroupByKey]])*OutputTable[RecordedValue])),0)</f>
        <v>0.35418637725041224</v>
      </c>
      <c r="L83" s="5" cm="1">
        <f t="array" ref="L83">IFERROR(_xlfn.STDEV.S(IF((OutputTable[GroupByKey]=OutputTable[[#This Row],[GroupByKey]]),(OutputTable[GroupByKey]=OutputTable[[#This Row],[GroupByKey]])*OutputTable[RecordedValue])),0)</f>
        <v>3.3453936231241439E-2</v>
      </c>
      <c r="M83" s="5" cm="1">
        <f t="array" ref="M83">MAX(IF((ProjectInfoTable[ProjectName]=OutputTable[[#This Row],[ProjectName]]),(ProjectInfoTable[ProjectName]=OutputTable[[#This Row],[ProjectName]])*ProjectInfoTable[ConfidenceInterval]))</f>
        <v>0.95</v>
      </c>
      <c r="N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2.3931504314920794E-2</v>
      </c>
      <c r="O83" s="5" cm="1">
        <f t="array" ref="O83">MIN(IF((OutputTable[GroupByKey]=OutputTable[[#This Row],[GroupByKey]]),(OutputTable[GroupByKey]=OutputTable[[#This Row],[GroupByKey]])*OutputTable[RecordedValue]))</f>
        <v>0.29539806709730798</v>
      </c>
      <c r="P83" s="5" cm="1">
        <f t="array" ref="P83">MAX(IF((OutputTable[GroupByKey]=OutputTable[[#This Row],[GroupByKey]]),(OutputTable[GroupByKey]=OutputTable[[#This Row],[GroupByKey]])*OutputTable[RecordedValue]))</f>
        <v>0.39865120046345498</v>
      </c>
    </row>
    <row r="84" spans="1:16" x14ac:dyDescent="0.4">
      <c r="A84" t="s">
        <v>66</v>
      </c>
      <c r="B84" t="s">
        <v>69</v>
      </c>
      <c r="C84">
        <v>7</v>
      </c>
      <c r="D84" t="s">
        <v>115</v>
      </c>
      <c r="E84" t="s">
        <v>112</v>
      </c>
      <c r="F84" t="s">
        <v>97</v>
      </c>
      <c r="G84">
        <v>111</v>
      </c>
      <c r="H84">
        <v>0</v>
      </c>
      <c r="I84" s="5" t="str">
        <f>OutputTable[[#This Row],[ProjectName]]&amp;OutputTable[[#This Row],[Name]]&amp;OutputTable[[#This Row],[Type]]&amp;OutputTable[[#This Row],[Source]]</f>
        <v>Unnamed ProjectM2.NumberSeizedTotal Number SeizedResource</v>
      </c>
      <c r="J84" s="5" cm="1">
        <f t="array" ref="J84">MAX(IF((ProjectInfoTable[ProjectName]=OutputTable[[#This Row],[ProjectName]]),(ProjectInfoTable[ProjectName]=OutputTable[[#This Row],[ProjectName]])*ProjectInfoTable[NumberOfReplications]))</f>
        <v>10</v>
      </c>
      <c r="K84" s="5" cm="1">
        <f t="array" ref="K84">IFERROR(AVERAGE(IF((OutputTable[GroupByKey]=OutputTable[[#This Row],[GroupByKey]]),(OutputTable[GroupByKey]=OutputTable[[#This Row],[GroupByKey]])*OutputTable[RecordedValue])),0)</f>
        <v>118.9</v>
      </c>
      <c r="L84" s="5" cm="1">
        <f t="array" ref="L84">IFERROR(_xlfn.STDEV.S(IF((OutputTable[GroupByKey]=OutputTable[[#This Row],[GroupByKey]]),(OutputTable[GroupByKey]=OutputTable[[#This Row],[GroupByKey]])*OutputTable[RecordedValue])),0)</f>
        <v>10.482260146446366</v>
      </c>
      <c r="M84" s="5" cm="1">
        <f t="array" ref="M84">MAX(IF((ProjectInfoTable[ProjectName]=OutputTable[[#This Row],[ProjectName]]),(ProjectInfoTable[ProjectName]=OutputTable[[#This Row],[ProjectName]])*ProjectInfoTable[ConfidenceInterval]))</f>
        <v>0.95</v>
      </c>
      <c r="N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7.4985571859414781</v>
      </c>
      <c r="O84" s="5" cm="1">
        <f t="array" ref="O84">MIN(IF((OutputTable[GroupByKey]=OutputTable[[#This Row],[GroupByKey]]),(OutputTable[GroupByKey]=OutputTable[[#This Row],[GroupByKey]])*OutputTable[RecordedValue]))</f>
        <v>101</v>
      </c>
      <c r="P84" s="5" cm="1">
        <f t="array" ref="P84">MAX(IF((OutputTable[GroupByKey]=OutputTable[[#This Row],[GroupByKey]]),(OutputTable[GroupByKey]=OutputTable[[#This Row],[GroupByKey]])*OutputTable[RecordedValue]))</f>
        <v>134</v>
      </c>
    </row>
    <row r="85" spans="1:16" x14ac:dyDescent="0.4">
      <c r="A85" t="s">
        <v>66</v>
      </c>
      <c r="B85" t="s">
        <v>69</v>
      </c>
      <c r="C85">
        <v>7</v>
      </c>
      <c r="D85" t="s">
        <v>116</v>
      </c>
      <c r="E85" t="s">
        <v>114</v>
      </c>
      <c r="F85" t="s">
        <v>97</v>
      </c>
      <c r="G85">
        <v>0.69174424328472295</v>
      </c>
      <c r="H85">
        <v>0</v>
      </c>
      <c r="I85" s="5" t="str">
        <f>OutputTable[[#This Row],[ProjectName]]&amp;OutputTable[[#This Row],[Name]]&amp;OutputTable[[#This Row],[Type]]&amp;OutputTable[[#This Row],[Source]]</f>
        <v>Unnamed ProjectM2.ScheduledUtilizationScheduled UtilizationResource</v>
      </c>
      <c r="J85" s="5" cm="1">
        <f t="array" ref="J85">MAX(IF((ProjectInfoTable[ProjectName]=OutputTable[[#This Row],[ProjectName]]),(ProjectInfoTable[ProjectName]=OutputTable[[#This Row],[ProjectName]])*ProjectInfoTable[NumberOfReplications]))</f>
        <v>10</v>
      </c>
      <c r="K85" s="5" cm="1">
        <f t="array" ref="K85">IFERROR(AVERAGE(IF((OutputTable[GroupByKey]=OutputTable[[#This Row],[GroupByKey]]),(OutputTable[GroupByKey]=OutputTable[[#This Row],[GroupByKey]])*OutputTable[RecordedValue])),0)</f>
        <v>0.79069410142096264</v>
      </c>
      <c r="L85" s="5" cm="1">
        <f t="array" ref="L85">IFERROR(_xlfn.STDEV.S(IF((OutputTable[GroupByKey]=OutputTable[[#This Row],[GroupByKey]]),(OutputTable[GroupByKey]=OutputTable[[#This Row],[GroupByKey]])*OutputTable[RecordedValue])),0)</f>
        <v>8.4677985904895448E-2</v>
      </c>
      <c r="M85" s="5" cm="1">
        <f t="array" ref="M85">MAX(IF((ProjectInfoTable[ProjectName]=OutputTable[[#This Row],[ProjectName]]),(ProjectInfoTable[ProjectName]=OutputTable[[#This Row],[ProjectName]])*ProjectInfoTable[ConfidenceInterval]))</f>
        <v>0.95</v>
      </c>
      <c r="N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6.0574982000753563E-2</v>
      </c>
      <c r="O85" s="5" cm="1">
        <f t="array" ref="O85">MIN(IF((OutputTable[GroupByKey]=OutputTable[[#This Row],[GroupByKey]]),(OutputTable[GroupByKey]=OutputTable[[#This Row],[GroupByKey]])*OutputTable[RecordedValue]))</f>
        <v>0.62412916158771403</v>
      </c>
      <c r="P85" s="5" cm="1">
        <f t="array" ref="P85">MAX(IF((OutputTable[GroupByKey]=OutputTable[[#This Row],[GroupByKey]]),(OutputTable[GroupByKey]=OutputTable[[#This Row],[GroupByKey]])*OutputTable[RecordedValue]))</f>
        <v>0.92247891730008102</v>
      </c>
    </row>
    <row r="86" spans="1:16" x14ac:dyDescent="0.4">
      <c r="A86" t="s">
        <v>66</v>
      </c>
      <c r="B86" t="s">
        <v>69</v>
      </c>
      <c r="C86">
        <v>7</v>
      </c>
      <c r="D86" t="s">
        <v>117</v>
      </c>
      <c r="E86" t="s">
        <v>112</v>
      </c>
      <c r="F86" t="s">
        <v>97</v>
      </c>
      <c r="G86">
        <v>163</v>
      </c>
      <c r="H86">
        <v>0</v>
      </c>
      <c r="I86" s="5" t="str">
        <f>OutputTable[[#This Row],[ProjectName]]&amp;OutputTable[[#This Row],[Name]]&amp;OutputTable[[#This Row],[Type]]&amp;OutputTable[[#This Row],[Source]]</f>
        <v>Unnamed ProjectM3.NumberSeizedTotal Number SeizedResource</v>
      </c>
      <c r="J86" s="5" cm="1">
        <f t="array" ref="J86">MAX(IF((ProjectInfoTable[ProjectName]=OutputTable[[#This Row],[ProjectName]]),(ProjectInfoTable[ProjectName]=OutputTable[[#This Row],[ProjectName]])*ProjectInfoTable[NumberOfReplications]))</f>
        <v>10</v>
      </c>
      <c r="K86" s="5" cm="1">
        <f t="array" ref="K86">IFERROR(AVERAGE(IF((OutputTable[GroupByKey]=OutputTable[[#This Row],[GroupByKey]]),(OutputTable[GroupByKey]=OutputTable[[#This Row],[GroupByKey]])*OutputTable[RecordedValue])),0)</f>
        <v>176.2</v>
      </c>
      <c r="L86" s="5" cm="1">
        <f t="array" ref="L86">IFERROR(_xlfn.STDEV.S(IF((OutputTable[GroupByKey]=OutputTable[[#This Row],[GroupByKey]]),(OutputTable[GroupByKey]=OutputTable[[#This Row],[GroupByKey]])*OutputTable[RecordedValue])),0)</f>
        <v>14.778362561528933</v>
      </c>
      <c r="M86" s="5" cm="1">
        <f t="array" ref="M86">MAX(IF((ProjectInfoTable[ProjectName]=OutputTable[[#This Row],[ProjectName]]),(ProjectInfoTable[ProjectName]=OutputTable[[#This Row],[ProjectName]])*ProjectInfoTable[ConfidenceInterval]))</f>
        <v>0.95</v>
      </c>
      <c r="N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10.571803717328045</v>
      </c>
      <c r="O86" s="5" cm="1">
        <f t="array" ref="O86">MIN(IF((OutputTable[GroupByKey]=OutputTable[[#This Row],[GroupByKey]]),(OutputTable[GroupByKey]=OutputTable[[#This Row],[GroupByKey]])*OutputTable[RecordedValue]))</f>
        <v>149</v>
      </c>
      <c r="P86" s="5" cm="1">
        <f t="array" ref="P86">MAX(IF((OutputTable[GroupByKey]=OutputTable[[#This Row],[GroupByKey]]),(OutputTable[GroupByKey]=OutputTable[[#This Row],[GroupByKey]])*OutputTable[RecordedValue]))</f>
        <v>198</v>
      </c>
    </row>
    <row r="87" spans="1:16" x14ac:dyDescent="0.4">
      <c r="A87" t="s">
        <v>66</v>
      </c>
      <c r="B87" t="s">
        <v>69</v>
      </c>
      <c r="C87">
        <v>7</v>
      </c>
      <c r="D87" t="s">
        <v>118</v>
      </c>
      <c r="E87" t="s">
        <v>114</v>
      </c>
      <c r="F87" t="s">
        <v>97</v>
      </c>
      <c r="G87">
        <v>0.36937393500093302</v>
      </c>
      <c r="H87">
        <v>0</v>
      </c>
      <c r="I87" s="5" t="str">
        <f>OutputTable[[#This Row],[ProjectName]]&amp;OutputTable[[#This Row],[Name]]&amp;OutputTable[[#This Row],[Type]]&amp;OutputTable[[#This Row],[Source]]</f>
        <v>Unnamed ProjectM3.ScheduledUtilizationScheduled UtilizationResource</v>
      </c>
      <c r="J87" s="5" cm="1">
        <f t="array" ref="J87">MAX(IF((ProjectInfoTable[ProjectName]=OutputTable[[#This Row],[ProjectName]]),(ProjectInfoTable[ProjectName]=OutputTable[[#This Row],[ProjectName]])*ProjectInfoTable[NumberOfReplications]))</f>
        <v>10</v>
      </c>
      <c r="K87" s="5" cm="1">
        <f t="array" ref="K87">IFERROR(AVERAGE(IF((OutputTable[GroupByKey]=OutputTable[[#This Row],[GroupByKey]]),(OutputTable[GroupByKey]=OutputTable[[#This Row],[GroupByKey]])*OutputTable[RecordedValue])),0)</f>
        <v>0.38204498745219106</v>
      </c>
      <c r="L87" s="5" cm="1">
        <f t="array" ref="L87">IFERROR(_xlfn.STDEV.S(IF((OutputTable[GroupByKey]=OutputTable[[#This Row],[GroupByKey]]),(OutputTable[GroupByKey]=OutputTable[[#This Row],[GroupByKey]])*OutputTable[RecordedValue])),0)</f>
        <v>2.9603647703352595E-2</v>
      </c>
      <c r="M87" s="5" cm="1">
        <f t="array" ref="M87">MAX(IF((ProjectInfoTable[ProjectName]=OutputTable[[#This Row],[ProjectName]]),(ProjectInfoTable[ProjectName]=OutputTable[[#This Row],[ProjectName]])*ProjectInfoTable[ConfidenceInterval]))</f>
        <v>0.95</v>
      </c>
      <c r="N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2.1177173826515884E-2</v>
      </c>
      <c r="O87" s="5" cm="1">
        <f t="array" ref="O87">MIN(IF((OutputTable[GroupByKey]=OutputTable[[#This Row],[GroupByKey]]),(OutputTable[GroupByKey]=OutputTable[[#This Row],[GroupByKey]])*OutputTable[RecordedValue]))</f>
        <v>0.32566726436532201</v>
      </c>
      <c r="P87" s="5" cm="1">
        <f t="array" ref="P87">MAX(IF((OutputTable[GroupByKey]=OutputTable[[#This Row],[GroupByKey]]),(OutputTable[GroupByKey]=OutputTable[[#This Row],[GroupByKey]])*OutputTable[RecordedValue]))</f>
        <v>0.42511230467838501</v>
      </c>
    </row>
    <row r="88" spans="1:16" x14ac:dyDescent="0.4">
      <c r="A88" t="s">
        <v>66</v>
      </c>
      <c r="B88" t="s">
        <v>69</v>
      </c>
      <c r="C88">
        <v>7</v>
      </c>
      <c r="D88" t="s">
        <v>119</v>
      </c>
      <c r="E88" t="s">
        <v>112</v>
      </c>
      <c r="F88" t="s">
        <v>97</v>
      </c>
      <c r="G88">
        <v>147</v>
      </c>
      <c r="H88">
        <v>0</v>
      </c>
      <c r="I88" s="5" t="str">
        <f>OutputTable[[#This Row],[ProjectName]]&amp;OutputTable[[#This Row],[Name]]&amp;OutputTable[[#This Row],[Type]]&amp;OutputTable[[#This Row],[Source]]</f>
        <v>Unnamed ProjectM4.NumberSeizedTotal Number SeizedResource</v>
      </c>
      <c r="J88" s="5" cm="1">
        <f t="array" ref="J88">MAX(IF((ProjectInfoTable[ProjectName]=OutputTable[[#This Row],[ProjectName]]),(ProjectInfoTable[ProjectName]=OutputTable[[#This Row],[ProjectName]])*ProjectInfoTable[NumberOfReplications]))</f>
        <v>10</v>
      </c>
      <c r="K88" s="5" cm="1">
        <f t="array" ref="K88">IFERROR(AVERAGE(IF((OutputTable[GroupByKey]=OutputTable[[#This Row],[GroupByKey]]),(OutputTable[GroupByKey]=OutputTable[[#This Row],[GroupByKey]])*OutputTable[RecordedValue])),0)</f>
        <v>165.9</v>
      </c>
      <c r="L88" s="5" cm="1">
        <f t="array" ref="L88">IFERROR(_xlfn.STDEV.S(IF((OutputTable[GroupByKey]=OutputTable[[#This Row],[GroupByKey]]),(OutputTable[GroupByKey]=OutputTable[[#This Row],[GroupByKey]])*OutputTable[RecordedValue])),0)</f>
        <v>13.795732029226366</v>
      </c>
      <c r="M88" s="5" cm="1">
        <f t="array" ref="M88">MAX(IF((ProjectInfoTable[ProjectName]=OutputTable[[#This Row],[ProjectName]]),(ProjectInfoTable[ProjectName]=OutputTable[[#This Row],[ProjectName]])*ProjectInfoTable[ConfidenceInterval]))</f>
        <v>0.95</v>
      </c>
      <c r="N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9.8688721800277719</v>
      </c>
      <c r="O88" s="5" cm="1">
        <f t="array" ref="O88">MIN(IF((OutputTable[GroupByKey]=OutputTable[[#This Row],[GroupByKey]]),(OutputTable[GroupByKey]=OutputTable[[#This Row],[GroupByKey]])*OutputTable[RecordedValue]))</f>
        <v>139</v>
      </c>
      <c r="P88" s="5" cm="1">
        <f t="array" ref="P88">MAX(IF((OutputTable[GroupByKey]=OutputTable[[#This Row],[GroupByKey]]),(OutputTable[GroupByKey]=OutputTable[[#This Row],[GroupByKey]])*OutputTable[RecordedValue]))</f>
        <v>182</v>
      </c>
    </row>
    <row r="89" spans="1:16" x14ac:dyDescent="0.4">
      <c r="A89" t="s">
        <v>66</v>
      </c>
      <c r="B89" t="s">
        <v>69</v>
      </c>
      <c r="C89">
        <v>7</v>
      </c>
      <c r="D89" t="s">
        <v>120</v>
      </c>
      <c r="E89" t="s">
        <v>114</v>
      </c>
      <c r="F89" t="s">
        <v>97</v>
      </c>
      <c r="G89">
        <v>0.61163391044335702</v>
      </c>
      <c r="H89">
        <v>0</v>
      </c>
      <c r="I89" s="5" t="str">
        <f>OutputTable[[#This Row],[ProjectName]]&amp;OutputTable[[#This Row],[Name]]&amp;OutputTable[[#This Row],[Type]]&amp;OutputTable[[#This Row],[Source]]</f>
        <v>Unnamed ProjectM4.ScheduledUtilizationScheduled UtilizationResource</v>
      </c>
      <c r="J89" s="5" cm="1">
        <f t="array" ref="J89">MAX(IF((ProjectInfoTable[ProjectName]=OutputTable[[#This Row],[ProjectName]]),(ProjectInfoTable[ProjectName]=OutputTable[[#This Row],[ProjectName]])*ProjectInfoTable[NumberOfReplications]))</f>
        <v>10</v>
      </c>
      <c r="K89" s="5" cm="1">
        <f t="array" ref="K89">IFERROR(AVERAGE(IF((OutputTable[GroupByKey]=OutputTable[[#This Row],[GroupByKey]]),(OutputTable[GroupByKey]=OutputTable[[#This Row],[GroupByKey]])*OutputTable[RecordedValue])),0)</f>
        <v>0.68948907951108873</v>
      </c>
      <c r="L89" s="5" cm="1">
        <f t="array" ref="L89">IFERROR(_xlfn.STDEV.S(IF((OutputTable[GroupByKey]=OutputTable[[#This Row],[GroupByKey]]),(OutputTable[GroupByKey]=OutputTable[[#This Row],[GroupByKey]])*OutputTable[RecordedValue])),0)</f>
        <v>7.0099805521104841E-2</v>
      </c>
      <c r="M89" s="5" cm="1">
        <f t="array" ref="M89">MAX(IF((ProjectInfoTable[ProjectName]=OutputTable[[#This Row],[ProjectName]]),(ProjectInfoTable[ProjectName]=OutputTable[[#This Row],[ProjectName]])*ProjectInfoTable[ConfidenceInterval]))</f>
        <v>0.95</v>
      </c>
      <c r="N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5.0146379986722875E-2</v>
      </c>
      <c r="O89" s="5" cm="1">
        <f t="array" ref="O89">MIN(IF((OutputTable[GroupByKey]=OutputTable[[#This Row],[GroupByKey]]),(OutputTable[GroupByKey]=OutputTable[[#This Row],[GroupByKey]])*OutputTable[RecordedValue]))</f>
        <v>0.59708526729729605</v>
      </c>
      <c r="P89" s="5" cm="1">
        <f t="array" ref="P89">MAX(IF((OutputTable[GroupByKey]=OutputTable[[#This Row],[GroupByKey]]),(OutputTable[GroupByKey]=OutputTable[[#This Row],[GroupByKey]])*OutputTable[RecordedValue]))</f>
        <v>0.81511052462014799</v>
      </c>
    </row>
    <row r="90" spans="1:16" x14ac:dyDescent="0.4">
      <c r="A90" t="s">
        <v>66</v>
      </c>
      <c r="B90" t="s">
        <v>69</v>
      </c>
      <c r="C90">
        <v>7</v>
      </c>
      <c r="D90" t="s">
        <v>121</v>
      </c>
      <c r="E90" t="s">
        <v>112</v>
      </c>
      <c r="F90" t="s">
        <v>97</v>
      </c>
      <c r="G90">
        <v>203</v>
      </c>
      <c r="H90">
        <v>0</v>
      </c>
      <c r="I90" s="5" t="str">
        <f>OutputTable[[#This Row],[ProjectName]]&amp;OutputTable[[#This Row],[Name]]&amp;OutputTable[[#This Row],[Type]]&amp;OutputTable[[#This Row],[Source]]</f>
        <v>Unnamed ProjectM5.NumberSeizedTotal Number SeizedResource</v>
      </c>
      <c r="J90" s="5" cm="1">
        <f t="array" ref="J90">MAX(IF((ProjectInfoTable[ProjectName]=OutputTable[[#This Row],[ProjectName]]),(ProjectInfoTable[ProjectName]=OutputTable[[#This Row],[ProjectName]])*ProjectInfoTable[NumberOfReplications]))</f>
        <v>10</v>
      </c>
      <c r="K90" s="5" cm="1">
        <f t="array" ref="K90">IFERROR(AVERAGE(IF((OutputTable[GroupByKey]=OutputTable[[#This Row],[GroupByKey]]),(OutputTable[GroupByKey]=OutputTable[[#This Row],[GroupByKey]])*OutputTable[RecordedValue])),0)</f>
        <v>220.6</v>
      </c>
      <c r="L90" s="5" cm="1">
        <f t="array" ref="L90">IFERROR(_xlfn.STDEV.S(IF((OutputTable[GroupByKey]=OutputTable[[#This Row],[GroupByKey]]),(OutputTable[GroupByKey]=OutputTable[[#This Row],[GroupByKey]])*OutputTable[RecordedValue])),0)</f>
        <v>15.763530343450636</v>
      </c>
      <c r="M90" s="5" cm="1">
        <f t="array" ref="M90">MAX(IF((ProjectInfoTable[ProjectName]=OutputTable[[#This Row],[ProjectName]]),(ProjectInfoTable[ProjectName]=OutputTable[[#This Row],[ProjectName]])*ProjectInfoTable[ConfidenceInterval]))</f>
        <v>0.95</v>
      </c>
      <c r="N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11.276550293665537</v>
      </c>
      <c r="O90" s="5" cm="1">
        <f t="array" ref="O90">MIN(IF((OutputTable[GroupByKey]=OutputTable[[#This Row],[GroupByKey]]),(OutputTable[GroupByKey]=OutputTable[[#This Row],[GroupByKey]])*OutputTable[RecordedValue]))</f>
        <v>191</v>
      </c>
      <c r="P90" s="5" cm="1">
        <f t="array" ref="P90">MAX(IF((OutputTable[GroupByKey]=OutputTable[[#This Row],[GroupByKey]]),(OutputTable[GroupByKey]=OutputTable[[#This Row],[GroupByKey]])*OutputTable[RecordedValue]))</f>
        <v>238</v>
      </c>
    </row>
    <row r="91" spans="1:16" x14ac:dyDescent="0.4">
      <c r="A91" t="s">
        <v>66</v>
      </c>
      <c r="B91" t="s">
        <v>69</v>
      </c>
      <c r="C91">
        <v>7</v>
      </c>
      <c r="D91" t="s">
        <v>122</v>
      </c>
      <c r="E91" t="s">
        <v>114</v>
      </c>
      <c r="F91" t="s">
        <v>97</v>
      </c>
      <c r="G91">
        <v>0.34474851090540098</v>
      </c>
      <c r="H91">
        <v>0</v>
      </c>
      <c r="I91" s="5" t="str">
        <f>OutputTable[[#This Row],[ProjectName]]&amp;OutputTable[[#This Row],[Name]]&amp;OutputTable[[#This Row],[Type]]&amp;OutputTable[[#This Row],[Source]]</f>
        <v>Unnamed ProjectM5.ScheduledUtilizationScheduled UtilizationResource</v>
      </c>
      <c r="J91" s="5" cm="1">
        <f t="array" ref="J91">MAX(IF((ProjectInfoTable[ProjectName]=OutputTable[[#This Row],[ProjectName]]),(ProjectInfoTable[ProjectName]=OutputTable[[#This Row],[ProjectName]])*ProjectInfoTable[NumberOfReplications]))</f>
        <v>10</v>
      </c>
      <c r="K91" s="5" cm="1">
        <f t="array" ref="K91">IFERROR(AVERAGE(IF((OutputTable[GroupByKey]=OutputTable[[#This Row],[GroupByKey]]),(OutputTable[GroupByKey]=OutputTable[[#This Row],[GroupByKey]])*OutputTable[RecordedValue])),0)</f>
        <v>0.35254112855323727</v>
      </c>
      <c r="L91" s="5" cm="1">
        <f t="array" ref="L91">IFERROR(_xlfn.STDEV.S(IF((OutputTable[GroupByKey]=OutputTable[[#This Row],[GroupByKey]]),(OutputTable[GroupByKey]=OutputTable[[#This Row],[GroupByKey]])*OutputTable[RecordedValue])),0)</f>
        <v>2.0819740340978523E-2</v>
      </c>
      <c r="M91" s="5" cm="1">
        <f t="array" ref="M91">MAX(IF((ProjectInfoTable[ProjectName]=OutputTable[[#This Row],[ProjectName]]),(ProjectInfoTable[ProjectName]=OutputTable[[#This Row],[ProjectName]])*ProjectInfoTable[ConfidenceInterval]))</f>
        <v>0.95</v>
      </c>
      <c r="N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1.4893545033435028E-2</v>
      </c>
      <c r="O91" s="5" cm="1">
        <f t="array" ref="O91">MIN(IF((OutputTable[GroupByKey]=OutputTable[[#This Row],[GroupByKey]]),(OutputTable[GroupByKey]=OutputTable[[#This Row],[GroupByKey]])*OutputTable[RecordedValue]))</f>
        <v>0.319082016284436</v>
      </c>
      <c r="P91" s="5" cm="1">
        <f t="array" ref="P91">MAX(IF((OutputTable[GroupByKey]=OutputTable[[#This Row],[GroupByKey]]),(OutputTable[GroupByKey]=OutputTable[[#This Row],[GroupByKey]])*OutputTable[RecordedValue]))</f>
        <v>0.391918845838306</v>
      </c>
    </row>
    <row r="92" spans="1:16" x14ac:dyDescent="0.4">
      <c r="A92" t="s">
        <v>66</v>
      </c>
      <c r="B92" t="s">
        <v>69</v>
      </c>
      <c r="C92">
        <v>7</v>
      </c>
      <c r="D92" t="s">
        <v>123</v>
      </c>
      <c r="E92" t="s">
        <v>110</v>
      </c>
      <c r="F92" t="s">
        <v>124</v>
      </c>
      <c r="G92">
        <v>205</v>
      </c>
      <c r="H92">
        <v>0</v>
      </c>
      <c r="I92" s="5" t="str">
        <f>OutputTable[[#This Row],[ProjectName]]&amp;OutputTable[[#This Row],[Name]]&amp;OutputTable[[#This Row],[Type]]&amp;OutputTable[[#This Row],[Source]]</f>
        <v>Unnamed ProjectSystem.NumberOutNumber OutSystem</v>
      </c>
      <c r="J92" s="5" cm="1">
        <f t="array" ref="J92">MAX(IF((ProjectInfoTable[ProjectName]=OutputTable[[#This Row],[ProjectName]]),(ProjectInfoTable[ProjectName]=OutputTable[[#This Row],[ProjectName]])*ProjectInfoTable[NumberOfReplications]))</f>
        <v>10</v>
      </c>
      <c r="K92" s="5" cm="1">
        <f t="array" ref="K92">IFERROR(AVERAGE(IF((OutputTable[GroupByKey]=OutputTable[[#This Row],[GroupByKey]]),(OutputTable[GroupByKey]=OutputTable[[#This Row],[GroupByKey]])*OutputTable[RecordedValue])),0)</f>
        <v>220.7</v>
      </c>
      <c r="L92" s="5" cm="1">
        <f t="array" ref="L92">IFERROR(_xlfn.STDEV.S(IF((OutputTable[GroupByKey]=OutputTable[[#This Row],[GroupByKey]]),(OutputTable[GroupByKey]=OutputTable[[#This Row],[GroupByKey]])*OutputTable[RecordedValue])),0)</f>
        <v>15.606622525923623</v>
      </c>
      <c r="M92" s="5" cm="1">
        <f t="array" ref="M92">MAX(IF((ProjectInfoTable[ProjectName]=OutputTable[[#This Row],[ProjectName]]),(ProjectInfoTable[ProjectName]=OutputTable[[#This Row],[ProjectName]])*ProjectInfoTable[ConfidenceInterval]))</f>
        <v>0.95</v>
      </c>
      <c r="N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11.164305202796802</v>
      </c>
      <c r="O92" s="5" cm="1">
        <f t="array" ref="O92">MIN(IF((OutputTable[GroupByKey]=OutputTable[[#This Row],[GroupByKey]]),(OutputTable[GroupByKey]=OutputTable[[#This Row],[GroupByKey]])*OutputTable[RecordedValue]))</f>
        <v>190</v>
      </c>
      <c r="P92" s="5" cm="1">
        <f t="array" ref="P92">MAX(IF((OutputTable[GroupByKey]=OutputTable[[#This Row],[GroupByKey]]),(OutputTable[GroupByKey]=OutputTable[[#This Row],[GroupByKey]])*OutputTable[RecordedValue]))</f>
        <v>237</v>
      </c>
    </row>
    <row r="93" spans="1:16" x14ac:dyDescent="0.4">
      <c r="A93" t="s">
        <v>66</v>
      </c>
      <c r="B93" t="s">
        <v>69</v>
      </c>
      <c r="C93">
        <v>8</v>
      </c>
      <c r="D93" t="s">
        <v>107</v>
      </c>
      <c r="E93" t="s">
        <v>108</v>
      </c>
      <c r="F93" t="s">
        <v>72</v>
      </c>
      <c r="G93">
        <v>235</v>
      </c>
      <c r="H93">
        <v>0</v>
      </c>
      <c r="I93" s="5" t="str">
        <f>OutputTable[[#This Row],[ProjectName]]&amp;OutputTable[[#This Row],[Name]]&amp;OutputTable[[#This Row],[Type]]&amp;OutputTable[[#This Row],[Source]]</f>
        <v>Unnamed ProjectEntity 1.NumberInNumber InEntity</v>
      </c>
      <c r="J93" s="5" cm="1">
        <f t="array" ref="J93">MAX(IF((ProjectInfoTable[ProjectName]=OutputTable[[#This Row],[ProjectName]]),(ProjectInfoTable[ProjectName]=OutputTable[[#This Row],[ProjectName]])*ProjectInfoTable[NumberOfReplications]))</f>
        <v>10</v>
      </c>
      <c r="K93" s="5" cm="1">
        <f t="array" ref="K93">IFERROR(AVERAGE(IF((OutputTable[GroupByKey]=OutputTable[[#This Row],[GroupByKey]]),(OutputTable[GroupByKey]=OutputTable[[#This Row],[GroupByKey]])*OutputTable[RecordedValue])),0)</f>
        <v>221.9</v>
      </c>
      <c r="L93" s="5" cm="1">
        <f t="array" ref="L93">IFERROR(_xlfn.STDEV.S(IF((OutputTable[GroupByKey]=OutputTable[[#This Row],[GroupByKey]]),(OutputTable[GroupByKey]=OutputTable[[#This Row],[GroupByKey]])*OutputTable[RecordedValue])),0)</f>
        <v>15.029230777979883</v>
      </c>
      <c r="M93" s="5" cm="1">
        <f t="array" ref="M93">MAX(IF((ProjectInfoTable[ProjectName]=OutputTable[[#This Row],[ProjectName]]),(ProjectInfoTable[ProjectName]=OutputTable[[#This Row],[ProjectName]])*ProjectInfoTable[ConfidenceInterval]))</f>
        <v>0.95</v>
      </c>
      <c r="N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10.751264028454774</v>
      </c>
      <c r="O93" s="5" cm="1">
        <f t="array" ref="O93">MIN(IF((OutputTable[GroupByKey]=OutputTable[[#This Row],[GroupByKey]]),(OutputTable[GroupByKey]=OutputTable[[#This Row],[GroupByKey]])*OutputTable[RecordedValue]))</f>
        <v>196</v>
      </c>
      <c r="P93" s="5" cm="1">
        <f t="array" ref="P93">MAX(IF((OutputTable[GroupByKey]=OutputTable[[#This Row],[GroupByKey]]),(OutputTable[GroupByKey]=OutputTable[[#This Row],[GroupByKey]])*OutputTable[RecordedValue]))</f>
        <v>237</v>
      </c>
    </row>
    <row r="94" spans="1:16" x14ac:dyDescent="0.4">
      <c r="A94" t="s">
        <v>66</v>
      </c>
      <c r="B94" t="s">
        <v>69</v>
      </c>
      <c r="C94">
        <v>8</v>
      </c>
      <c r="D94" t="s">
        <v>109</v>
      </c>
      <c r="E94" t="s">
        <v>110</v>
      </c>
      <c r="F94" t="s">
        <v>72</v>
      </c>
      <c r="G94">
        <v>231</v>
      </c>
      <c r="H94">
        <v>0</v>
      </c>
      <c r="I94" s="5" t="str">
        <f>OutputTable[[#This Row],[ProjectName]]&amp;OutputTable[[#This Row],[Name]]&amp;OutputTable[[#This Row],[Type]]&amp;OutputTable[[#This Row],[Source]]</f>
        <v>Unnamed ProjectEntity 1.NumberOutNumber OutEntity</v>
      </c>
      <c r="J94" s="5" cm="1">
        <f t="array" ref="J94">MAX(IF((ProjectInfoTable[ProjectName]=OutputTable[[#This Row],[ProjectName]]),(ProjectInfoTable[ProjectName]=OutputTable[[#This Row],[ProjectName]])*ProjectInfoTable[NumberOfReplications]))</f>
        <v>10</v>
      </c>
      <c r="K94" s="5" cm="1">
        <f t="array" ref="K94">IFERROR(AVERAGE(IF((OutputTable[GroupByKey]=OutputTable[[#This Row],[GroupByKey]]),(OutputTable[GroupByKey]=OutputTable[[#This Row],[GroupByKey]])*OutputTable[RecordedValue])),0)</f>
        <v>220.7</v>
      </c>
      <c r="L94" s="5" cm="1">
        <f t="array" ref="L94">IFERROR(_xlfn.STDEV.S(IF((OutputTable[GroupByKey]=OutputTable[[#This Row],[GroupByKey]]),(OutputTable[GroupByKey]=OutputTable[[#This Row],[GroupByKey]])*OutputTable[RecordedValue])),0)</f>
        <v>15.606622525923623</v>
      </c>
      <c r="M94" s="5" cm="1">
        <f t="array" ref="M94">MAX(IF((ProjectInfoTable[ProjectName]=OutputTable[[#This Row],[ProjectName]]),(ProjectInfoTable[ProjectName]=OutputTable[[#This Row],[ProjectName]])*ProjectInfoTable[ConfidenceInterval]))</f>
        <v>0.95</v>
      </c>
      <c r="N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11.164305202796802</v>
      </c>
      <c r="O94" s="5" cm="1">
        <f t="array" ref="O94">MIN(IF((OutputTable[GroupByKey]=OutputTable[[#This Row],[GroupByKey]]),(OutputTable[GroupByKey]=OutputTable[[#This Row],[GroupByKey]])*OutputTable[RecordedValue]))</f>
        <v>190</v>
      </c>
      <c r="P94" s="5" cm="1">
        <f t="array" ref="P94">MAX(IF((OutputTable[GroupByKey]=OutputTable[[#This Row],[GroupByKey]]),(OutputTable[GroupByKey]=OutputTable[[#This Row],[GroupByKey]])*OutputTable[RecordedValue]))</f>
        <v>237</v>
      </c>
    </row>
    <row r="95" spans="1:16" x14ac:dyDescent="0.4">
      <c r="A95" t="s">
        <v>66</v>
      </c>
      <c r="B95" t="s">
        <v>69</v>
      </c>
      <c r="C95">
        <v>8</v>
      </c>
      <c r="D95" t="s">
        <v>111</v>
      </c>
      <c r="E95" t="s">
        <v>112</v>
      </c>
      <c r="F95" t="s">
        <v>97</v>
      </c>
      <c r="G95">
        <v>176</v>
      </c>
      <c r="H95">
        <v>0</v>
      </c>
      <c r="I95" s="5" t="str">
        <f>OutputTable[[#This Row],[ProjectName]]&amp;OutputTable[[#This Row],[Name]]&amp;OutputTable[[#This Row],[Type]]&amp;OutputTable[[#This Row],[Source]]</f>
        <v>Unnamed ProjectM1.NumberSeizedTotal Number SeizedResource</v>
      </c>
      <c r="J95" s="5" cm="1">
        <f t="array" ref="J95">MAX(IF((ProjectInfoTable[ProjectName]=OutputTable[[#This Row],[ProjectName]]),(ProjectInfoTable[ProjectName]=OutputTable[[#This Row],[ProjectName]])*ProjectInfoTable[NumberOfReplications]))</f>
        <v>10</v>
      </c>
      <c r="K95" s="5" cm="1">
        <f t="array" ref="K95">IFERROR(AVERAGE(IF((OutputTable[GroupByKey]=OutputTable[[#This Row],[GroupByKey]]),(OutputTable[GroupByKey]=OutputTable[[#This Row],[GroupByKey]])*OutputTable[RecordedValue])),0)</f>
        <v>166.8</v>
      </c>
      <c r="L95" s="5" cm="1">
        <f t="array" ref="L95">IFERROR(_xlfn.STDEV.S(IF((OutputTable[GroupByKey]=OutputTable[[#This Row],[GroupByKey]]),(OutputTable[GroupByKey]=OutputTable[[#This Row],[GroupByKey]])*OutputTable[RecordedValue])),0)</f>
        <v>13.612086132877977</v>
      </c>
      <c r="M95" s="5" cm="1">
        <f t="array" ref="M95">MAX(IF((ProjectInfoTable[ProjectName]=OutputTable[[#This Row],[ProjectName]]),(ProjectInfoTable[ProjectName]=OutputTable[[#This Row],[ProjectName]])*ProjectInfoTable[ConfidenceInterval]))</f>
        <v>0.95</v>
      </c>
      <c r="N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9.7374998198217781</v>
      </c>
      <c r="O95" s="5" cm="1">
        <f t="array" ref="O95">MIN(IF((OutputTable[GroupByKey]=OutputTable[[#This Row],[GroupByKey]]),(OutputTable[GroupByKey]=OutputTable[[#This Row],[GroupByKey]])*OutputTable[RecordedValue]))</f>
        <v>142</v>
      </c>
      <c r="P95" s="5" cm="1">
        <f t="array" ref="P95">MAX(IF((OutputTable[GroupByKey]=OutputTable[[#This Row],[GroupByKey]]),(OutputTable[GroupByKey]=OutputTable[[#This Row],[GroupByKey]])*OutputTable[RecordedValue]))</f>
        <v>181</v>
      </c>
    </row>
    <row r="96" spans="1:16" x14ac:dyDescent="0.4">
      <c r="A96" t="s">
        <v>66</v>
      </c>
      <c r="B96" t="s">
        <v>69</v>
      </c>
      <c r="C96">
        <v>8</v>
      </c>
      <c r="D96" t="s">
        <v>113</v>
      </c>
      <c r="E96" t="s">
        <v>114</v>
      </c>
      <c r="F96" t="s">
        <v>97</v>
      </c>
      <c r="G96">
        <v>0.369814401497774</v>
      </c>
      <c r="H96">
        <v>0</v>
      </c>
      <c r="I96" s="5" t="str">
        <f>OutputTable[[#This Row],[ProjectName]]&amp;OutputTable[[#This Row],[Name]]&amp;OutputTable[[#This Row],[Type]]&amp;OutputTable[[#This Row],[Source]]</f>
        <v>Unnamed ProjectM1.ScheduledUtilizationScheduled UtilizationResource</v>
      </c>
      <c r="J96" s="5" cm="1">
        <f t="array" ref="J96">MAX(IF((ProjectInfoTable[ProjectName]=OutputTable[[#This Row],[ProjectName]]),(ProjectInfoTable[ProjectName]=OutputTable[[#This Row],[ProjectName]])*ProjectInfoTable[NumberOfReplications]))</f>
        <v>10</v>
      </c>
      <c r="K96" s="5" cm="1">
        <f t="array" ref="K96">IFERROR(AVERAGE(IF((OutputTable[GroupByKey]=OutputTable[[#This Row],[GroupByKey]]),(OutputTable[GroupByKey]=OutputTable[[#This Row],[GroupByKey]])*OutputTable[RecordedValue])),0)</f>
        <v>0.35418637725041224</v>
      </c>
      <c r="L96" s="5" cm="1">
        <f t="array" ref="L96">IFERROR(_xlfn.STDEV.S(IF((OutputTable[GroupByKey]=OutputTable[[#This Row],[GroupByKey]]),(OutputTable[GroupByKey]=OutputTable[[#This Row],[GroupByKey]])*OutputTable[RecordedValue])),0)</f>
        <v>3.3453936231241439E-2</v>
      </c>
      <c r="M96" s="5" cm="1">
        <f t="array" ref="M96">MAX(IF((ProjectInfoTable[ProjectName]=OutputTable[[#This Row],[ProjectName]]),(ProjectInfoTable[ProjectName]=OutputTable[[#This Row],[ProjectName]])*ProjectInfoTable[ConfidenceInterval]))</f>
        <v>0.95</v>
      </c>
      <c r="N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2.3931504314920794E-2</v>
      </c>
      <c r="O96" s="5" cm="1">
        <f t="array" ref="O96">MIN(IF((OutputTable[GroupByKey]=OutputTable[[#This Row],[GroupByKey]]),(OutputTable[GroupByKey]=OutputTable[[#This Row],[GroupByKey]])*OutputTable[RecordedValue]))</f>
        <v>0.29539806709730798</v>
      </c>
      <c r="P96" s="5" cm="1">
        <f t="array" ref="P96">MAX(IF((OutputTable[GroupByKey]=OutputTable[[#This Row],[GroupByKey]]),(OutputTable[GroupByKey]=OutputTable[[#This Row],[GroupByKey]])*OutputTable[RecordedValue]))</f>
        <v>0.39865120046345498</v>
      </c>
    </row>
    <row r="97" spans="1:16" x14ac:dyDescent="0.4">
      <c r="A97" t="s">
        <v>66</v>
      </c>
      <c r="B97" t="s">
        <v>69</v>
      </c>
      <c r="C97">
        <v>8</v>
      </c>
      <c r="D97" t="s">
        <v>115</v>
      </c>
      <c r="E97" t="s">
        <v>112</v>
      </c>
      <c r="F97" t="s">
        <v>97</v>
      </c>
      <c r="G97">
        <v>123</v>
      </c>
      <c r="H97">
        <v>0</v>
      </c>
      <c r="I97" s="5" t="str">
        <f>OutputTable[[#This Row],[ProjectName]]&amp;OutputTable[[#This Row],[Name]]&amp;OutputTable[[#This Row],[Type]]&amp;OutputTable[[#This Row],[Source]]</f>
        <v>Unnamed ProjectM2.NumberSeizedTotal Number SeizedResource</v>
      </c>
      <c r="J97" s="5" cm="1">
        <f t="array" ref="J97">MAX(IF((ProjectInfoTable[ProjectName]=OutputTable[[#This Row],[ProjectName]]),(ProjectInfoTable[ProjectName]=OutputTable[[#This Row],[ProjectName]])*ProjectInfoTable[NumberOfReplications]))</f>
        <v>10</v>
      </c>
      <c r="K97" s="5" cm="1">
        <f t="array" ref="K97">IFERROR(AVERAGE(IF((OutputTable[GroupByKey]=OutputTable[[#This Row],[GroupByKey]]),(OutputTable[GroupByKey]=OutputTable[[#This Row],[GroupByKey]])*OutputTable[RecordedValue])),0)</f>
        <v>118.9</v>
      </c>
      <c r="L97" s="5" cm="1">
        <f t="array" ref="L97">IFERROR(_xlfn.STDEV.S(IF((OutputTable[GroupByKey]=OutputTable[[#This Row],[GroupByKey]]),(OutputTable[GroupByKey]=OutputTable[[#This Row],[GroupByKey]])*OutputTable[RecordedValue])),0)</f>
        <v>10.482260146446366</v>
      </c>
      <c r="M97" s="5" cm="1">
        <f t="array" ref="M97">MAX(IF((ProjectInfoTable[ProjectName]=OutputTable[[#This Row],[ProjectName]]),(ProjectInfoTable[ProjectName]=OutputTable[[#This Row],[ProjectName]])*ProjectInfoTable[ConfidenceInterval]))</f>
        <v>0.95</v>
      </c>
      <c r="N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7.4985571859414781</v>
      </c>
      <c r="O97" s="5" cm="1">
        <f t="array" ref="O97">MIN(IF((OutputTable[GroupByKey]=OutputTable[[#This Row],[GroupByKey]]),(OutputTable[GroupByKey]=OutputTable[[#This Row],[GroupByKey]])*OutputTable[RecordedValue]))</f>
        <v>101</v>
      </c>
      <c r="P97" s="5" cm="1">
        <f t="array" ref="P97">MAX(IF((OutputTable[GroupByKey]=OutputTable[[#This Row],[GroupByKey]]),(OutputTable[GroupByKey]=OutputTable[[#This Row],[GroupByKey]])*OutputTable[RecordedValue]))</f>
        <v>134</v>
      </c>
    </row>
    <row r="98" spans="1:16" x14ac:dyDescent="0.4">
      <c r="A98" t="s">
        <v>66</v>
      </c>
      <c r="B98" t="s">
        <v>69</v>
      </c>
      <c r="C98">
        <v>8</v>
      </c>
      <c r="D98" t="s">
        <v>116</v>
      </c>
      <c r="E98" t="s">
        <v>114</v>
      </c>
      <c r="F98" t="s">
        <v>97</v>
      </c>
      <c r="G98">
        <v>0.83828275425939103</v>
      </c>
      <c r="H98">
        <v>0</v>
      </c>
      <c r="I98" s="5" t="str">
        <f>OutputTable[[#This Row],[ProjectName]]&amp;OutputTable[[#This Row],[Name]]&amp;OutputTable[[#This Row],[Type]]&amp;OutputTable[[#This Row],[Source]]</f>
        <v>Unnamed ProjectM2.ScheduledUtilizationScheduled UtilizationResource</v>
      </c>
      <c r="J98" s="5" cm="1">
        <f t="array" ref="J98">MAX(IF((ProjectInfoTable[ProjectName]=OutputTable[[#This Row],[ProjectName]]),(ProjectInfoTable[ProjectName]=OutputTable[[#This Row],[ProjectName]])*ProjectInfoTable[NumberOfReplications]))</f>
        <v>10</v>
      </c>
      <c r="K98" s="5" cm="1">
        <f t="array" ref="K98">IFERROR(AVERAGE(IF((OutputTable[GroupByKey]=OutputTable[[#This Row],[GroupByKey]]),(OutputTable[GroupByKey]=OutputTable[[#This Row],[GroupByKey]])*OutputTable[RecordedValue])),0)</f>
        <v>0.79069410142096264</v>
      </c>
      <c r="L98" s="5" cm="1">
        <f t="array" ref="L98">IFERROR(_xlfn.STDEV.S(IF((OutputTable[GroupByKey]=OutputTable[[#This Row],[GroupByKey]]),(OutputTable[GroupByKey]=OutputTable[[#This Row],[GroupByKey]])*OutputTable[RecordedValue])),0)</f>
        <v>8.4677985904895448E-2</v>
      </c>
      <c r="M98" s="5" cm="1">
        <f t="array" ref="M98">MAX(IF((ProjectInfoTable[ProjectName]=OutputTable[[#This Row],[ProjectName]]),(ProjectInfoTable[ProjectName]=OutputTable[[#This Row],[ProjectName]])*ProjectInfoTable[ConfidenceInterval]))</f>
        <v>0.95</v>
      </c>
      <c r="N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6.0574982000753563E-2</v>
      </c>
      <c r="O98" s="5" cm="1">
        <f t="array" ref="O98">MIN(IF((OutputTable[GroupByKey]=OutputTable[[#This Row],[GroupByKey]]),(OutputTable[GroupByKey]=OutputTable[[#This Row],[GroupByKey]])*OutputTable[RecordedValue]))</f>
        <v>0.62412916158771403</v>
      </c>
      <c r="P98" s="5" cm="1">
        <f t="array" ref="P98">MAX(IF((OutputTable[GroupByKey]=OutputTable[[#This Row],[GroupByKey]]),(OutputTable[GroupByKey]=OutputTable[[#This Row],[GroupByKey]])*OutputTable[RecordedValue]))</f>
        <v>0.92247891730008102</v>
      </c>
    </row>
    <row r="99" spans="1:16" x14ac:dyDescent="0.4">
      <c r="A99" t="s">
        <v>66</v>
      </c>
      <c r="B99" t="s">
        <v>69</v>
      </c>
      <c r="C99">
        <v>8</v>
      </c>
      <c r="D99" t="s">
        <v>117</v>
      </c>
      <c r="E99" t="s">
        <v>112</v>
      </c>
      <c r="F99" t="s">
        <v>97</v>
      </c>
      <c r="G99">
        <v>181</v>
      </c>
      <c r="H99">
        <v>0</v>
      </c>
      <c r="I99" s="5" t="str">
        <f>OutputTable[[#This Row],[ProjectName]]&amp;OutputTable[[#This Row],[Name]]&amp;OutputTable[[#This Row],[Type]]&amp;OutputTable[[#This Row],[Source]]</f>
        <v>Unnamed ProjectM3.NumberSeizedTotal Number SeizedResource</v>
      </c>
      <c r="J99" s="5" cm="1">
        <f t="array" ref="J99">MAX(IF((ProjectInfoTable[ProjectName]=OutputTable[[#This Row],[ProjectName]]),(ProjectInfoTable[ProjectName]=OutputTable[[#This Row],[ProjectName]])*ProjectInfoTable[NumberOfReplications]))</f>
        <v>10</v>
      </c>
      <c r="K99" s="5" cm="1">
        <f t="array" ref="K99">IFERROR(AVERAGE(IF((OutputTable[GroupByKey]=OutputTable[[#This Row],[GroupByKey]]),(OutputTable[GroupByKey]=OutputTable[[#This Row],[GroupByKey]])*OutputTable[RecordedValue])),0)</f>
        <v>176.2</v>
      </c>
      <c r="L99" s="5" cm="1">
        <f t="array" ref="L99">IFERROR(_xlfn.STDEV.S(IF((OutputTable[GroupByKey]=OutputTable[[#This Row],[GroupByKey]]),(OutputTable[GroupByKey]=OutputTable[[#This Row],[GroupByKey]])*OutputTable[RecordedValue])),0)</f>
        <v>14.778362561528933</v>
      </c>
      <c r="M99" s="5" cm="1">
        <f t="array" ref="M99">MAX(IF((ProjectInfoTable[ProjectName]=OutputTable[[#This Row],[ProjectName]]),(ProjectInfoTable[ProjectName]=OutputTable[[#This Row],[ProjectName]])*ProjectInfoTable[ConfidenceInterval]))</f>
        <v>0.95</v>
      </c>
      <c r="N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10.571803717328045</v>
      </c>
      <c r="O99" s="5" cm="1">
        <f t="array" ref="O99">MIN(IF((OutputTable[GroupByKey]=OutputTable[[#This Row],[GroupByKey]]),(OutputTable[GroupByKey]=OutputTable[[#This Row],[GroupByKey]])*OutputTable[RecordedValue]))</f>
        <v>149</v>
      </c>
      <c r="P99" s="5" cm="1">
        <f t="array" ref="P99">MAX(IF((OutputTable[GroupByKey]=OutputTable[[#This Row],[GroupByKey]]),(OutputTable[GroupByKey]=OutputTable[[#This Row],[GroupByKey]])*OutputTable[RecordedValue]))</f>
        <v>198</v>
      </c>
    </row>
    <row r="100" spans="1:16" x14ac:dyDescent="0.4">
      <c r="A100" t="s">
        <v>66</v>
      </c>
      <c r="B100" t="s">
        <v>69</v>
      </c>
      <c r="C100">
        <v>8</v>
      </c>
      <c r="D100" t="s">
        <v>118</v>
      </c>
      <c r="E100" t="s">
        <v>114</v>
      </c>
      <c r="F100" t="s">
        <v>97</v>
      </c>
      <c r="G100">
        <v>0.405961415248211</v>
      </c>
      <c r="H100">
        <v>0</v>
      </c>
      <c r="I100" s="5" t="str">
        <f>OutputTable[[#This Row],[ProjectName]]&amp;OutputTable[[#This Row],[Name]]&amp;OutputTable[[#This Row],[Type]]&amp;OutputTable[[#This Row],[Source]]</f>
        <v>Unnamed ProjectM3.ScheduledUtilizationScheduled UtilizationResource</v>
      </c>
      <c r="J100" s="5" cm="1">
        <f t="array" ref="J100">MAX(IF((ProjectInfoTable[ProjectName]=OutputTable[[#This Row],[ProjectName]]),(ProjectInfoTable[ProjectName]=OutputTable[[#This Row],[ProjectName]])*ProjectInfoTable[NumberOfReplications]))</f>
        <v>10</v>
      </c>
      <c r="K100" s="5" cm="1">
        <f t="array" ref="K100">IFERROR(AVERAGE(IF((OutputTable[GroupByKey]=OutputTable[[#This Row],[GroupByKey]]),(OutputTable[GroupByKey]=OutputTable[[#This Row],[GroupByKey]])*OutputTable[RecordedValue])),0)</f>
        <v>0.38204498745219106</v>
      </c>
      <c r="L100" s="5" cm="1">
        <f t="array" ref="L100">IFERROR(_xlfn.STDEV.S(IF((OutputTable[GroupByKey]=OutputTable[[#This Row],[GroupByKey]]),(OutputTable[GroupByKey]=OutputTable[[#This Row],[GroupByKey]])*OutputTable[RecordedValue])),0)</f>
        <v>2.9603647703352595E-2</v>
      </c>
      <c r="M100" s="5" cm="1">
        <f t="array" ref="M100">MAX(IF((ProjectInfoTable[ProjectName]=OutputTable[[#This Row],[ProjectName]]),(ProjectInfoTable[ProjectName]=OutputTable[[#This Row],[ProjectName]])*ProjectInfoTable[ConfidenceInterval]))</f>
        <v>0.95</v>
      </c>
      <c r="N1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2.1177173826515884E-2</v>
      </c>
      <c r="O100" s="5" cm="1">
        <f t="array" ref="O100">MIN(IF((OutputTable[GroupByKey]=OutputTable[[#This Row],[GroupByKey]]),(OutputTable[GroupByKey]=OutputTable[[#This Row],[GroupByKey]])*OutputTable[RecordedValue]))</f>
        <v>0.32566726436532201</v>
      </c>
      <c r="P100" s="5" cm="1">
        <f t="array" ref="P100">MAX(IF((OutputTable[GroupByKey]=OutputTable[[#This Row],[GroupByKey]]),(OutputTable[GroupByKey]=OutputTable[[#This Row],[GroupByKey]])*OutputTable[RecordedValue]))</f>
        <v>0.42511230467838501</v>
      </c>
    </row>
    <row r="101" spans="1:16" x14ac:dyDescent="0.4">
      <c r="A101" t="s">
        <v>66</v>
      </c>
      <c r="B101" t="s">
        <v>69</v>
      </c>
      <c r="C101">
        <v>8</v>
      </c>
      <c r="D101" t="s">
        <v>119</v>
      </c>
      <c r="E101" t="s">
        <v>112</v>
      </c>
      <c r="F101" t="s">
        <v>97</v>
      </c>
      <c r="G101">
        <v>174</v>
      </c>
      <c r="H101">
        <v>0</v>
      </c>
      <c r="I101" s="5" t="str">
        <f>OutputTable[[#This Row],[ProjectName]]&amp;OutputTable[[#This Row],[Name]]&amp;OutputTable[[#This Row],[Type]]&amp;OutputTable[[#This Row],[Source]]</f>
        <v>Unnamed ProjectM4.NumberSeizedTotal Number SeizedResource</v>
      </c>
      <c r="J101" s="5" cm="1">
        <f t="array" ref="J101">MAX(IF((ProjectInfoTable[ProjectName]=OutputTable[[#This Row],[ProjectName]]),(ProjectInfoTable[ProjectName]=OutputTable[[#This Row],[ProjectName]])*ProjectInfoTable[NumberOfReplications]))</f>
        <v>10</v>
      </c>
      <c r="K101" s="5" cm="1">
        <f t="array" ref="K101">IFERROR(AVERAGE(IF((OutputTable[GroupByKey]=OutputTable[[#This Row],[GroupByKey]]),(OutputTable[GroupByKey]=OutputTable[[#This Row],[GroupByKey]])*OutputTable[RecordedValue])),0)</f>
        <v>165.9</v>
      </c>
      <c r="L101" s="5" cm="1">
        <f t="array" ref="L101">IFERROR(_xlfn.STDEV.S(IF((OutputTable[GroupByKey]=OutputTable[[#This Row],[GroupByKey]]),(OutputTable[GroupByKey]=OutputTable[[#This Row],[GroupByKey]])*OutputTable[RecordedValue])),0)</f>
        <v>13.795732029226366</v>
      </c>
      <c r="M101" s="5" cm="1">
        <f t="array" ref="M101">MAX(IF((ProjectInfoTable[ProjectName]=OutputTable[[#This Row],[ProjectName]]),(ProjectInfoTable[ProjectName]=OutputTable[[#This Row],[ProjectName]])*ProjectInfoTable[ConfidenceInterval]))</f>
        <v>0.95</v>
      </c>
      <c r="N1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9.8688721800277719</v>
      </c>
      <c r="O101" s="5" cm="1">
        <f t="array" ref="O101">MIN(IF((OutputTable[GroupByKey]=OutputTable[[#This Row],[GroupByKey]]),(OutputTable[GroupByKey]=OutputTable[[#This Row],[GroupByKey]])*OutputTable[RecordedValue]))</f>
        <v>139</v>
      </c>
      <c r="P101" s="5" cm="1">
        <f t="array" ref="P101">MAX(IF((OutputTable[GroupByKey]=OutputTable[[#This Row],[GroupByKey]]),(OutputTable[GroupByKey]=OutputTable[[#This Row],[GroupByKey]])*OutputTable[RecordedValue]))</f>
        <v>182</v>
      </c>
    </row>
    <row r="102" spans="1:16" x14ac:dyDescent="0.4">
      <c r="A102" t="s">
        <v>66</v>
      </c>
      <c r="B102" t="s">
        <v>69</v>
      </c>
      <c r="C102">
        <v>8</v>
      </c>
      <c r="D102" t="s">
        <v>120</v>
      </c>
      <c r="E102" t="s">
        <v>114</v>
      </c>
      <c r="F102" t="s">
        <v>97</v>
      </c>
      <c r="G102">
        <v>0.71980118711186403</v>
      </c>
      <c r="H102">
        <v>0</v>
      </c>
      <c r="I102" s="5" t="str">
        <f>OutputTable[[#This Row],[ProjectName]]&amp;OutputTable[[#This Row],[Name]]&amp;OutputTable[[#This Row],[Type]]&amp;OutputTable[[#This Row],[Source]]</f>
        <v>Unnamed ProjectM4.ScheduledUtilizationScheduled UtilizationResource</v>
      </c>
      <c r="J102" s="5" cm="1">
        <f t="array" ref="J102">MAX(IF((ProjectInfoTable[ProjectName]=OutputTable[[#This Row],[ProjectName]]),(ProjectInfoTable[ProjectName]=OutputTable[[#This Row],[ProjectName]])*ProjectInfoTable[NumberOfReplications]))</f>
        <v>10</v>
      </c>
      <c r="K102" s="5" cm="1">
        <f t="array" ref="K102">IFERROR(AVERAGE(IF((OutputTable[GroupByKey]=OutputTable[[#This Row],[GroupByKey]]),(OutputTable[GroupByKey]=OutputTable[[#This Row],[GroupByKey]])*OutputTable[RecordedValue])),0)</f>
        <v>0.68948907951108873</v>
      </c>
      <c r="L102" s="5" cm="1">
        <f t="array" ref="L102">IFERROR(_xlfn.STDEV.S(IF((OutputTable[GroupByKey]=OutputTable[[#This Row],[GroupByKey]]),(OutputTable[GroupByKey]=OutputTable[[#This Row],[GroupByKey]])*OutputTable[RecordedValue])),0)</f>
        <v>7.0099805521104841E-2</v>
      </c>
      <c r="M102" s="5" cm="1">
        <f t="array" ref="M102">MAX(IF((ProjectInfoTable[ProjectName]=OutputTable[[#This Row],[ProjectName]]),(ProjectInfoTable[ProjectName]=OutputTable[[#This Row],[ProjectName]])*ProjectInfoTable[ConfidenceInterval]))</f>
        <v>0.95</v>
      </c>
      <c r="N1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5.0146379986722875E-2</v>
      </c>
      <c r="O102" s="5" cm="1">
        <f t="array" ref="O102">MIN(IF((OutputTable[GroupByKey]=OutputTable[[#This Row],[GroupByKey]]),(OutputTable[GroupByKey]=OutputTable[[#This Row],[GroupByKey]])*OutputTable[RecordedValue]))</f>
        <v>0.59708526729729605</v>
      </c>
      <c r="P102" s="5" cm="1">
        <f t="array" ref="P102">MAX(IF((OutputTable[GroupByKey]=OutputTable[[#This Row],[GroupByKey]]),(OutputTable[GroupByKey]=OutputTable[[#This Row],[GroupByKey]])*OutputTable[RecordedValue]))</f>
        <v>0.81511052462014799</v>
      </c>
    </row>
    <row r="103" spans="1:16" x14ac:dyDescent="0.4">
      <c r="A103" t="s">
        <v>66</v>
      </c>
      <c r="B103" t="s">
        <v>69</v>
      </c>
      <c r="C103">
        <v>8</v>
      </c>
      <c r="D103" t="s">
        <v>121</v>
      </c>
      <c r="E103" t="s">
        <v>112</v>
      </c>
      <c r="F103" t="s">
        <v>97</v>
      </c>
      <c r="G103">
        <v>232</v>
      </c>
      <c r="H103">
        <v>0</v>
      </c>
      <c r="I103" s="5" t="str">
        <f>OutputTable[[#This Row],[ProjectName]]&amp;OutputTable[[#This Row],[Name]]&amp;OutputTable[[#This Row],[Type]]&amp;OutputTable[[#This Row],[Source]]</f>
        <v>Unnamed ProjectM5.NumberSeizedTotal Number SeizedResource</v>
      </c>
      <c r="J103" s="5" cm="1">
        <f t="array" ref="J103">MAX(IF((ProjectInfoTable[ProjectName]=OutputTable[[#This Row],[ProjectName]]),(ProjectInfoTable[ProjectName]=OutputTable[[#This Row],[ProjectName]])*ProjectInfoTable[NumberOfReplications]))</f>
        <v>10</v>
      </c>
      <c r="K103" s="5" cm="1">
        <f t="array" ref="K103">IFERROR(AVERAGE(IF((OutputTable[GroupByKey]=OutputTable[[#This Row],[GroupByKey]]),(OutputTable[GroupByKey]=OutputTable[[#This Row],[GroupByKey]])*OutputTable[RecordedValue])),0)</f>
        <v>220.6</v>
      </c>
      <c r="L103" s="5" cm="1">
        <f t="array" ref="L103">IFERROR(_xlfn.STDEV.S(IF((OutputTable[GroupByKey]=OutputTable[[#This Row],[GroupByKey]]),(OutputTable[GroupByKey]=OutputTable[[#This Row],[GroupByKey]])*OutputTable[RecordedValue])),0)</f>
        <v>15.763530343450636</v>
      </c>
      <c r="M103" s="5" cm="1">
        <f t="array" ref="M103">MAX(IF((ProjectInfoTable[ProjectName]=OutputTable[[#This Row],[ProjectName]]),(ProjectInfoTable[ProjectName]=OutputTable[[#This Row],[ProjectName]])*ProjectInfoTable[ConfidenceInterval]))</f>
        <v>0.95</v>
      </c>
      <c r="N1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11.276550293665537</v>
      </c>
      <c r="O103" s="5" cm="1">
        <f t="array" ref="O103">MIN(IF((OutputTable[GroupByKey]=OutputTable[[#This Row],[GroupByKey]]),(OutputTable[GroupByKey]=OutputTable[[#This Row],[GroupByKey]])*OutputTable[RecordedValue]))</f>
        <v>191</v>
      </c>
      <c r="P103" s="5" cm="1">
        <f t="array" ref="P103">MAX(IF((OutputTable[GroupByKey]=OutputTable[[#This Row],[GroupByKey]]),(OutputTable[GroupByKey]=OutputTable[[#This Row],[GroupByKey]])*OutputTable[RecordedValue]))</f>
        <v>238</v>
      </c>
    </row>
    <row r="104" spans="1:16" x14ac:dyDescent="0.4">
      <c r="A104" t="s">
        <v>66</v>
      </c>
      <c r="B104" t="s">
        <v>69</v>
      </c>
      <c r="C104">
        <v>8</v>
      </c>
      <c r="D104" t="s">
        <v>122</v>
      </c>
      <c r="E104" t="s">
        <v>114</v>
      </c>
      <c r="F104" t="s">
        <v>97</v>
      </c>
      <c r="G104">
        <v>0.35164797618239602</v>
      </c>
      <c r="H104">
        <v>0</v>
      </c>
      <c r="I104" s="5" t="str">
        <f>OutputTable[[#This Row],[ProjectName]]&amp;OutputTable[[#This Row],[Name]]&amp;OutputTable[[#This Row],[Type]]&amp;OutputTable[[#This Row],[Source]]</f>
        <v>Unnamed ProjectM5.ScheduledUtilizationScheduled UtilizationResource</v>
      </c>
      <c r="J104" s="5" cm="1">
        <f t="array" ref="J104">MAX(IF((ProjectInfoTable[ProjectName]=OutputTable[[#This Row],[ProjectName]]),(ProjectInfoTable[ProjectName]=OutputTable[[#This Row],[ProjectName]])*ProjectInfoTable[NumberOfReplications]))</f>
        <v>10</v>
      </c>
      <c r="K104" s="5" cm="1">
        <f t="array" ref="K104">IFERROR(AVERAGE(IF((OutputTable[GroupByKey]=OutputTable[[#This Row],[GroupByKey]]),(OutputTable[GroupByKey]=OutputTable[[#This Row],[GroupByKey]])*OutputTable[RecordedValue])),0)</f>
        <v>0.35254112855323727</v>
      </c>
      <c r="L104" s="5" cm="1">
        <f t="array" ref="L104">IFERROR(_xlfn.STDEV.S(IF((OutputTable[GroupByKey]=OutputTable[[#This Row],[GroupByKey]]),(OutputTable[GroupByKey]=OutputTable[[#This Row],[GroupByKey]])*OutputTable[RecordedValue])),0)</f>
        <v>2.0819740340978523E-2</v>
      </c>
      <c r="M104" s="5" cm="1">
        <f t="array" ref="M104">MAX(IF((ProjectInfoTable[ProjectName]=OutputTable[[#This Row],[ProjectName]]),(ProjectInfoTable[ProjectName]=OutputTable[[#This Row],[ProjectName]])*ProjectInfoTable[ConfidenceInterval]))</f>
        <v>0.95</v>
      </c>
      <c r="N1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1.4893545033435028E-2</v>
      </c>
      <c r="O104" s="5" cm="1">
        <f t="array" ref="O104">MIN(IF((OutputTable[GroupByKey]=OutputTable[[#This Row],[GroupByKey]]),(OutputTable[GroupByKey]=OutputTable[[#This Row],[GroupByKey]])*OutputTable[RecordedValue]))</f>
        <v>0.319082016284436</v>
      </c>
      <c r="P104" s="5" cm="1">
        <f t="array" ref="P104">MAX(IF((OutputTable[GroupByKey]=OutputTable[[#This Row],[GroupByKey]]),(OutputTable[GroupByKey]=OutputTable[[#This Row],[GroupByKey]])*OutputTable[RecordedValue]))</f>
        <v>0.391918845838306</v>
      </c>
    </row>
    <row r="105" spans="1:16" x14ac:dyDescent="0.4">
      <c r="A105" t="s">
        <v>66</v>
      </c>
      <c r="B105" t="s">
        <v>69</v>
      </c>
      <c r="C105">
        <v>8</v>
      </c>
      <c r="D105" t="s">
        <v>123</v>
      </c>
      <c r="E105" t="s">
        <v>110</v>
      </c>
      <c r="F105" t="s">
        <v>124</v>
      </c>
      <c r="G105">
        <v>231</v>
      </c>
      <c r="H105">
        <v>0</v>
      </c>
      <c r="I105" s="5" t="str">
        <f>OutputTable[[#This Row],[ProjectName]]&amp;OutputTable[[#This Row],[Name]]&amp;OutputTable[[#This Row],[Type]]&amp;OutputTable[[#This Row],[Source]]</f>
        <v>Unnamed ProjectSystem.NumberOutNumber OutSystem</v>
      </c>
      <c r="J105" s="5" cm="1">
        <f t="array" ref="J105">MAX(IF((ProjectInfoTable[ProjectName]=OutputTable[[#This Row],[ProjectName]]),(ProjectInfoTable[ProjectName]=OutputTable[[#This Row],[ProjectName]])*ProjectInfoTable[NumberOfReplications]))</f>
        <v>10</v>
      </c>
      <c r="K105" s="5" cm="1">
        <f t="array" ref="K105">IFERROR(AVERAGE(IF((OutputTable[GroupByKey]=OutputTable[[#This Row],[GroupByKey]]),(OutputTable[GroupByKey]=OutputTable[[#This Row],[GroupByKey]])*OutputTable[RecordedValue])),0)</f>
        <v>220.7</v>
      </c>
      <c r="L105" s="5" cm="1">
        <f t="array" ref="L105">IFERROR(_xlfn.STDEV.S(IF((OutputTable[GroupByKey]=OutputTable[[#This Row],[GroupByKey]]),(OutputTable[GroupByKey]=OutputTable[[#This Row],[GroupByKey]])*OutputTable[RecordedValue])),0)</f>
        <v>15.606622525923623</v>
      </c>
      <c r="M105" s="5" cm="1">
        <f t="array" ref="M105">MAX(IF((ProjectInfoTable[ProjectName]=OutputTable[[#This Row],[ProjectName]]),(ProjectInfoTable[ProjectName]=OutputTable[[#This Row],[ProjectName]])*ProjectInfoTable[ConfidenceInterval]))</f>
        <v>0.95</v>
      </c>
      <c r="N1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11.164305202796802</v>
      </c>
      <c r="O105" s="5" cm="1">
        <f t="array" ref="O105">MIN(IF((OutputTable[GroupByKey]=OutputTable[[#This Row],[GroupByKey]]),(OutputTable[GroupByKey]=OutputTable[[#This Row],[GroupByKey]])*OutputTable[RecordedValue]))</f>
        <v>190</v>
      </c>
      <c r="P105" s="5" cm="1">
        <f t="array" ref="P105">MAX(IF((OutputTable[GroupByKey]=OutputTable[[#This Row],[GroupByKey]]),(OutputTable[GroupByKey]=OutputTable[[#This Row],[GroupByKey]])*OutputTable[RecordedValue]))</f>
        <v>237</v>
      </c>
    </row>
    <row r="106" spans="1:16" x14ac:dyDescent="0.4">
      <c r="A106" t="s">
        <v>66</v>
      </c>
      <c r="B106" t="s">
        <v>69</v>
      </c>
      <c r="C106">
        <v>9</v>
      </c>
      <c r="D106" t="s">
        <v>107</v>
      </c>
      <c r="E106" t="s">
        <v>108</v>
      </c>
      <c r="F106" t="s">
        <v>72</v>
      </c>
      <c r="G106">
        <v>234</v>
      </c>
      <c r="H106">
        <v>0</v>
      </c>
      <c r="I106" s="5" t="str">
        <f>OutputTable[[#This Row],[ProjectName]]&amp;OutputTable[[#This Row],[Name]]&amp;OutputTable[[#This Row],[Type]]&amp;OutputTable[[#This Row],[Source]]</f>
        <v>Unnamed ProjectEntity 1.NumberInNumber InEntity</v>
      </c>
      <c r="J106" s="5" cm="1">
        <f t="array" ref="J106">MAX(IF((ProjectInfoTable[ProjectName]=OutputTable[[#This Row],[ProjectName]]),(ProjectInfoTable[ProjectName]=OutputTable[[#This Row],[ProjectName]])*ProjectInfoTable[NumberOfReplications]))</f>
        <v>10</v>
      </c>
      <c r="K106" s="5" cm="1">
        <f t="array" ref="K106">IFERROR(AVERAGE(IF((OutputTable[GroupByKey]=OutputTable[[#This Row],[GroupByKey]]),(OutputTable[GroupByKey]=OutputTable[[#This Row],[GroupByKey]])*OutputTable[RecordedValue])),0)</f>
        <v>221.9</v>
      </c>
      <c r="L106" s="5" cm="1">
        <f t="array" ref="L106">IFERROR(_xlfn.STDEV.S(IF((OutputTable[GroupByKey]=OutputTable[[#This Row],[GroupByKey]]),(OutputTable[GroupByKey]=OutputTable[[#This Row],[GroupByKey]])*OutputTable[RecordedValue])),0)</f>
        <v>15.029230777979883</v>
      </c>
      <c r="M106" s="5" cm="1">
        <f t="array" ref="M106">MAX(IF((ProjectInfoTable[ProjectName]=OutputTable[[#This Row],[ProjectName]]),(ProjectInfoTable[ProjectName]=OutputTable[[#This Row],[ProjectName]])*ProjectInfoTable[ConfidenceInterval]))</f>
        <v>0.95</v>
      </c>
      <c r="N1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10.751264028454774</v>
      </c>
      <c r="O106" s="5" cm="1">
        <f t="array" ref="O106">MIN(IF((OutputTable[GroupByKey]=OutputTable[[#This Row],[GroupByKey]]),(OutputTable[GroupByKey]=OutputTable[[#This Row],[GroupByKey]])*OutputTable[RecordedValue]))</f>
        <v>196</v>
      </c>
      <c r="P106" s="5" cm="1">
        <f t="array" ref="P106">MAX(IF((OutputTable[GroupByKey]=OutputTable[[#This Row],[GroupByKey]]),(OutputTable[GroupByKey]=OutputTable[[#This Row],[GroupByKey]])*OutputTable[RecordedValue]))</f>
        <v>237</v>
      </c>
    </row>
    <row r="107" spans="1:16" x14ac:dyDescent="0.4">
      <c r="A107" t="s">
        <v>66</v>
      </c>
      <c r="B107" t="s">
        <v>69</v>
      </c>
      <c r="C107">
        <v>9</v>
      </c>
      <c r="D107" t="s">
        <v>109</v>
      </c>
      <c r="E107" t="s">
        <v>110</v>
      </c>
      <c r="F107" t="s">
        <v>72</v>
      </c>
      <c r="G107">
        <v>224</v>
      </c>
      <c r="H107">
        <v>0</v>
      </c>
      <c r="I107" s="5" t="str">
        <f>OutputTable[[#This Row],[ProjectName]]&amp;OutputTable[[#This Row],[Name]]&amp;OutputTable[[#This Row],[Type]]&amp;OutputTable[[#This Row],[Source]]</f>
        <v>Unnamed ProjectEntity 1.NumberOutNumber OutEntity</v>
      </c>
      <c r="J107" s="5" cm="1">
        <f t="array" ref="J107">MAX(IF((ProjectInfoTable[ProjectName]=OutputTable[[#This Row],[ProjectName]]),(ProjectInfoTable[ProjectName]=OutputTable[[#This Row],[ProjectName]])*ProjectInfoTable[NumberOfReplications]))</f>
        <v>10</v>
      </c>
      <c r="K107" s="5" cm="1">
        <f t="array" ref="K107">IFERROR(AVERAGE(IF((OutputTable[GroupByKey]=OutputTable[[#This Row],[GroupByKey]]),(OutputTable[GroupByKey]=OutputTable[[#This Row],[GroupByKey]])*OutputTable[RecordedValue])),0)</f>
        <v>220.7</v>
      </c>
      <c r="L107" s="5" cm="1">
        <f t="array" ref="L107">IFERROR(_xlfn.STDEV.S(IF((OutputTable[GroupByKey]=OutputTable[[#This Row],[GroupByKey]]),(OutputTable[GroupByKey]=OutputTable[[#This Row],[GroupByKey]])*OutputTable[RecordedValue])),0)</f>
        <v>15.606622525923623</v>
      </c>
      <c r="M107" s="5" cm="1">
        <f t="array" ref="M107">MAX(IF((ProjectInfoTable[ProjectName]=OutputTable[[#This Row],[ProjectName]]),(ProjectInfoTable[ProjectName]=OutputTable[[#This Row],[ProjectName]])*ProjectInfoTable[ConfidenceInterval]))</f>
        <v>0.95</v>
      </c>
      <c r="N1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11.164305202796802</v>
      </c>
      <c r="O107" s="5" cm="1">
        <f t="array" ref="O107">MIN(IF((OutputTable[GroupByKey]=OutputTable[[#This Row],[GroupByKey]]),(OutputTable[GroupByKey]=OutputTable[[#This Row],[GroupByKey]])*OutputTable[RecordedValue]))</f>
        <v>190</v>
      </c>
      <c r="P107" s="5" cm="1">
        <f t="array" ref="P107">MAX(IF((OutputTable[GroupByKey]=OutputTable[[#This Row],[GroupByKey]]),(OutputTable[GroupByKey]=OutputTable[[#This Row],[GroupByKey]])*OutputTable[RecordedValue]))</f>
        <v>237</v>
      </c>
    </row>
    <row r="108" spans="1:16" x14ac:dyDescent="0.4">
      <c r="A108" t="s">
        <v>66</v>
      </c>
      <c r="B108" t="s">
        <v>69</v>
      </c>
      <c r="C108">
        <v>9</v>
      </c>
      <c r="D108" t="s">
        <v>111</v>
      </c>
      <c r="E108" t="s">
        <v>112</v>
      </c>
      <c r="F108" t="s">
        <v>97</v>
      </c>
      <c r="G108">
        <v>178</v>
      </c>
      <c r="H108">
        <v>0</v>
      </c>
      <c r="I108" s="5" t="str">
        <f>OutputTable[[#This Row],[ProjectName]]&amp;OutputTable[[#This Row],[Name]]&amp;OutputTable[[#This Row],[Type]]&amp;OutputTable[[#This Row],[Source]]</f>
        <v>Unnamed ProjectM1.NumberSeizedTotal Number SeizedResource</v>
      </c>
      <c r="J108" s="5" cm="1">
        <f t="array" ref="J108">MAX(IF((ProjectInfoTable[ProjectName]=OutputTable[[#This Row],[ProjectName]]),(ProjectInfoTable[ProjectName]=OutputTable[[#This Row],[ProjectName]])*ProjectInfoTable[NumberOfReplications]))</f>
        <v>10</v>
      </c>
      <c r="K108" s="5" cm="1">
        <f t="array" ref="K108">IFERROR(AVERAGE(IF((OutputTable[GroupByKey]=OutputTable[[#This Row],[GroupByKey]]),(OutputTable[GroupByKey]=OutputTable[[#This Row],[GroupByKey]])*OutputTable[RecordedValue])),0)</f>
        <v>166.8</v>
      </c>
      <c r="L108" s="5" cm="1">
        <f t="array" ref="L108">IFERROR(_xlfn.STDEV.S(IF((OutputTable[GroupByKey]=OutputTable[[#This Row],[GroupByKey]]),(OutputTable[GroupByKey]=OutputTable[[#This Row],[GroupByKey]])*OutputTable[RecordedValue])),0)</f>
        <v>13.612086132877977</v>
      </c>
      <c r="M108" s="5" cm="1">
        <f t="array" ref="M108">MAX(IF((ProjectInfoTable[ProjectName]=OutputTable[[#This Row],[ProjectName]]),(ProjectInfoTable[ProjectName]=OutputTable[[#This Row],[ProjectName]])*ProjectInfoTable[ConfidenceInterval]))</f>
        <v>0.95</v>
      </c>
      <c r="N1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9.7374998198217781</v>
      </c>
      <c r="O108" s="5" cm="1">
        <f t="array" ref="O108">MIN(IF((OutputTable[GroupByKey]=OutputTable[[#This Row],[GroupByKey]]),(OutputTable[GroupByKey]=OutputTable[[#This Row],[GroupByKey]])*OutputTable[RecordedValue]))</f>
        <v>142</v>
      </c>
      <c r="P108" s="5" cm="1">
        <f t="array" ref="P108">MAX(IF((OutputTable[GroupByKey]=OutputTable[[#This Row],[GroupByKey]]),(OutputTable[GroupByKey]=OutputTable[[#This Row],[GroupByKey]])*OutputTable[RecordedValue]))</f>
        <v>181</v>
      </c>
    </row>
    <row r="109" spans="1:16" x14ac:dyDescent="0.4">
      <c r="A109" t="s">
        <v>66</v>
      </c>
      <c r="B109" t="s">
        <v>69</v>
      </c>
      <c r="C109">
        <v>9</v>
      </c>
      <c r="D109" t="s">
        <v>113</v>
      </c>
      <c r="E109" t="s">
        <v>114</v>
      </c>
      <c r="F109" t="s">
        <v>97</v>
      </c>
      <c r="G109">
        <v>0.38801159974409799</v>
      </c>
      <c r="H109">
        <v>0</v>
      </c>
      <c r="I109" s="5" t="str">
        <f>OutputTable[[#This Row],[ProjectName]]&amp;OutputTable[[#This Row],[Name]]&amp;OutputTable[[#This Row],[Type]]&amp;OutputTable[[#This Row],[Source]]</f>
        <v>Unnamed ProjectM1.ScheduledUtilizationScheduled UtilizationResource</v>
      </c>
      <c r="J109" s="5" cm="1">
        <f t="array" ref="J109">MAX(IF((ProjectInfoTable[ProjectName]=OutputTable[[#This Row],[ProjectName]]),(ProjectInfoTable[ProjectName]=OutputTable[[#This Row],[ProjectName]])*ProjectInfoTable[NumberOfReplications]))</f>
        <v>10</v>
      </c>
      <c r="K109" s="5" cm="1">
        <f t="array" ref="K109">IFERROR(AVERAGE(IF((OutputTable[GroupByKey]=OutputTable[[#This Row],[GroupByKey]]),(OutputTable[GroupByKey]=OutputTable[[#This Row],[GroupByKey]])*OutputTable[RecordedValue])),0)</f>
        <v>0.35418637725041224</v>
      </c>
      <c r="L109" s="5" cm="1">
        <f t="array" ref="L109">IFERROR(_xlfn.STDEV.S(IF((OutputTable[GroupByKey]=OutputTable[[#This Row],[GroupByKey]]),(OutputTable[GroupByKey]=OutputTable[[#This Row],[GroupByKey]])*OutputTable[RecordedValue])),0)</f>
        <v>3.3453936231241439E-2</v>
      </c>
      <c r="M109" s="5" cm="1">
        <f t="array" ref="M109">MAX(IF((ProjectInfoTable[ProjectName]=OutputTable[[#This Row],[ProjectName]]),(ProjectInfoTable[ProjectName]=OutputTable[[#This Row],[ProjectName]])*ProjectInfoTable[ConfidenceInterval]))</f>
        <v>0.95</v>
      </c>
      <c r="N1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2.3931504314920794E-2</v>
      </c>
      <c r="O109" s="5" cm="1">
        <f t="array" ref="O109">MIN(IF((OutputTable[GroupByKey]=OutputTable[[#This Row],[GroupByKey]]),(OutputTable[GroupByKey]=OutputTable[[#This Row],[GroupByKey]])*OutputTable[RecordedValue]))</f>
        <v>0.29539806709730798</v>
      </c>
      <c r="P109" s="5" cm="1">
        <f t="array" ref="P109">MAX(IF((OutputTable[GroupByKey]=OutputTable[[#This Row],[GroupByKey]]),(OutputTable[GroupByKey]=OutputTable[[#This Row],[GroupByKey]])*OutputTable[RecordedValue]))</f>
        <v>0.39865120046345498</v>
      </c>
    </row>
    <row r="110" spans="1:16" x14ac:dyDescent="0.4">
      <c r="A110" t="s">
        <v>66</v>
      </c>
      <c r="B110" t="s">
        <v>69</v>
      </c>
      <c r="C110">
        <v>9</v>
      </c>
      <c r="D110" t="s">
        <v>115</v>
      </c>
      <c r="E110" t="s">
        <v>112</v>
      </c>
      <c r="F110" t="s">
        <v>97</v>
      </c>
      <c r="G110">
        <v>121</v>
      </c>
      <c r="H110">
        <v>0</v>
      </c>
      <c r="I110" s="5" t="str">
        <f>OutputTable[[#This Row],[ProjectName]]&amp;OutputTable[[#This Row],[Name]]&amp;OutputTable[[#This Row],[Type]]&amp;OutputTable[[#This Row],[Source]]</f>
        <v>Unnamed ProjectM2.NumberSeizedTotal Number SeizedResource</v>
      </c>
      <c r="J110" s="5" cm="1">
        <f t="array" ref="J110">MAX(IF((ProjectInfoTable[ProjectName]=OutputTable[[#This Row],[ProjectName]]),(ProjectInfoTable[ProjectName]=OutputTable[[#This Row],[ProjectName]])*ProjectInfoTable[NumberOfReplications]))</f>
        <v>10</v>
      </c>
      <c r="K110" s="5" cm="1">
        <f t="array" ref="K110">IFERROR(AVERAGE(IF((OutputTable[GroupByKey]=OutputTable[[#This Row],[GroupByKey]]),(OutputTable[GroupByKey]=OutputTable[[#This Row],[GroupByKey]])*OutputTable[RecordedValue])),0)</f>
        <v>118.9</v>
      </c>
      <c r="L110" s="5" cm="1">
        <f t="array" ref="L110">IFERROR(_xlfn.STDEV.S(IF((OutputTable[GroupByKey]=OutputTable[[#This Row],[GroupByKey]]),(OutputTable[GroupByKey]=OutputTable[[#This Row],[GroupByKey]])*OutputTable[RecordedValue])),0)</f>
        <v>10.482260146446366</v>
      </c>
      <c r="M110" s="5" cm="1">
        <f t="array" ref="M110">MAX(IF((ProjectInfoTable[ProjectName]=OutputTable[[#This Row],[ProjectName]]),(ProjectInfoTable[ProjectName]=OutputTable[[#This Row],[ProjectName]])*ProjectInfoTable[ConfidenceInterval]))</f>
        <v>0.95</v>
      </c>
      <c r="N1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7.4985571859414781</v>
      </c>
      <c r="O110" s="5" cm="1">
        <f t="array" ref="O110">MIN(IF((OutputTable[GroupByKey]=OutputTable[[#This Row],[GroupByKey]]),(OutputTable[GroupByKey]=OutputTable[[#This Row],[GroupByKey]])*OutputTable[RecordedValue]))</f>
        <v>101</v>
      </c>
      <c r="P110" s="5" cm="1">
        <f t="array" ref="P110">MAX(IF((OutputTable[GroupByKey]=OutputTable[[#This Row],[GroupByKey]]),(OutputTable[GroupByKey]=OutputTable[[#This Row],[GroupByKey]])*OutputTable[RecordedValue]))</f>
        <v>134</v>
      </c>
    </row>
    <row r="111" spans="1:16" x14ac:dyDescent="0.4">
      <c r="A111" t="s">
        <v>66</v>
      </c>
      <c r="B111" t="s">
        <v>69</v>
      </c>
      <c r="C111">
        <v>9</v>
      </c>
      <c r="D111" t="s">
        <v>116</v>
      </c>
      <c r="E111" t="s">
        <v>114</v>
      </c>
      <c r="F111" t="s">
        <v>97</v>
      </c>
      <c r="G111">
        <v>0.785976599233702</v>
      </c>
      <c r="H111">
        <v>0</v>
      </c>
      <c r="I111" s="5" t="str">
        <f>OutputTable[[#This Row],[ProjectName]]&amp;OutputTable[[#This Row],[Name]]&amp;OutputTable[[#This Row],[Type]]&amp;OutputTable[[#This Row],[Source]]</f>
        <v>Unnamed ProjectM2.ScheduledUtilizationScheduled UtilizationResource</v>
      </c>
      <c r="J111" s="5" cm="1">
        <f t="array" ref="J111">MAX(IF((ProjectInfoTable[ProjectName]=OutputTable[[#This Row],[ProjectName]]),(ProjectInfoTable[ProjectName]=OutputTable[[#This Row],[ProjectName]])*ProjectInfoTable[NumberOfReplications]))</f>
        <v>10</v>
      </c>
      <c r="K111" s="5" cm="1">
        <f t="array" ref="K111">IFERROR(AVERAGE(IF((OutputTable[GroupByKey]=OutputTable[[#This Row],[GroupByKey]]),(OutputTable[GroupByKey]=OutputTable[[#This Row],[GroupByKey]])*OutputTable[RecordedValue])),0)</f>
        <v>0.79069410142096264</v>
      </c>
      <c r="L111" s="5" cm="1">
        <f t="array" ref="L111">IFERROR(_xlfn.STDEV.S(IF((OutputTable[GroupByKey]=OutputTable[[#This Row],[GroupByKey]]),(OutputTable[GroupByKey]=OutputTable[[#This Row],[GroupByKey]])*OutputTable[RecordedValue])),0)</f>
        <v>8.4677985904895448E-2</v>
      </c>
      <c r="M111" s="5" cm="1">
        <f t="array" ref="M111">MAX(IF((ProjectInfoTable[ProjectName]=OutputTable[[#This Row],[ProjectName]]),(ProjectInfoTable[ProjectName]=OutputTable[[#This Row],[ProjectName]])*ProjectInfoTable[ConfidenceInterval]))</f>
        <v>0.95</v>
      </c>
      <c r="N1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6.0574982000753563E-2</v>
      </c>
      <c r="O111" s="5" cm="1">
        <f t="array" ref="O111">MIN(IF((OutputTable[GroupByKey]=OutputTable[[#This Row],[GroupByKey]]),(OutputTable[GroupByKey]=OutputTable[[#This Row],[GroupByKey]])*OutputTable[RecordedValue]))</f>
        <v>0.62412916158771403</v>
      </c>
      <c r="P111" s="5" cm="1">
        <f t="array" ref="P111">MAX(IF((OutputTable[GroupByKey]=OutputTable[[#This Row],[GroupByKey]]),(OutputTable[GroupByKey]=OutputTable[[#This Row],[GroupByKey]])*OutputTable[RecordedValue]))</f>
        <v>0.92247891730008102</v>
      </c>
    </row>
    <row r="112" spans="1:16" x14ac:dyDescent="0.4">
      <c r="A112" t="s">
        <v>66</v>
      </c>
      <c r="B112" t="s">
        <v>69</v>
      </c>
      <c r="C112">
        <v>9</v>
      </c>
      <c r="D112" t="s">
        <v>117</v>
      </c>
      <c r="E112" t="s">
        <v>112</v>
      </c>
      <c r="F112" t="s">
        <v>97</v>
      </c>
      <c r="G112">
        <v>183</v>
      </c>
      <c r="H112">
        <v>0</v>
      </c>
      <c r="I112" s="5" t="str">
        <f>OutputTable[[#This Row],[ProjectName]]&amp;OutputTable[[#This Row],[Name]]&amp;OutputTable[[#This Row],[Type]]&amp;OutputTable[[#This Row],[Source]]</f>
        <v>Unnamed ProjectM3.NumberSeizedTotal Number SeizedResource</v>
      </c>
      <c r="J112" s="5" cm="1">
        <f t="array" ref="J112">MAX(IF((ProjectInfoTable[ProjectName]=OutputTable[[#This Row],[ProjectName]]),(ProjectInfoTable[ProjectName]=OutputTable[[#This Row],[ProjectName]])*ProjectInfoTable[NumberOfReplications]))</f>
        <v>10</v>
      </c>
      <c r="K112" s="5" cm="1">
        <f t="array" ref="K112">IFERROR(AVERAGE(IF((OutputTable[GroupByKey]=OutputTable[[#This Row],[GroupByKey]]),(OutputTable[GroupByKey]=OutputTable[[#This Row],[GroupByKey]])*OutputTable[RecordedValue])),0)</f>
        <v>176.2</v>
      </c>
      <c r="L112" s="5" cm="1">
        <f t="array" ref="L112">IFERROR(_xlfn.STDEV.S(IF((OutputTable[GroupByKey]=OutputTable[[#This Row],[GroupByKey]]),(OutputTable[GroupByKey]=OutputTable[[#This Row],[GroupByKey]])*OutputTable[RecordedValue])),0)</f>
        <v>14.778362561528933</v>
      </c>
      <c r="M112" s="5" cm="1">
        <f t="array" ref="M112">MAX(IF((ProjectInfoTable[ProjectName]=OutputTable[[#This Row],[ProjectName]]),(ProjectInfoTable[ProjectName]=OutputTable[[#This Row],[ProjectName]])*ProjectInfoTable[ConfidenceInterval]))</f>
        <v>0.95</v>
      </c>
      <c r="N1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10.571803717328045</v>
      </c>
      <c r="O112" s="5" cm="1">
        <f t="array" ref="O112">MIN(IF((OutputTable[GroupByKey]=OutputTable[[#This Row],[GroupByKey]]),(OutputTable[GroupByKey]=OutputTable[[#This Row],[GroupByKey]])*OutputTable[RecordedValue]))</f>
        <v>149</v>
      </c>
      <c r="P112" s="5" cm="1">
        <f t="array" ref="P112">MAX(IF((OutputTable[GroupByKey]=OutputTable[[#This Row],[GroupByKey]]),(OutputTable[GroupByKey]=OutputTable[[#This Row],[GroupByKey]])*OutputTable[RecordedValue]))</f>
        <v>198</v>
      </c>
    </row>
    <row r="113" spans="1:16" x14ac:dyDescent="0.4">
      <c r="A113" t="s">
        <v>66</v>
      </c>
      <c r="B113" t="s">
        <v>69</v>
      </c>
      <c r="C113">
        <v>9</v>
      </c>
      <c r="D113" t="s">
        <v>118</v>
      </c>
      <c r="E113" t="s">
        <v>114</v>
      </c>
      <c r="F113" t="s">
        <v>97</v>
      </c>
      <c r="G113">
        <v>0.37226147107938901</v>
      </c>
      <c r="H113">
        <v>0</v>
      </c>
      <c r="I113" s="5" t="str">
        <f>OutputTable[[#This Row],[ProjectName]]&amp;OutputTable[[#This Row],[Name]]&amp;OutputTable[[#This Row],[Type]]&amp;OutputTable[[#This Row],[Source]]</f>
        <v>Unnamed ProjectM3.ScheduledUtilizationScheduled UtilizationResource</v>
      </c>
      <c r="J113" s="5" cm="1">
        <f t="array" ref="J113">MAX(IF((ProjectInfoTable[ProjectName]=OutputTable[[#This Row],[ProjectName]]),(ProjectInfoTable[ProjectName]=OutputTable[[#This Row],[ProjectName]])*ProjectInfoTable[NumberOfReplications]))</f>
        <v>10</v>
      </c>
      <c r="K113" s="5" cm="1">
        <f t="array" ref="K113">IFERROR(AVERAGE(IF((OutputTable[GroupByKey]=OutputTable[[#This Row],[GroupByKey]]),(OutputTable[GroupByKey]=OutputTable[[#This Row],[GroupByKey]])*OutputTable[RecordedValue])),0)</f>
        <v>0.38204498745219106</v>
      </c>
      <c r="L113" s="5" cm="1">
        <f t="array" ref="L113">IFERROR(_xlfn.STDEV.S(IF((OutputTable[GroupByKey]=OutputTable[[#This Row],[GroupByKey]]),(OutputTable[GroupByKey]=OutputTable[[#This Row],[GroupByKey]])*OutputTable[RecordedValue])),0)</f>
        <v>2.9603647703352595E-2</v>
      </c>
      <c r="M113" s="5" cm="1">
        <f t="array" ref="M113">MAX(IF((ProjectInfoTable[ProjectName]=OutputTable[[#This Row],[ProjectName]]),(ProjectInfoTable[ProjectName]=OutputTable[[#This Row],[ProjectName]])*ProjectInfoTable[ConfidenceInterval]))</f>
        <v>0.95</v>
      </c>
      <c r="N1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2.1177173826515884E-2</v>
      </c>
      <c r="O113" s="5" cm="1">
        <f t="array" ref="O113">MIN(IF((OutputTable[GroupByKey]=OutputTable[[#This Row],[GroupByKey]]),(OutputTable[GroupByKey]=OutputTable[[#This Row],[GroupByKey]])*OutputTable[RecordedValue]))</f>
        <v>0.32566726436532201</v>
      </c>
      <c r="P113" s="5" cm="1">
        <f t="array" ref="P113">MAX(IF((OutputTable[GroupByKey]=OutputTable[[#This Row],[GroupByKey]]),(OutputTable[GroupByKey]=OutputTable[[#This Row],[GroupByKey]])*OutputTable[RecordedValue]))</f>
        <v>0.42511230467838501</v>
      </c>
    </row>
    <row r="114" spans="1:16" x14ac:dyDescent="0.4">
      <c r="A114" t="s">
        <v>66</v>
      </c>
      <c r="B114" t="s">
        <v>69</v>
      </c>
      <c r="C114">
        <v>9</v>
      </c>
      <c r="D114" t="s">
        <v>119</v>
      </c>
      <c r="E114" t="s">
        <v>112</v>
      </c>
      <c r="F114" t="s">
        <v>97</v>
      </c>
      <c r="G114">
        <v>168</v>
      </c>
      <c r="H114">
        <v>0</v>
      </c>
      <c r="I114" s="5" t="str">
        <f>OutputTable[[#This Row],[ProjectName]]&amp;OutputTable[[#This Row],[Name]]&amp;OutputTable[[#This Row],[Type]]&amp;OutputTable[[#This Row],[Source]]</f>
        <v>Unnamed ProjectM4.NumberSeizedTotal Number SeizedResource</v>
      </c>
      <c r="J114" s="5" cm="1">
        <f t="array" ref="J114">MAX(IF((ProjectInfoTable[ProjectName]=OutputTable[[#This Row],[ProjectName]]),(ProjectInfoTable[ProjectName]=OutputTable[[#This Row],[ProjectName]])*ProjectInfoTable[NumberOfReplications]))</f>
        <v>10</v>
      </c>
      <c r="K114" s="5" cm="1">
        <f t="array" ref="K114">IFERROR(AVERAGE(IF((OutputTable[GroupByKey]=OutputTable[[#This Row],[GroupByKey]]),(OutputTable[GroupByKey]=OutputTable[[#This Row],[GroupByKey]])*OutputTable[RecordedValue])),0)</f>
        <v>165.9</v>
      </c>
      <c r="L114" s="5" cm="1">
        <f t="array" ref="L114">IFERROR(_xlfn.STDEV.S(IF((OutputTable[GroupByKey]=OutputTable[[#This Row],[GroupByKey]]),(OutputTable[GroupByKey]=OutputTable[[#This Row],[GroupByKey]])*OutputTable[RecordedValue])),0)</f>
        <v>13.795732029226366</v>
      </c>
      <c r="M114" s="5" cm="1">
        <f t="array" ref="M114">MAX(IF((ProjectInfoTable[ProjectName]=OutputTable[[#This Row],[ProjectName]]),(ProjectInfoTable[ProjectName]=OutputTable[[#This Row],[ProjectName]])*ProjectInfoTable[ConfidenceInterval]))</f>
        <v>0.95</v>
      </c>
      <c r="N1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9.8688721800277719</v>
      </c>
      <c r="O114" s="5" cm="1">
        <f t="array" ref="O114">MIN(IF((OutputTable[GroupByKey]=OutputTable[[#This Row],[GroupByKey]]),(OutputTable[GroupByKey]=OutputTable[[#This Row],[GroupByKey]])*OutputTable[RecordedValue]))</f>
        <v>139</v>
      </c>
      <c r="P114" s="5" cm="1">
        <f t="array" ref="P114">MAX(IF((OutputTable[GroupByKey]=OutputTable[[#This Row],[GroupByKey]]),(OutputTable[GroupByKey]=OutputTable[[#This Row],[GroupByKey]])*OutputTable[RecordedValue]))</f>
        <v>182</v>
      </c>
    </row>
    <row r="115" spans="1:16" x14ac:dyDescent="0.4">
      <c r="A115" t="s">
        <v>66</v>
      </c>
      <c r="B115" t="s">
        <v>69</v>
      </c>
      <c r="C115">
        <v>9</v>
      </c>
      <c r="D115" t="s">
        <v>120</v>
      </c>
      <c r="E115" t="s">
        <v>114</v>
      </c>
      <c r="F115" t="s">
        <v>97</v>
      </c>
      <c r="G115">
        <v>0.72217215637455201</v>
      </c>
      <c r="H115">
        <v>0</v>
      </c>
      <c r="I115" s="5" t="str">
        <f>OutputTable[[#This Row],[ProjectName]]&amp;OutputTable[[#This Row],[Name]]&amp;OutputTable[[#This Row],[Type]]&amp;OutputTable[[#This Row],[Source]]</f>
        <v>Unnamed ProjectM4.ScheduledUtilizationScheduled UtilizationResource</v>
      </c>
      <c r="J115" s="5" cm="1">
        <f t="array" ref="J115">MAX(IF((ProjectInfoTable[ProjectName]=OutputTable[[#This Row],[ProjectName]]),(ProjectInfoTable[ProjectName]=OutputTable[[#This Row],[ProjectName]])*ProjectInfoTable[NumberOfReplications]))</f>
        <v>10</v>
      </c>
      <c r="K115" s="5" cm="1">
        <f t="array" ref="K115">IFERROR(AVERAGE(IF((OutputTable[GroupByKey]=OutputTable[[#This Row],[GroupByKey]]),(OutputTable[GroupByKey]=OutputTable[[#This Row],[GroupByKey]])*OutputTable[RecordedValue])),0)</f>
        <v>0.68948907951108873</v>
      </c>
      <c r="L115" s="5" cm="1">
        <f t="array" ref="L115">IFERROR(_xlfn.STDEV.S(IF((OutputTable[GroupByKey]=OutputTable[[#This Row],[GroupByKey]]),(OutputTable[GroupByKey]=OutputTable[[#This Row],[GroupByKey]])*OutputTable[RecordedValue])),0)</f>
        <v>7.0099805521104841E-2</v>
      </c>
      <c r="M115" s="5" cm="1">
        <f t="array" ref="M115">MAX(IF((ProjectInfoTable[ProjectName]=OutputTable[[#This Row],[ProjectName]]),(ProjectInfoTable[ProjectName]=OutputTable[[#This Row],[ProjectName]])*ProjectInfoTable[ConfidenceInterval]))</f>
        <v>0.95</v>
      </c>
      <c r="N1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5.0146379986722875E-2</v>
      </c>
      <c r="O115" s="5" cm="1">
        <f t="array" ref="O115">MIN(IF((OutputTable[GroupByKey]=OutputTable[[#This Row],[GroupByKey]]),(OutputTable[GroupByKey]=OutputTable[[#This Row],[GroupByKey]])*OutputTable[RecordedValue]))</f>
        <v>0.59708526729729605</v>
      </c>
      <c r="P115" s="5" cm="1">
        <f t="array" ref="P115">MAX(IF((OutputTable[GroupByKey]=OutputTable[[#This Row],[GroupByKey]]),(OutputTable[GroupByKey]=OutputTable[[#This Row],[GroupByKey]])*OutputTable[RecordedValue]))</f>
        <v>0.81511052462014799</v>
      </c>
    </row>
    <row r="116" spans="1:16" x14ac:dyDescent="0.4">
      <c r="A116" t="s">
        <v>66</v>
      </c>
      <c r="B116" t="s">
        <v>69</v>
      </c>
      <c r="C116">
        <v>9</v>
      </c>
      <c r="D116" t="s">
        <v>121</v>
      </c>
      <c r="E116" t="s">
        <v>112</v>
      </c>
      <c r="F116" t="s">
        <v>97</v>
      </c>
      <c r="G116">
        <v>223</v>
      </c>
      <c r="H116">
        <v>0</v>
      </c>
      <c r="I116" s="5" t="str">
        <f>OutputTable[[#This Row],[ProjectName]]&amp;OutputTable[[#This Row],[Name]]&amp;OutputTable[[#This Row],[Type]]&amp;OutputTable[[#This Row],[Source]]</f>
        <v>Unnamed ProjectM5.NumberSeizedTotal Number SeizedResource</v>
      </c>
      <c r="J116" s="5" cm="1">
        <f t="array" ref="J116">MAX(IF((ProjectInfoTable[ProjectName]=OutputTable[[#This Row],[ProjectName]]),(ProjectInfoTable[ProjectName]=OutputTable[[#This Row],[ProjectName]])*ProjectInfoTable[NumberOfReplications]))</f>
        <v>10</v>
      </c>
      <c r="K116" s="5" cm="1">
        <f t="array" ref="K116">IFERROR(AVERAGE(IF((OutputTable[GroupByKey]=OutputTable[[#This Row],[GroupByKey]]),(OutputTable[GroupByKey]=OutputTable[[#This Row],[GroupByKey]])*OutputTable[RecordedValue])),0)</f>
        <v>220.6</v>
      </c>
      <c r="L116" s="5" cm="1">
        <f t="array" ref="L116">IFERROR(_xlfn.STDEV.S(IF((OutputTable[GroupByKey]=OutputTable[[#This Row],[GroupByKey]]),(OutputTable[GroupByKey]=OutputTable[[#This Row],[GroupByKey]])*OutputTable[RecordedValue])),0)</f>
        <v>15.763530343450636</v>
      </c>
      <c r="M116" s="5" cm="1">
        <f t="array" ref="M116">MAX(IF((ProjectInfoTable[ProjectName]=OutputTable[[#This Row],[ProjectName]]),(ProjectInfoTable[ProjectName]=OutputTable[[#This Row],[ProjectName]])*ProjectInfoTable[ConfidenceInterval]))</f>
        <v>0.95</v>
      </c>
      <c r="N1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11.276550293665537</v>
      </c>
      <c r="O116" s="5" cm="1">
        <f t="array" ref="O116">MIN(IF((OutputTable[GroupByKey]=OutputTable[[#This Row],[GroupByKey]]),(OutputTable[GroupByKey]=OutputTable[[#This Row],[GroupByKey]])*OutputTable[RecordedValue]))</f>
        <v>191</v>
      </c>
      <c r="P116" s="5" cm="1">
        <f t="array" ref="P116">MAX(IF((OutputTable[GroupByKey]=OutputTable[[#This Row],[GroupByKey]]),(OutputTable[GroupByKey]=OutputTable[[#This Row],[GroupByKey]])*OutputTable[RecordedValue]))</f>
        <v>238</v>
      </c>
    </row>
    <row r="117" spans="1:16" x14ac:dyDescent="0.4">
      <c r="A117" t="s">
        <v>66</v>
      </c>
      <c r="B117" t="s">
        <v>69</v>
      </c>
      <c r="C117">
        <v>9</v>
      </c>
      <c r="D117" t="s">
        <v>122</v>
      </c>
      <c r="E117" t="s">
        <v>114</v>
      </c>
      <c r="F117" t="s">
        <v>97</v>
      </c>
      <c r="G117">
        <v>0.36650972442579799</v>
      </c>
      <c r="H117">
        <v>0</v>
      </c>
      <c r="I117" s="5" t="str">
        <f>OutputTable[[#This Row],[ProjectName]]&amp;OutputTable[[#This Row],[Name]]&amp;OutputTable[[#This Row],[Type]]&amp;OutputTable[[#This Row],[Source]]</f>
        <v>Unnamed ProjectM5.ScheduledUtilizationScheduled UtilizationResource</v>
      </c>
      <c r="J117" s="5" cm="1">
        <f t="array" ref="J117">MAX(IF((ProjectInfoTable[ProjectName]=OutputTable[[#This Row],[ProjectName]]),(ProjectInfoTable[ProjectName]=OutputTable[[#This Row],[ProjectName]])*ProjectInfoTable[NumberOfReplications]))</f>
        <v>10</v>
      </c>
      <c r="K117" s="5" cm="1">
        <f t="array" ref="K117">IFERROR(AVERAGE(IF((OutputTable[GroupByKey]=OutputTable[[#This Row],[GroupByKey]]),(OutputTable[GroupByKey]=OutputTable[[#This Row],[GroupByKey]])*OutputTable[RecordedValue])),0)</f>
        <v>0.35254112855323727</v>
      </c>
      <c r="L117" s="5" cm="1">
        <f t="array" ref="L117">IFERROR(_xlfn.STDEV.S(IF((OutputTable[GroupByKey]=OutputTable[[#This Row],[GroupByKey]]),(OutputTable[GroupByKey]=OutputTable[[#This Row],[GroupByKey]])*OutputTable[RecordedValue])),0)</f>
        <v>2.0819740340978523E-2</v>
      </c>
      <c r="M117" s="5" cm="1">
        <f t="array" ref="M117">MAX(IF((ProjectInfoTable[ProjectName]=OutputTable[[#This Row],[ProjectName]]),(ProjectInfoTable[ProjectName]=OutputTable[[#This Row],[ProjectName]])*ProjectInfoTable[ConfidenceInterval]))</f>
        <v>0.95</v>
      </c>
      <c r="N1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1.4893545033435028E-2</v>
      </c>
      <c r="O117" s="5" cm="1">
        <f t="array" ref="O117">MIN(IF((OutputTable[GroupByKey]=OutputTable[[#This Row],[GroupByKey]]),(OutputTable[GroupByKey]=OutputTable[[#This Row],[GroupByKey]])*OutputTable[RecordedValue]))</f>
        <v>0.319082016284436</v>
      </c>
      <c r="P117" s="5" cm="1">
        <f t="array" ref="P117">MAX(IF((OutputTable[GroupByKey]=OutputTable[[#This Row],[GroupByKey]]),(OutputTable[GroupByKey]=OutputTable[[#This Row],[GroupByKey]])*OutputTable[RecordedValue]))</f>
        <v>0.391918845838306</v>
      </c>
    </row>
    <row r="118" spans="1:16" x14ac:dyDescent="0.4">
      <c r="A118" t="s">
        <v>66</v>
      </c>
      <c r="B118" t="s">
        <v>69</v>
      </c>
      <c r="C118">
        <v>9</v>
      </c>
      <c r="D118" t="s">
        <v>123</v>
      </c>
      <c r="E118" t="s">
        <v>110</v>
      </c>
      <c r="F118" t="s">
        <v>124</v>
      </c>
      <c r="G118">
        <v>224</v>
      </c>
      <c r="H118">
        <v>0</v>
      </c>
      <c r="I118" s="5" t="str">
        <f>OutputTable[[#This Row],[ProjectName]]&amp;OutputTable[[#This Row],[Name]]&amp;OutputTable[[#This Row],[Type]]&amp;OutputTable[[#This Row],[Source]]</f>
        <v>Unnamed ProjectSystem.NumberOutNumber OutSystem</v>
      </c>
      <c r="J118" s="5" cm="1">
        <f t="array" ref="J118">MAX(IF((ProjectInfoTable[ProjectName]=OutputTable[[#This Row],[ProjectName]]),(ProjectInfoTable[ProjectName]=OutputTable[[#This Row],[ProjectName]])*ProjectInfoTable[NumberOfReplications]))</f>
        <v>10</v>
      </c>
      <c r="K118" s="5" cm="1">
        <f t="array" ref="K118">IFERROR(AVERAGE(IF((OutputTable[GroupByKey]=OutputTable[[#This Row],[GroupByKey]]),(OutputTable[GroupByKey]=OutputTable[[#This Row],[GroupByKey]])*OutputTable[RecordedValue])),0)</f>
        <v>220.7</v>
      </c>
      <c r="L118" s="5" cm="1">
        <f t="array" ref="L118">IFERROR(_xlfn.STDEV.S(IF((OutputTable[GroupByKey]=OutputTable[[#This Row],[GroupByKey]]),(OutputTable[GroupByKey]=OutputTable[[#This Row],[GroupByKey]])*OutputTable[RecordedValue])),0)</f>
        <v>15.606622525923623</v>
      </c>
      <c r="M118" s="5" cm="1">
        <f t="array" ref="M118">MAX(IF((ProjectInfoTable[ProjectName]=OutputTable[[#This Row],[ProjectName]]),(ProjectInfoTable[ProjectName]=OutputTable[[#This Row],[ProjectName]])*ProjectInfoTable[ConfidenceInterval]))</f>
        <v>0.95</v>
      </c>
      <c r="N1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11.164305202796802</v>
      </c>
      <c r="O118" s="5" cm="1">
        <f t="array" ref="O118">MIN(IF((OutputTable[GroupByKey]=OutputTable[[#This Row],[GroupByKey]]),(OutputTable[GroupByKey]=OutputTable[[#This Row],[GroupByKey]])*OutputTable[RecordedValue]))</f>
        <v>190</v>
      </c>
      <c r="P118" s="5" cm="1">
        <f t="array" ref="P118">MAX(IF((OutputTable[GroupByKey]=OutputTable[[#This Row],[GroupByKey]]),(OutputTable[GroupByKey]=OutputTable[[#This Row],[GroupByKey]])*OutputTable[RecordedValue]))</f>
        <v>237</v>
      </c>
    </row>
    <row r="119" spans="1:16" x14ac:dyDescent="0.4">
      <c r="A119" t="s">
        <v>66</v>
      </c>
      <c r="B119" t="s">
        <v>69</v>
      </c>
      <c r="C119">
        <v>10</v>
      </c>
      <c r="D119" t="s">
        <v>107</v>
      </c>
      <c r="E119" t="s">
        <v>108</v>
      </c>
      <c r="F119" t="s">
        <v>72</v>
      </c>
      <c r="G119">
        <v>217</v>
      </c>
      <c r="H119">
        <v>0</v>
      </c>
      <c r="I119" s="5" t="str">
        <f>OutputTable[[#This Row],[ProjectName]]&amp;OutputTable[[#This Row],[Name]]&amp;OutputTable[[#This Row],[Type]]&amp;OutputTable[[#This Row],[Source]]</f>
        <v>Unnamed ProjectEntity 1.NumberInNumber InEntity</v>
      </c>
      <c r="J119" s="5" cm="1">
        <f t="array" ref="J119">MAX(IF((ProjectInfoTable[ProjectName]=OutputTable[[#This Row],[ProjectName]]),(ProjectInfoTable[ProjectName]=OutputTable[[#This Row],[ProjectName]])*ProjectInfoTable[NumberOfReplications]))</f>
        <v>10</v>
      </c>
      <c r="K119" s="5" cm="1">
        <f t="array" ref="K119">IFERROR(AVERAGE(IF((OutputTable[GroupByKey]=OutputTable[[#This Row],[GroupByKey]]),(OutputTable[GroupByKey]=OutputTable[[#This Row],[GroupByKey]])*OutputTable[RecordedValue])),0)</f>
        <v>221.9</v>
      </c>
      <c r="L119" s="5" cm="1">
        <f t="array" ref="L119">IFERROR(_xlfn.STDEV.S(IF((OutputTable[GroupByKey]=OutputTable[[#This Row],[GroupByKey]]),(OutputTable[GroupByKey]=OutputTable[[#This Row],[GroupByKey]])*OutputTable[RecordedValue])),0)</f>
        <v>15.029230777979883</v>
      </c>
      <c r="M119" s="5" cm="1">
        <f t="array" ref="M119">MAX(IF((ProjectInfoTable[ProjectName]=OutputTable[[#This Row],[ProjectName]]),(ProjectInfoTable[ProjectName]=OutputTable[[#This Row],[ProjectName]])*ProjectInfoTable[ConfidenceInterval]))</f>
        <v>0.95</v>
      </c>
      <c r="N1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10.751264028454774</v>
      </c>
      <c r="O119" s="5" cm="1">
        <f t="array" ref="O119">MIN(IF((OutputTable[GroupByKey]=OutputTable[[#This Row],[GroupByKey]]),(OutputTable[GroupByKey]=OutputTable[[#This Row],[GroupByKey]])*OutputTable[RecordedValue]))</f>
        <v>196</v>
      </c>
      <c r="P119" s="5" cm="1">
        <f t="array" ref="P119">MAX(IF((OutputTable[GroupByKey]=OutputTable[[#This Row],[GroupByKey]]),(OutputTable[GroupByKey]=OutputTable[[#This Row],[GroupByKey]])*OutputTable[RecordedValue]))</f>
        <v>237</v>
      </c>
    </row>
    <row r="120" spans="1:16" x14ac:dyDescent="0.4">
      <c r="A120" t="s">
        <v>66</v>
      </c>
      <c r="B120" t="s">
        <v>69</v>
      </c>
      <c r="C120">
        <v>10</v>
      </c>
      <c r="D120" t="s">
        <v>109</v>
      </c>
      <c r="E120" t="s">
        <v>110</v>
      </c>
      <c r="F120" t="s">
        <v>72</v>
      </c>
      <c r="G120">
        <v>210</v>
      </c>
      <c r="H120">
        <v>0</v>
      </c>
      <c r="I120" s="5" t="str">
        <f>OutputTable[[#This Row],[ProjectName]]&amp;OutputTable[[#This Row],[Name]]&amp;OutputTable[[#This Row],[Type]]&amp;OutputTable[[#This Row],[Source]]</f>
        <v>Unnamed ProjectEntity 1.NumberOutNumber OutEntity</v>
      </c>
      <c r="J120" s="5" cm="1">
        <f t="array" ref="J120">MAX(IF((ProjectInfoTable[ProjectName]=OutputTable[[#This Row],[ProjectName]]),(ProjectInfoTable[ProjectName]=OutputTable[[#This Row],[ProjectName]])*ProjectInfoTable[NumberOfReplications]))</f>
        <v>10</v>
      </c>
      <c r="K120" s="5" cm="1">
        <f t="array" ref="K120">IFERROR(AVERAGE(IF((OutputTable[GroupByKey]=OutputTable[[#This Row],[GroupByKey]]),(OutputTable[GroupByKey]=OutputTable[[#This Row],[GroupByKey]])*OutputTable[RecordedValue])),0)</f>
        <v>220.7</v>
      </c>
      <c r="L120" s="5" cm="1">
        <f t="array" ref="L120">IFERROR(_xlfn.STDEV.S(IF((OutputTable[GroupByKey]=OutputTable[[#This Row],[GroupByKey]]),(OutputTable[GroupByKey]=OutputTable[[#This Row],[GroupByKey]])*OutputTable[RecordedValue])),0)</f>
        <v>15.606622525923623</v>
      </c>
      <c r="M120" s="5" cm="1">
        <f t="array" ref="M120">MAX(IF((ProjectInfoTable[ProjectName]=OutputTable[[#This Row],[ProjectName]]),(ProjectInfoTable[ProjectName]=OutputTable[[#This Row],[ProjectName]])*ProjectInfoTable[ConfidenceInterval]))</f>
        <v>0.95</v>
      </c>
      <c r="N1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11.164305202796802</v>
      </c>
      <c r="O120" s="5" cm="1">
        <f t="array" ref="O120">MIN(IF((OutputTable[GroupByKey]=OutputTable[[#This Row],[GroupByKey]]),(OutputTable[GroupByKey]=OutputTable[[#This Row],[GroupByKey]])*OutputTable[RecordedValue]))</f>
        <v>190</v>
      </c>
      <c r="P120" s="5" cm="1">
        <f t="array" ref="P120">MAX(IF((OutputTable[GroupByKey]=OutputTable[[#This Row],[GroupByKey]]),(OutputTable[GroupByKey]=OutputTable[[#This Row],[GroupByKey]])*OutputTable[RecordedValue]))</f>
        <v>237</v>
      </c>
    </row>
    <row r="121" spans="1:16" x14ac:dyDescent="0.4">
      <c r="A121" t="s">
        <v>66</v>
      </c>
      <c r="B121" t="s">
        <v>69</v>
      </c>
      <c r="C121">
        <v>10</v>
      </c>
      <c r="D121" t="s">
        <v>111</v>
      </c>
      <c r="E121" t="s">
        <v>112</v>
      </c>
      <c r="F121" t="s">
        <v>97</v>
      </c>
      <c r="G121">
        <v>166</v>
      </c>
      <c r="H121">
        <v>0</v>
      </c>
      <c r="I121" s="5" t="str">
        <f>OutputTable[[#This Row],[ProjectName]]&amp;OutputTable[[#This Row],[Name]]&amp;OutputTable[[#This Row],[Type]]&amp;OutputTable[[#This Row],[Source]]</f>
        <v>Unnamed ProjectM1.NumberSeizedTotal Number SeizedResource</v>
      </c>
      <c r="J121" s="5" cm="1">
        <f t="array" ref="J121">MAX(IF((ProjectInfoTable[ProjectName]=OutputTable[[#This Row],[ProjectName]]),(ProjectInfoTable[ProjectName]=OutputTable[[#This Row],[ProjectName]])*ProjectInfoTable[NumberOfReplications]))</f>
        <v>10</v>
      </c>
      <c r="K121" s="5" cm="1">
        <f t="array" ref="K121">IFERROR(AVERAGE(IF((OutputTable[GroupByKey]=OutputTable[[#This Row],[GroupByKey]]),(OutputTable[GroupByKey]=OutputTable[[#This Row],[GroupByKey]])*OutputTable[RecordedValue])),0)</f>
        <v>166.8</v>
      </c>
      <c r="L121" s="5" cm="1">
        <f t="array" ref="L121">IFERROR(_xlfn.STDEV.S(IF((OutputTable[GroupByKey]=OutputTable[[#This Row],[GroupByKey]]),(OutputTable[GroupByKey]=OutputTable[[#This Row],[GroupByKey]])*OutputTable[RecordedValue])),0)</f>
        <v>13.612086132877977</v>
      </c>
      <c r="M121" s="5" cm="1">
        <f t="array" ref="M121">MAX(IF((ProjectInfoTable[ProjectName]=OutputTable[[#This Row],[ProjectName]]),(ProjectInfoTable[ProjectName]=OutputTable[[#This Row],[ProjectName]])*ProjectInfoTable[ConfidenceInterval]))</f>
        <v>0.95</v>
      </c>
      <c r="N1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9.7374998198217781</v>
      </c>
      <c r="O121" s="5" cm="1">
        <f t="array" ref="O121">MIN(IF((OutputTable[GroupByKey]=OutputTable[[#This Row],[GroupByKey]]),(OutputTable[GroupByKey]=OutputTable[[#This Row],[GroupByKey]])*OutputTable[RecordedValue]))</f>
        <v>142</v>
      </c>
      <c r="P121" s="5" cm="1">
        <f t="array" ref="P121">MAX(IF((OutputTable[GroupByKey]=OutputTable[[#This Row],[GroupByKey]]),(OutputTable[GroupByKey]=OutputTable[[#This Row],[GroupByKey]])*OutputTable[RecordedValue]))</f>
        <v>181</v>
      </c>
    </row>
    <row r="122" spans="1:16" x14ac:dyDescent="0.4">
      <c r="A122" t="s">
        <v>66</v>
      </c>
      <c r="B122" t="s">
        <v>69</v>
      </c>
      <c r="C122">
        <v>10</v>
      </c>
      <c r="D122" t="s">
        <v>113</v>
      </c>
      <c r="E122" t="s">
        <v>114</v>
      </c>
      <c r="F122" t="s">
        <v>97</v>
      </c>
      <c r="G122">
        <v>0.34545460352422602</v>
      </c>
      <c r="H122">
        <v>0</v>
      </c>
      <c r="I122" s="5" t="str">
        <f>OutputTable[[#This Row],[ProjectName]]&amp;OutputTable[[#This Row],[Name]]&amp;OutputTable[[#This Row],[Type]]&amp;OutputTable[[#This Row],[Source]]</f>
        <v>Unnamed ProjectM1.ScheduledUtilizationScheduled UtilizationResource</v>
      </c>
      <c r="J122" s="5" cm="1">
        <f t="array" ref="J122">MAX(IF((ProjectInfoTable[ProjectName]=OutputTable[[#This Row],[ProjectName]]),(ProjectInfoTable[ProjectName]=OutputTable[[#This Row],[ProjectName]])*ProjectInfoTable[NumberOfReplications]))</f>
        <v>10</v>
      </c>
      <c r="K122" s="5" cm="1">
        <f t="array" ref="K122">IFERROR(AVERAGE(IF((OutputTable[GroupByKey]=OutputTable[[#This Row],[GroupByKey]]),(OutputTable[GroupByKey]=OutputTable[[#This Row],[GroupByKey]])*OutputTable[RecordedValue])),0)</f>
        <v>0.35418637725041224</v>
      </c>
      <c r="L122" s="5" cm="1">
        <f t="array" ref="L122">IFERROR(_xlfn.STDEV.S(IF((OutputTable[GroupByKey]=OutputTable[[#This Row],[GroupByKey]]),(OutputTable[GroupByKey]=OutputTable[[#This Row],[GroupByKey]])*OutputTable[RecordedValue])),0)</f>
        <v>3.3453936231241439E-2</v>
      </c>
      <c r="M122" s="5" cm="1">
        <f t="array" ref="M122">MAX(IF((ProjectInfoTable[ProjectName]=OutputTable[[#This Row],[ProjectName]]),(ProjectInfoTable[ProjectName]=OutputTable[[#This Row],[ProjectName]])*ProjectInfoTable[ConfidenceInterval]))</f>
        <v>0.95</v>
      </c>
      <c r="N1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2.3931504314920794E-2</v>
      </c>
      <c r="O122" s="5" cm="1">
        <f t="array" ref="O122">MIN(IF((OutputTable[GroupByKey]=OutputTable[[#This Row],[GroupByKey]]),(OutputTable[GroupByKey]=OutputTable[[#This Row],[GroupByKey]])*OutputTable[RecordedValue]))</f>
        <v>0.29539806709730798</v>
      </c>
      <c r="P122" s="5" cm="1">
        <f t="array" ref="P122">MAX(IF((OutputTable[GroupByKey]=OutputTable[[#This Row],[GroupByKey]]),(OutputTable[GroupByKey]=OutputTable[[#This Row],[GroupByKey]])*OutputTable[RecordedValue]))</f>
        <v>0.39865120046345498</v>
      </c>
    </row>
    <row r="123" spans="1:16" x14ac:dyDescent="0.4">
      <c r="A123" t="s">
        <v>66</v>
      </c>
      <c r="B123" t="s">
        <v>69</v>
      </c>
      <c r="C123">
        <v>10</v>
      </c>
      <c r="D123" t="s">
        <v>115</v>
      </c>
      <c r="E123" t="s">
        <v>112</v>
      </c>
      <c r="F123" t="s">
        <v>97</v>
      </c>
      <c r="G123">
        <v>110</v>
      </c>
      <c r="H123">
        <v>0</v>
      </c>
      <c r="I123" s="5" t="str">
        <f>OutputTable[[#This Row],[ProjectName]]&amp;OutputTable[[#This Row],[Name]]&amp;OutputTable[[#This Row],[Type]]&amp;OutputTable[[#This Row],[Source]]</f>
        <v>Unnamed ProjectM2.NumberSeizedTotal Number SeizedResource</v>
      </c>
      <c r="J123" s="5" cm="1">
        <f t="array" ref="J123">MAX(IF((ProjectInfoTable[ProjectName]=OutputTable[[#This Row],[ProjectName]]),(ProjectInfoTable[ProjectName]=OutputTable[[#This Row],[ProjectName]])*ProjectInfoTable[NumberOfReplications]))</f>
        <v>10</v>
      </c>
      <c r="K123" s="5" cm="1">
        <f t="array" ref="K123">IFERROR(AVERAGE(IF((OutputTable[GroupByKey]=OutputTable[[#This Row],[GroupByKey]]),(OutputTable[GroupByKey]=OutputTable[[#This Row],[GroupByKey]])*OutputTable[RecordedValue])),0)</f>
        <v>118.9</v>
      </c>
      <c r="L123" s="5" cm="1">
        <f t="array" ref="L123">IFERROR(_xlfn.STDEV.S(IF((OutputTable[GroupByKey]=OutputTable[[#This Row],[GroupByKey]]),(OutputTable[GroupByKey]=OutputTable[[#This Row],[GroupByKey]])*OutputTable[RecordedValue])),0)</f>
        <v>10.482260146446366</v>
      </c>
      <c r="M123" s="5" cm="1">
        <f t="array" ref="M123">MAX(IF((ProjectInfoTable[ProjectName]=OutputTable[[#This Row],[ProjectName]]),(ProjectInfoTable[ProjectName]=OutputTable[[#This Row],[ProjectName]])*ProjectInfoTable[ConfidenceInterval]))</f>
        <v>0.95</v>
      </c>
      <c r="N1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7.4985571859414781</v>
      </c>
      <c r="O123" s="5" cm="1">
        <f t="array" ref="O123">MIN(IF((OutputTable[GroupByKey]=OutputTable[[#This Row],[GroupByKey]]),(OutputTable[GroupByKey]=OutputTable[[#This Row],[GroupByKey]])*OutputTable[RecordedValue]))</f>
        <v>101</v>
      </c>
      <c r="P123" s="5" cm="1">
        <f t="array" ref="P123">MAX(IF((OutputTable[GroupByKey]=OutputTable[[#This Row],[GroupByKey]]),(OutputTable[GroupByKey]=OutputTable[[#This Row],[GroupByKey]])*OutputTable[RecordedValue]))</f>
        <v>134</v>
      </c>
    </row>
    <row r="124" spans="1:16" x14ac:dyDescent="0.4">
      <c r="A124" t="s">
        <v>66</v>
      </c>
      <c r="B124" t="s">
        <v>69</v>
      </c>
      <c r="C124">
        <v>10</v>
      </c>
      <c r="D124" t="s">
        <v>116</v>
      </c>
      <c r="E124" t="s">
        <v>114</v>
      </c>
      <c r="F124" t="s">
        <v>97</v>
      </c>
      <c r="G124">
        <v>0.74554556159781105</v>
      </c>
      <c r="H124">
        <v>0</v>
      </c>
      <c r="I124" s="5" t="str">
        <f>OutputTable[[#This Row],[ProjectName]]&amp;OutputTable[[#This Row],[Name]]&amp;OutputTable[[#This Row],[Type]]&amp;OutputTable[[#This Row],[Source]]</f>
        <v>Unnamed ProjectM2.ScheduledUtilizationScheduled UtilizationResource</v>
      </c>
      <c r="J124" s="5" cm="1">
        <f t="array" ref="J124">MAX(IF((ProjectInfoTable[ProjectName]=OutputTable[[#This Row],[ProjectName]]),(ProjectInfoTable[ProjectName]=OutputTable[[#This Row],[ProjectName]])*ProjectInfoTable[NumberOfReplications]))</f>
        <v>10</v>
      </c>
      <c r="K124" s="5" cm="1">
        <f t="array" ref="K124">IFERROR(AVERAGE(IF((OutputTable[GroupByKey]=OutputTable[[#This Row],[GroupByKey]]),(OutputTable[GroupByKey]=OutputTable[[#This Row],[GroupByKey]])*OutputTable[RecordedValue])),0)</f>
        <v>0.79069410142096264</v>
      </c>
      <c r="L124" s="5" cm="1">
        <f t="array" ref="L124">IFERROR(_xlfn.STDEV.S(IF((OutputTable[GroupByKey]=OutputTable[[#This Row],[GroupByKey]]),(OutputTable[GroupByKey]=OutputTable[[#This Row],[GroupByKey]])*OutputTable[RecordedValue])),0)</f>
        <v>8.4677985904895448E-2</v>
      </c>
      <c r="M124" s="5" cm="1">
        <f t="array" ref="M124">MAX(IF((ProjectInfoTable[ProjectName]=OutputTable[[#This Row],[ProjectName]]),(ProjectInfoTable[ProjectName]=OutputTable[[#This Row],[ProjectName]])*ProjectInfoTable[ConfidenceInterval]))</f>
        <v>0.95</v>
      </c>
      <c r="N1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6.0574982000753563E-2</v>
      </c>
      <c r="O124" s="5" cm="1">
        <f t="array" ref="O124">MIN(IF((OutputTable[GroupByKey]=OutputTable[[#This Row],[GroupByKey]]),(OutputTable[GroupByKey]=OutputTable[[#This Row],[GroupByKey]])*OutputTable[RecordedValue]))</f>
        <v>0.62412916158771403</v>
      </c>
      <c r="P124" s="5" cm="1">
        <f t="array" ref="P124">MAX(IF((OutputTable[GroupByKey]=OutputTable[[#This Row],[GroupByKey]]),(OutputTable[GroupByKey]=OutputTable[[#This Row],[GroupByKey]])*OutputTable[RecordedValue]))</f>
        <v>0.92247891730008102</v>
      </c>
    </row>
    <row r="125" spans="1:16" x14ac:dyDescent="0.4">
      <c r="A125" t="s">
        <v>66</v>
      </c>
      <c r="B125" t="s">
        <v>69</v>
      </c>
      <c r="C125">
        <v>10</v>
      </c>
      <c r="D125" t="s">
        <v>117</v>
      </c>
      <c r="E125" t="s">
        <v>112</v>
      </c>
      <c r="F125" t="s">
        <v>97</v>
      </c>
      <c r="G125">
        <v>164</v>
      </c>
      <c r="H125">
        <v>0</v>
      </c>
      <c r="I125" s="5" t="str">
        <f>OutputTable[[#This Row],[ProjectName]]&amp;OutputTable[[#This Row],[Name]]&amp;OutputTable[[#This Row],[Type]]&amp;OutputTable[[#This Row],[Source]]</f>
        <v>Unnamed ProjectM3.NumberSeizedTotal Number SeizedResource</v>
      </c>
      <c r="J125" s="5" cm="1">
        <f t="array" ref="J125">MAX(IF((ProjectInfoTable[ProjectName]=OutputTable[[#This Row],[ProjectName]]),(ProjectInfoTable[ProjectName]=OutputTable[[#This Row],[ProjectName]])*ProjectInfoTable[NumberOfReplications]))</f>
        <v>10</v>
      </c>
      <c r="K125" s="5" cm="1">
        <f t="array" ref="K125">IFERROR(AVERAGE(IF((OutputTable[GroupByKey]=OutputTable[[#This Row],[GroupByKey]]),(OutputTable[GroupByKey]=OutputTable[[#This Row],[GroupByKey]])*OutputTable[RecordedValue])),0)</f>
        <v>176.2</v>
      </c>
      <c r="L125" s="5" cm="1">
        <f t="array" ref="L125">IFERROR(_xlfn.STDEV.S(IF((OutputTable[GroupByKey]=OutputTable[[#This Row],[GroupByKey]]),(OutputTable[GroupByKey]=OutputTable[[#This Row],[GroupByKey]])*OutputTable[RecordedValue])),0)</f>
        <v>14.778362561528933</v>
      </c>
      <c r="M125" s="5" cm="1">
        <f t="array" ref="M125">MAX(IF((ProjectInfoTable[ProjectName]=OutputTable[[#This Row],[ProjectName]]),(ProjectInfoTable[ProjectName]=OutputTable[[#This Row],[ProjectName]])*ProjectInfoTable[ConfidenceInterval]))</f>
        <v>0.95</v>
      </c>
      <c r="N1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10.571803717328045</v>
      </c>
      <c r="O125" s="5" cm="1">
        <f t="array" ref="O125">MIN(IF((OutputTable[GroupByKey]=OutputTable[[#This Row],[GroupByKey]]),(OutputTable[GroupByKey]=OutputTable[[#This Row],[GroupByKey]])*OutputTable[RecordedValue]))</f>
        <v>149</v>
      </c>
      <c r="P125" s="5" cm="1">
        <f t="array" ref="P125">MAX(IF((OutputTable[GroupByKey]=OutputTable[[#This Row],[GroupByKey]]),(OutputTable[GroupByKey]=OutputTable[[#This Row],[GroupByKey]])*OutputTable[RecordedValue]))</f>
        <v>198</v>
      </c>
    </row>
    <row r="126" spans="1:16" x14ac:dyDescent="0.4">
      <c r="A126" t="s">
        <v>66</v>
      </c>
      <c r="B126" t="s">
        <v>69</v>
      </c>
      <c r="C126">
        <v>10</v>
      </c>
      <c r="D126" t="s">
        <v>118</v>
      </c>
      <c r="E126" t="s">
        <v>114</v>
      </c>
      <c r="F126" t="s">
        <v>97</v>
      </c>
      <c r="G126">
        <v>0.36248067330217498</v>
      </c>
      <c r="H126">
        <v>0</v>
      </c>
      <c r="I126" s="5" t="str">
        <f>OutputTable[[#This Row],[ProjectName]]&amp;OutputTable[[#This Row],[Name]]&amp;OutputTable[[#This Row],[Type]]&amp;OutputTable[[#This Row],[Source]]</f>
        <v>Unnamed ProjectM3.ScheduledUtilizationScheduled UtilizationResource</v>
      </c>
      <c r="J126" s="5" cm="1">
        <f t="array" ref="J126">MAX(IF((ProjectInfoTable[ProjectName]=OutputTable[[#This Row],[ProjectName]]),(ProjectInfoTable[ProjectName]=OutputTable[[#This Row],[ProjectName]])*ProjectInfoTable[NumberOfReplications]))</f>
        <v>10</v>
      </c>
      <c r="K126" s="5" cm="1">
        <f t="array" ref="K126">IFERROR(AVERAGE(IF((OutputTable[GroupByKey]=OutputTable[[#This Row],[GroupByKey]]),(OutputTable[GroupByKey]=OutputTable[[#This Row],[GroupByKey]])*OutputTable[RecordedValue])),0)</f>
        <v>0.38204498745219106</v>
      </c>
      <c r="L126" s="5" cm="1">
        <f t="array" ref="L126">IFERROR(_xlfn.STDEV.S(IF((OutputTable[GroupByKey]=OutputTable[[#This Row],[GroupByKey]]),(OutputTable[GroupByKey]=OutputTable[[#This Row],[GroupByKey]])*OutputTable[RecordedValue])),0)</f>
        <v>2.9603647703352595E-2</v>
      </c>
      <c r="M126" s="5" cm="1">
        <f t="array" ref="M126">MAX(IF((ProjectInfoTable[ProjectName]=OutputTable[[#This Row],[ProjectName]]),(ProjectInfoTable[ProjectName]=OutputTable[[#This Row],[ProjectName]])*ProjectInfoTable[ConfidenceInterval]))</f>
        <v>0.95</v>
      </c>
      <c r="N1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2.1177173826515884E-2</v>
      </c>
      <c r="O126" s="5" cm="1">
        <f t="array" ref="O126">MIN(IF((OutputTable[GroupByKey]=OutputTable[[#This Row],[GroupByKey]]),(OutputTable[GroupByKey]=OutputTable[[#This Row],[GroupByKey]])*OutputTable[RecordedValue]))</f>
        <v>0.32566726436532201</v>
      </c>
      <c r="P126" s="5" cm="1">
        <f t="array" ref="P126">MAX(IF((OutputTable[GroupByKey]=OutputTable[[#This Row],[GroupByKey]]),(OutputTable[GroupByKey]=OutputTable[[#This Row],[GroupByKey]])*OutputTable[RecordedValue]))</f>
        <v>0.42511230467838501</v>
      </c>
    </row>
    <row r="127" spans="1:16" x14ac:dyDescent="0.4">
      <c r="A127" t="s">
        <v>66</v>
      </c>
      <c r="B127" t="s">
        <v>69</v>
      </c>
      <c r="C127">
        <v>10</v>
      </c>
      <c r="D127" t="s">
        <v>119</v>
      </c>
      <c r="E127" t="s">
        <v>112</v>
      </c>
      <c r="F127" t="s">
        <v>97</v>
      </c>
      <c r="G127">
        <v>163</v>
      </c>
      <c r="H127">
        <v>0</v>
      </c>
      <c r="I127" s="5" t="str">
        <f>OutputTable[[#This Row],[ProjectName]]&amp;OutputTable[[#This Row],[Name]]&amp;OutputTable[[#This Row],[Type]]&amp;OutputTable[[#This Row],[Source]]</f>
        <v>Unnamed ProjectM4.NumberSeizedTotal Number SeizedResource</v>
      </c>
      <c r="J127" s="5" cm="1">
        <f t="array" ref="J127">MAX(IF((ProjectInfoTable[ProjectName]=OutputTable[[#This Row],[ProjectName]]),(ProjectInfoTable[ProjectName]=OutputTable[[#This Row],[ProjectName]])*ProjectInfoTable[NumberOfReplications]))</f>
        <v>10</v>
      </c>
      <c r="K127" s="5" cm="1">
        <f t="array" ref="K127">IFERROR(AVERAGE(IF((OutputTable[GroupByKey]=OutputTable[[#This Row],[GroupByKey]]),(OutputTable[GroupByKey]=OutputTable[[#This Row],[GroupByKey]])*OutputTable[RecordedValue])),0)</f>
        <v>165.9</v>
      </c>
      <c r="L127" s="5" cm="1">
        <f t="array" ref="L127">IFERROR(_xlfn.STDEV.S(IF((OutputTable[GroupByKey]=OutputTable[[#This Row],[GroupByKey]]),(OutputTable[GroupByKey]=OutputTable[[#This Row],[GroupByKey]])*OutputTable[RecordedValue])),0)</f>
        <v>13.795732029226366</v>
      </c>
      <c r="M127" s="5" cm="1">
        <f t="array" ref="M127">MAX(IF((ProjectInfoTable[ProjectName]=OutputTable[[#This Row],[ProjectName]]),(ProjectInfoTable[ProjectName]=OutputTable[[#This Row],[ProjectName]])*ProjectInfoTable[ConfidenceInterval]))</f>
        <v>0.95</v>
      </c>
      <c r="N1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9.8688721800277719</v>
      </c>
      <c r="O127" s="5" cm="1">
        <f t="array" ref="O127">MIN(IF((OutputTable[GroupByKey]=OutputTable[[#This Row],[GroupByKey]]),(OutputTable[GroupByKey]=OutputTable[[#This Row],[GroupByKey]])*OutputTable[RecordedValue]))</f>
        <v>139</v>
      </c>
      <c r="P127" s="5" cm="1">
        <f t="array" ref="P127">MAX(IF((OutputTable[GroupByKey]=OutputTable[[#This Row],[GroupByKey]]),(OutputTable[GroupByKey]=OutputTable[[#This Row],[GroupByKey]])*OutputTable[RecordedValue]))</f>
        <v>182</v>
      </c>
    </row>
    <row r="128" spans="1:16" x14ac:dyDescent="0.4">
      <c r="A128" t="s">
        <v>66</v>
      </c>
      <c r="B128" t="s">
        <v>69</v>
      </c>
      <c r="C128">
        <v>10</v>
      </c>
      <c r="D128" t="s">
        <v>120</v>
      </c>
      <c r="E128" t="s">
        <v>114</v>
      </c>
      <c r="F128" t="s">
        <v>97</v>
      </c>
      <c r="G128">
        <v>0.59708526729729605</v>
      </c>
      <c r="H128">
        <v>0</v>
      </c>
      <c r="I128" s="5" t="str">
        <f>OutputTable[[#This Row],[ProjectName]]&amp;OutputTable[[#This Row],[Name]]&amp;OutputTable[[#This Row],[Type]]&amp;OutputTable[[#This Row],[Source]]</f>
        <v>Unnamed ProjectM4.ScheduledUtilizationScheduled UtilizationResource</v>
      </c>
      <c r="J128" s="5" cm="1">
        <f t="array" ref="J128">MAX(IF((ProjectInfoTable[ProjectName]=OutputTable[[#This Row],[ProjectName]]),(ProjectInfoTable[ProjectName]=OutputTable[[#This Row],[ProjectName]])*ProjectInfoTable[NumberOfReplications]))</f>
        <v>10</v>
      </c>
      <c r="K128" s="5" cm="1">
        <f t="array" ref="K128">IFERROR(AVERAGE(IF((OutputTable[GroupByKey]=OutputTable[[#This Row],[GroupByKey]]),(OutputTable[GroupByKey]=OutputTable[[#This Row],[GroupByKey]])*OutputTable[RecordedValue])),0)</f>
        <v>0.68948907951108873</v>
      </c>
      <c r="L128" s="5" cm="1">
        <f t="array" ref="L128">IFERROR(_xlfn.STDEV.S(IF((OutputTable[GroupByKey]=OutputTable[[#This Row],[GroupByKey]]),(OutputTable[GroupByKey]=OutputTable[[#This Row],[GroupByKey]])*OutputTable[RecordedValue])),0)</f>
        <v>7.0099805521104841E-2</v>
      </c>
      <c r="M128" s="5" cm="1">
        <f t="array" ref="M128">MAX(IF((ProjectInfoTable[ProjectName]=OutputTable[[#This Row],[ProjectName]]),(ProjectInfoTable[ProjectName]=OutputTable[[#This Row],[ProjectName]])*ProjectInfoTable[ConfidenceInterval]))</f>
        <v>0.95</v>
      </c>
      <c r="N1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5.0146379986722875E-2</v>
      </c>
      <c r="O128" s="5" cm="1">
        <f t="array" ref="O128">MIN(IF((OutputTable[GroupByKey]=OutputTable[[#This Row],[GroupByKey]]),(OutputTable[GroupByKey]=OutputTable[[#This Row],[GroupByKey]])*OutputTable[RecordedValue]))</f>
        <v>0.59708526729729605</v>
      </c>
      <c r="P128" s="5" cm="1">
        <f t="array" ref="P128">MAX(IF((OutputTable[GroupByKey]=OutputTable[[#This Row],[GroupByKey]]),(OutputTable[GroupByKey]=OutputTable[[#This Row],[GroupByKey]])*OutputTable[RecordedValue]))</f>
        <v>0.81511052462014799</v>
      </c>
    </row>
    <row r="129" spans="1:16" x14ac:dyDescent="0.4">
      <c r="A129" t="s">
        <v>66</v>
      </c>
      <c r="B129" t="s">
        <v>69</v>
      </c>
      <c r="C129">
        <v>10</v>
      </c>
      <c r="D129" t="s">
        <v>121</v>
      </c>
      <c r="E129" t="s">
        <v>112</v>
      </c>
      <c r="F129" t="s">
        <v>97</v>
      </c>
      <c r="G129">
        <v>210</v>
      </c>
      <c r="H129">
        <v>0</v>
      </c>
      <c r="I129" s="5" t="str">
        <f>OutputTable[[#This Row],[ProjectName]]&amp;OutputTable[[#This Row],[Name]]&amp;OutputTable[[#This Row],[Type]]&amp;OutputTable[[#This Row],[Source]]</f>
        <v>Unnamed ProjectM5.NumberSeizedTotal Number SeizedResource</v>
      </c>
      <c r="J129" s="5" cm="1">
        <f t="array" ref="J129">MAX(IF((ProjectInfoTable[ProjectName]=OutputTable[[#This Row],[ProjectName]]),(ProjectInfoTable[ProjectName]=OutputTable[[#This Row],[ProjectName]])*ProjectInfoTable[NumberOfReplications]))</f>
        <v>10</v>
      </c>
      <c r="K129" s="5" cm="1">
        <f t="array" ref="K129">IFERROR(AVERAGE(IF((OutputTable[GroupByKey]=OutputTable[[#This Row],[GroupByKey]]),(OutputTable[GroupByKey]=OutputTable[[#This Row],[GroupByKey]])*OutputTable[RecordedValue])),0)</f>
        <v>220.6</v>
      </c>
      <c r="L129" s="5" cm="1">
        <f t="array" ref="L129">IFERROR(_xlfn.STDEV.S(IF((OutputTable[GroupByKey]=OutputTable[[#This Row],[GroupByKey]]),(OutputTable[GroupByKey]=OutputTable[[#This Row],[GroupByKey]])*OutputTable[RecordedValue])),0)</f>
        <v>15.763530343450636</v>
      </c>
      <c r="M129" s="5" cm="1">
        <f t="array" ref="M129">MAX(IF((ProjectInfoTable[ProjectName]=OutputTable[[#This Row],[ProjectName]]),(ProjectInfoTable[ProjectName]=OutputTable[[#This Row],[ProjectName]])*ProjectInfoTable[ConfidenceInterval]))</f>
        <v>0.95</v>
      </c>
      <c r="N1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11.276550293665537</v>
      </c>
      <c r="O129" s="5" cm="1">
        <f t="array" ref="O129">MIN(IF((OutputTable[GroupByKey]=OutputTable[[#This Row],[GroupByKey]]),(OutputTable[GroupByKey]=OutputTable[[#This Row],[GroupByKey]])*OutputTable[RecordedValue]))</f>
        <v>191</v>
      </c>
      <c r="P129" s="5" cm="1">
        <f t="array" ref="P129">MAX(IF((OutputTable[GroupByKey]=OutputTable[[#This Row],[GroupByKey]]),(OutputTable[GroupByKey]=OutputTable[[#This Row],[GroupByKey]])*OutputTable[RecordedValue]))</f>
        <v>238</v>
      </c>
    </row>
    <row r="130" spans="1:16" x14ac:dyDescent="0.4">
      <c r="A130" t="s">
        <v>66</v>
      </c>
      <c r="B130" t="s">
        <v>69</v>
      </c>
      <c r="C130">
        <v>10</v>
      </c>
      <c r="D130" t="s">
        <v>122</v>
      </c>
      <c r="E130" t="s">
        <v>114</v>
      </c>
      <c r="F130" t="s">
        <v>97</v>
      </c>
      <c r="G130">
        <v>0.319082016284436</v>
      </c>
      <c r="H130">
        <v>0</v>
      </c>
      <c r="I130" s="5" t="str">
        <f>OutputTable[[#This Row],[ProjectName]]&amp;OutputTable[[#This Row],[Name]]&amp;OutputTable[[#This Row],[Type]]&amp;OutputTable[[#This Row],[Source]]</f>
        <v>Unnamed ProjectM5.ScheduledUtilizationScheduled UtilizationResource</v>
      </c>
      <c r="J130" s="5" cm="1">
        <f t="array" ref="J130">MAX(IF((ProjectInfoTable[ProjectName]=OutputTable[[#This Row],[ProjectName]]),(ProjectInfoTable[ProjectName]=OutputTable[[#This Row],[ProjectName]])*ProjectInfoTable[NumberOfReplications]))</f>
        <v>10</v>
      </c>
      <c r="K130" s="5" cm="1">
        <f t="array" ref="K130">IFERROR(AVERAGE(IF((OutputTable[GroupByKey]=OutputTable[[#This Row],[GroupByKey]]),(OutputTable[GroupByKey]=OutputTable[[#This Row],[GroupByKey]])*OutputTable[RecordedValue])),0)</f>
        <v>0.35254112855323727</v>
      </c>
      <c r="L130" s="5" cm="1">
        <f t="array" ref="L130">IFERROR(_xlfn.STDEV.S(IF((OutputTable[GroupByKey]=OutputTable[[#This Row],[GroupByKey]]),(OutputTable[GroupByKey]=OutputTable[[#This Row],[GroupByKey]])*OutputTable[RecordedValue])),0)</f>
        <v>2.0819740340978523E-2</v>
      </c>
      <c r="M130" s="5" cm="1">
        <f t="array" ref="M130">MAX(IF((ProjectInfoTable[ProjectName]=OutputTable[[#This Row],[ProjectName]]),(ProjectInfoTable[ProjectName]=OutputTable[[#This Row],[ProjectName]])*ProjectInfoTable[ConfidenceInterval]))</f>
        <v>0.95</v>
      </c>
      <c r="N1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1.4893545033435028E-2</v>
      </c>
      <c r="O130" s="5" cm="1">
        <f t="array" ref="O130">MIN(IF((OutputTable[GroupByKey]=OutputTable[[#This Row],[GroupByKey]]),(OutputTable[GroupByKey]=OutputTable[[#This Row],[GroupByKey]])*OutputTable[RecordedValue]))</f>
        <v>0.319082016284436</v>
      </c>
      <c r="P130" s="5" cm="1">
        <f t="array" ref="P130">MAX(IF((OutputTable[GroupByKey]=OutputTable[[#This Row],[GroupByKey]]),(OutputTable[GroupByKey]=OutputTable[[#This Row],[GroupByKey]])*OutputTable[RecordedValue]))</f>
        <v>0.391918845838306</v>
      </c>
    </row>
    <row r="131" spans="1:16" x14ac:dyDescent="0.4">
      <c r="A131" t="s">
        <v>66</v>
      </c>
      <c r="B131" t="s">
        <v>69</v>
      </c>
      <c r="C131">
        <v>10</v>
      </c>
      <c r="D131" t="s">
        <v>123</v>
      </c>
      <c r="E131" t="s">
        <v>110</v>
      </c>
      <c r="F131" t="s">
        <v>124</v>
      </c>
      <c r="G131">
        <v>210</v>
      </c>
      <c r="H131">
        <v>0</v>
      </c>
      <c r="I131" s="5" t="str">
        <f>OutputTable[[#This Row],[ProjectName]]&amp;OutputTable[[#This Row],[Name]]&amp;OutputTable[[#This Row],[Type]]&amp;OutputTable[[#This Row],[Source]]</f>
        <v>Unnamed ProjectSystem.NumberOutNumber OutSystem</v>
      </c>
      <c r="J131" s="5" cm="1">
        <f t="array" ref="J131">MAX(IF((ProjectInfoTable[ProjectName]=OutputTable[[#This Row],[ProjectName]]),(ProjectInfoTable[ProjectName]=OutputTable[[#This Row],[ProjectName]])*ProjectInfoTable[NumberOfReplications]))</f>
        <v>10</v>
      </c>
      <c r="K131" s="5" cm="1">
        <f t="array" ref="K131">IFERROR(AVERAGE(IF((OutputTable[GroupByKey]=OutputTable[[#This Row],[GroupByKey]]),(OutputTable[GroupByKey]=OutputTable[[#This Row],[GroupByKey]])*OutputTable[RecordedValue])),0)</f>
        <v>220.7</v>
      </c>
      <c r="L131" s="5" cm="1">
        <f t="array" ref="L131">IFERROR(_xlfn.STDEV.S(IF((OutputTable[GroupByKey]=OutputTable[[#This Row],[GroupByKey]]),(OutputTable[GroupByKey]=OutputTable[[#This Row],[GroupByKey]])*OutputTable[RecordedValue])),0)</f>
        <v>15.606622525923623</v>
      </c>
      <c r="M131" s="5" cm="1">
        <f t="array" ref="M131">MAX(IF((ProjectInfoTable[ProjectName]=OutputTable[[#This Row],[ProjectName]]),(ProjectInfoTable[ProjectName]=OutputTable[[#This Row],[ProjectName]])*ProjectInfoTable[ConfidenceInterval]))</f>
        <v>0.95</v>
      </c>
      <c r="N1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11.164305202796802</v>
      </c>
      <c r="O131" s="5" cm="1">
        <f t="array" ref="O131">MIN(IF((OutputTable[GroupByKey]=OutputTable[[#This Row],[GroupByKey]]),(OutputTable[GroupByKey]=OutputTable[[#This Row],[GroupByKey]])*OutputTable[RecordedValue]))</f>
        <v>190</v>
      </c>
      <c r="P131" s="5" cm="1">
        <f t="array" ref="P131">MAX(IF((OutputTable[GroupByKey]=OutputTable[[#This Row],[GroupByKey]]),(OutputTable[GroupByKey]=OutputTable[[#This Row],[GroupByKey]])*OutputTable[RecordedValue]))</f>
        <v>237</v>
      </c>
    </row>
  </sheetData>
  <phoneticPr fontId="2" type="noConversion"/>
  <conditionalFormatting sqref="I2:P131">
    <cfRule type="expression" dxfId="3" priority="2">
      <formula>MOD(ROW(),2)=0</formula>
    </cfRule>
  </conditionalFormatting>
  <conditionalFormatting sqref="N2:N131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3.9" x14ac:dyDescent="0.4"/>
  <cols>
    <col min="1" max="1" width="14.73046875" bestFit="1" customWidth="1"/>
    <col min="2" max="2" width="22.3984375" bestFit="1" customWidth="1"/>
    <col min="3" max="3" width="13.1328125" bestFit="1" customWidth="1"/>
    <col min="4" max="4" width="8.46484375" bestFit="1" customWidth="1"/>
    <col min="5" max="5" width="11.1328125" bestFit="1" customWidth="1"/>
    <col min="6" max="6" width="9.265625" bestFit="1" customWidth="1"/>
    <col min="7" max="7" width="21.3984375" bestFit="1" customWidth="1"/>
    <col min="8" max="8" width="22.33203125" bestFit="1" customWidth="1"/>
    <col min="9" max="9" width="25" bestFit="1" customWidth="1"/>
    <col min="10" max="10" width="26.265625" bestFit="1" customWidth="1"/>
    <col min="11" max="11" width="15.9296875" bestFit="1" customWidth="1"/>
    <col min="12" max="12" width="14.265625" bestFit="1" customWidth="1"/>
    <col min="13" max="13" width="30.265625" bestFit="1" customWidth="1"/>
    <col min="14" max="14" width="31.19921875" bestFit="1" customWidth="1"/>
    <col min="15" max="15" width="16.86328125" bestFit="1" customWidth="1"/>
    <col min="16" max="16" width="28.9296875" bestFit="1" customWidth="1"/>
    <col min="17" max="17" width="29.86328125" bestFit="1" customWidth="1"/>
    <col min="18" max="18" width="29.19921875" bestFit="1" customWidth="1"/>
    <col min="19" max="19" width="28.33203125" bestFit="1" customWidth="1"/>
    <col min="20" max="20" width="26.19921875" bestFit="1" customWidth="1"/>
    <col min="21" max="21" width="29.86328125" bestFit="1" customWidth="1"/>
    <col min="22" max="22" width="31.86328125" bestFit="1" customWidth="1"/>
    <col min="23" max="23" width="32.1328125" bestFit="1" customWidth="1"/>
  </cols>
  <sheetData>
    <row r="1" spans="1:17" x14ac:dyDescent="0.4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4">
      <c r="B17" s="3"/>
    </row>
    <row r="18" spans="2:2" x14ac:dyDescent="0.4">
      <c r="B18" s="3"/>
    </row>
    <row r="19" spans="2:2" x14ac:dyDescent="0.4">
      <c r="B19" s="3"/>
    </row>
    <row r="20" spans="2:2" x14ac:dyDescent="0.4">
      <c r="B20" s="3"/>
    </row>
    <row r="21" spans="2:2" x14ac:dyDescent="0.4">
      <c r="B21" s="3"/>
    </row>
    <row r="22" spans="2:2" x14ac:dyDescent="0.4">
      <c r="B22" s="3"/>
    </row>
    <row r="23" spans="2:2" x14ac:dyDescent="0.4">
      <c r="B23" s="3"/>
    </row>
    <row r="24" spans="2:2" x14ac:dyDescent="0.4">
      <c r="B24" s="3"/>
    </row>
    <row r="25" spans="2:2" x14ac:dyDescent="0.4">
      <c r="B25" s="3"/>
    </row>
    <row r="26" spans="2:2" x14ac:dyDescent="0.4">
      <c r="B26" s="3"/>
    </row>
    <row r="27" spans="2:2" x14ac:dyDescent="0.4">
      <c r="B27" s="3"/>
    </row>
    <row r="28" spans="2:2" x14ac:dyDescent="0.4">
      <c r="B28" s="3"/>
    </row>
    <row r="29" spans="2:2" x14ac:dyDescent="0.4">
      <c r="B29" s="3"/>
    </row>
    <row r="30" spans="2:2" x14ac:dyDescent="0.4">
      <c r="B30" s="3"/>
    </row>
    <row r="31" spans="2:2" x14ac:dyDescent="0.4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宇阳 王</cp:lastModifiedBy>
  <cp:lastPrinted>2022-03-22T10:33:10Z</cp:lastPrinted>
  <dcterms:created xsi:type="dcterms:W3CDTF">2020-06-29T21:30:31Z</dcterms:created>
  <dcterms:modified xsi:type="dcterms:W3CDTF">2026-10-16T09:31:19Z</dcterms:modified>
</cp:coreProperties>
</file>